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G:\Mon Drive\Zenpark - Bizdev\Administration des ventes\"/>
    </mc:Choice>
  </mc:AlternateContent>
  <xr:revisionPtr revIDLastSave="0" documentId="13_ncr:1_{0E2C90DC-DEC7-479D-9FED-DABF993028D8}" xr6:coauthVersionLast="37" xr6:coauthVersionMax="37" xr10:uidLastSave="{00000000-0000-0000-0000-000000000000}"/>
  <bookViews>
    <workbookView xWindow="0" yWindow="0" windowWidth="23040" windowHeight="8784" tabRatio="872" firstSheet="1" activeTab="8" xr2:uid="{00000000-000D-0000-FFFF-FFFF00000000}"/>
  </bookViews>
  <sheets>
    <sheet name="Data_Parking" sheetId="6" state="hidden" r:id="rId1"/>
    <sheet name="Data_ Contrats" sheetId="5" r:id="rId2"/>
    <sheet name="Data_P" sheetId="78" r:id="rId3"/>
    <sheet name="AF Mensuel" sheetId="80" r:id="rId4"/>
    <sheet name="AF Trimestriel" sheetId="90" r:id="rId5"/>
    <sheet name="Mandat de facturation" sheetId="91" r:id="rId6"/>
    <sheet name="Paris Habita" sheetId="84" r:id="rId7"/>
    <sheet name="Détail de conso" sheetId="79" r:id="rId8"/>
    <sheet name="Reporting partenaire HT" sheetId="92" r:id="rId9"/>
  </sheets>
  <definedNames>
    <definedName name="_xlnm._FilterDatabase" localSheetId="1" hidden="1">'Data_ Contrats'!$A$1:$Q$213</definedName>
    <definedName name="_xlnm._FilterDatabase" localSheetId="2" hidden="1">Data_P!$A$1:$K$1404</definedName>
    <definedName name="_xlnm._FilterDatabase" localSheetId="8" hidden="1">'Reporting partenaire HT'!$A$7:$C$222</definedName>
    <definedName name="Coa">'Data_ Contrats'!$C$96</definedName>
    <definedName name="m">'Data_ Contrats'!$C$96</definedName>
    <definedName name="ns">'Data_ Contrats'!$C$96</definedName>
    <definedName name="zenpark" localSheetId="1" hidden="1">'Data_ Contrats'!$A$1:$O$208</definedName>
    <definedName name="zenpark" localSheetId="2" hidden="1">Data_P!$A$1:$K$618</definedName>
    <definedName name="_xlnm.Print_Area" localSheetId="3">'AF Mensuel'!$A$1:$T$51</definedName>
    <definedName name="_xlnm.Print_Area" localSheetId="4">'AF Trimestriel'!$A$1:$T$98</definedName>
    <definedName name="_xlnm.Print_Area" localSheetId="5">'Mandat de facturation'!#REF!</definedName>
    <definedName name="_xlnm.Print_Area" localSheetId="6">'Paris Habita'!$A$1:$T$90</definedName>
  </definedNames>
  <calcPr calcId="179021"/>
  <pivotCaches>
    <pivotCache cacheId="0" r:id="rId10"/>
  </pivotCaches>
  <fileRecoveryPr autoRecover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" i="92" l="1"/>
  <c r="Q59" i="90" l="1"/>
  <c r="Q60" i="90"/>
  <c r="Q61" i="90"/>
  <c r="Q62" i="90"/>
  <c r="Q63" i="90"/>
  <c r="Q64" i="90"/>
  <c r="Q65" i="90"/>
  <c r="Q66" i="90"/>
  <c r="Q67" i="90"/>
  <c r="O61" i="90"/>
  <c r="O62" i="90"/>
  <c r="O63" i="90"/>
  <c r="O64" i="90"/>
  <c r="M60" i="90"/>
  <c r="M61" i="90"/>
  <c r="M68" i="90"/>
  <c r="O68" i="90"/>
  <c r="Q68" i="90"/>
  <c r="S68" i="90"/>
  <c r="M69" i="90"/>
  <c r="O69" i="90"/>
  <c r="Q69" i="90"/>
  <c r="S69" i="90"/>
  <c r="M70" i="90"/>
  <c r="O70" i="90"/>
  <c r="Q70" i="90"/>
  <c r="S70" i="90"/>
  <c r="M71" i="90"/>
  <c r="O71" i="90"/>
  <c r="Q71" i="90"/>
  <c r="S71" i="90"/>
  <c r="M72" i="90"/>
  <c r="O72" i="90"/>
  <c r="Q72" i="90"/>
  <c r="S72" i="90"/>
  <c r="M73" i="90"/>
  <c r="O73" i="90"/>
  <c r="Q73" i="90"/>
  <c r="S73" i="90"/>
  <c r="M74" i="90"/>
  <c r="O74" i="90"/>
  <c r="Q74" i="90"/>
  <c r="S74" i="90"/>
  <c r="M75" i="90"/>
  <c r="O75" i="90"/>
  <c r="Q75" i="90"/>
  <c r="S75" i="90"/>
  <c r="M76" i="90"/>
  <c r="O76" i="90"/>
  <c r="Q76" i="90"/>
  <c r="S76" i="90"/>
  <c r="M77" i="90"/>
  <c r="O77" i="90"/>
  <c r="Q77" i="90"/>
  <c r="S77" i="90"/>
  <c r="M78" i="90"/>
  <c r="O78" i="90"/>
  <c r="Q78" i="90"/>
  <c r="S78" i="90"/>
  <c r="M79" i="90"/>
  <c r="O79" i="90"/>
  <c r="Q79" i="90"/>
  <c r="S79" i="90"/>
  <c r="M80" i="90"/>
  <c r="O80" i="90"/>
  <c r="Q80" i="90"/>
  <c r="S80" i="90"/>
  <c r="M81" i="90"/>
  <c r="O81" i="90"/>
  <c r="Q81" i="90"/>
  <c r="S81" i="90"/>
  <c r="M82" i="90"/>
  <c r="O82" i="90"/>
  <c r="Q82" i="90"/>
  <c r="S82" i="90"/>
  <c r="M83" i="90"/>
  <c r="O83" i="90"/>
  <c r="Q83" i="90"/>
  <c r="S83" i="90"/>
  <c r="M84" i="90"/>
  <c r="O84" i="90"/>
  <c r="Q84" i="90"/>
  <c r="S84" i="90"/>
  <c r="M85" i="90"/>
  <c r="O85" i="90"/>
  <c r="Q85" i="90"/>
  <c r="S85" i="90"/>
  <c r="M86" i="90"/>
  <c r="O86" i="90"/>
  <c r="Q86" i="90"/>
  <c r="S86" i="90"/>
  <c r="M87" i="90"/>
  <c r="O87" i="90"/>
  <c r="Q87" i="90"/>
  <c r="S87" i="90"/>
  <c r="M88" i="90"/>
  <c r="O88" i="90"/>
  <c r="Q88" i="90"/>
  <c r="S88" i="90"/>
  <c r="M89" i="90"/>
  <c r="O89" i="90"/>
  <c r="Q89" i="90"/>
  <c r="S89" i="90"/>
  <c r="A58" i="90"/>
  <c r="J58" i="90" s="1"/>
  <c r="A59" i="90"/>
  <c r="J59" i="90" s="1"/>
  <c r="A60" i="90"/>
  <c r="J60" i="90" s="1"/>
  <c r="A61" i="90"/>
  <c r="J61" i="90" s="1"/>
  <c r="A62" i="90"/>
  <c r="J62" i="90" s="1"/>
  <c r="A63" i="90"/>
  <c r="J63" i="90" s="1"/>
  <c r="A64" i="90"/>
  <c r="J64" i="90" s="1"/>
  <c r="A65" i="90"/>
  <c r="J65" i="90" s="1"/>
  <c r="A66" i="90"/>
  <c r="J66" i="90" s="1"/>
  <c r="A67" i="90"/>
  <c r="A68" i="90"/>
  <c r="A69" i="90"/>
  <c r="A70" i="90"/>
  <c r="A71" i="90"/>
  <c r="A72" i="90"/>
  <c r="A73" i="90"/>
  <c r="A74" i="90"/>
  <c r="A75" i="90"/>
  <c r="A76" i="90"/>
  <c r="A77" i="90"/>
  <c r="A78" i="90"/>
  <c r="A79" i="90"/>
  <c r="A80" i="90"/>
  <c r="A81" i="90"/>
  <c r="A82" i="90"/>
  <c r="A83" i="90"/>
  <c r="A84" i="90"/>
  <c r="A85" i="90"/>
  <c r="A86" i="90"/>
  <c r="A87" i="90"/>
  <c r="A88" i="90"/>
  <c r="A89" i="90"/>
  <c r="A90" i="90"/>
  <c r="A57" i="90"/>
  <c r="C31" i="92" l="1"/>
  <c r="C104" i="92"/>
  <c r="C163" i="92"/>
  <c r="C215" i="92"/>
  <c r="C216" i="92"/>
  <c r="C217" i="92"/>
  <c r="D9" i="92"/>
  <c r="D10" i="92"/>
  <c r="D11" i="92"/>
  <c r="D12" i="92"/>
  <c r="D13" i="92"/>
  <c r="D14" i="92"/>
  <c r="D15" i="92"/>
  <c r="D16" i="92"/>
  <c r="D17" i="92"/>
  <c r="D18" i="92"/>
  <c r="D19" i="92"/>
  <c r="D20" i="92"/>
  <c r="D21" i="92"/>
  <c r="D22" i="92"/>
  <c r="D23" i="92"/>
  <c r="D24" i="92"/>
  <c r="D25" i="92"/>
  <c r="D26" i="92"/>
  <c r="D27" i="92"/>
  <c r="D28" i="92"/>
  <c r="D29" i="92"/>
  <c r="D30" i="92"/>
  <c r="D31" i="92"/>
  <c r="D32" i="92"/>
  <c r="D33" i="92"/>
  <c r="D34" i="92"/>
  <c r="D35" i="92"/>
  <c r="D36" i="92"/>
  <c r="D37" i="92"/>
  <c r="D38" i="92"/>
  <c r="D39" i="92"/>
  <c r="D40" i="92"/>
  <c r="D41" i="92"/>
  <c r="D42" i="92"/>
  <c r="D43" i="92"/>
  <c r="D44" i="92"/>
  <c r="D45" i="92"/>
  <c r="D46" i="92"/>
  <c r="D47" i="92"/>
  <c r="D48" i="92"/>
  <c r="D49" i="92"/>
  <c r="D50" i="92"/>
  <c r="D51" i="92"/>
  <c r="D52" i="92"/>
  <c r="D53" i="92"/>
  <c r="D54" i="92"/>
  <c r="D55" i="92"/>
  <c r="D56" i="92"/>
  <c r="D57" i="92"/>
  <c r="D58" i="92"/>
  <c r="D59" i="92"/>
  <c r="D60" i="92"/>
  <c r="D61" i="92"/>
  <c r="D62" i="92"/>
  <c r="D63" i="92"/>
  <c r="D64" i="92"/>
  <c r="D65" i="92"/>
  <c r="D66" i="92"/>
  <c r="D67" i="92"/>
  <c r="D68" i="92"/>
  <c r="D69" i="92"/>
  <c r="D70" i="92"/>
  <c r="D71" i="92"/>
  <c r="D72" i="92"/>
  <c r="D73" i="92"/>
  <c r="D74" i="92"/>
  <c r="D75" i="92"/>
  <c r="D76" i="92"/>
  <c r="D77" i="92"/>
  <c r="D78" i="92"/>
  <c r="D79" i="92"/>
  <c r="D80" i="92"/>
  <c r="D81" i="92"/>
  <c r="D82" i="92"/>
  <c r="D83" i="92"/>
  <c r="D84" i="92"/>
  <c r="D85" i="92"/>
  <c r="D86" i="92"/>
  <c r="D87" i="92"/>
  <c r="D88" i="92"/>
  <c r="D89" i="92"/>
  <c r="D90" i="92"/>
  <c r="D91" i="92"/>
  <c r="D92" i="92"/>
  <c r="D93" i="92"/>
  <c r="D94" i="92"/>
  <c r="D95" i="92"/>
  <c r="D96" i="92"/>
  <c r="D97" i="92"/>
  <c r="D98" i="92"/>
  <c r="D99" i="92"/>
  <c r="D100" i="92"/>
  <c r="D101" i="92"/>
  <c r="D102" i="92"/>
  <c r="D103" i="92"/>
  <c r="D104" i="92"/>
  <c r="D105" i="92"/>
  <c r="D106" i="92"/>
  <c r="D107" i="92"/>
  <c r="D108" i="92"/>
  <c r="D109" i="92"/>
  <c r="D110" i="92"/>
  <c r="D111" i="92"/>
  <c r="D112" i="92"/>
  <c r="D113" i="92"/>
  <c r="D114" i="92"/>
  <c r="D115" i="92"/>
  <c r="D116" i="92"/>
  <c r="D117" i="92"/>
  <c r="D118" i="92"/>
  <c r="D119" i="92"/>
  <c r="D120" i="92"/>
  <c r="D121" i="92"/>
  <c r="D122" i="92"/>
  <c r="D123" i="92"/>
  <c r="D124" i="92"/>
  <c r="D125" i="92"/>
  <c r="D126" i="92"/>
  <c r="D127" i="92"/>
  <c r="D128" i="92"/>
  <c r="D129" i="92"/>
  <c r="D130" i="92"/>
  <c r="D131" i="92"/>
  <c r="D132" i="92"/>
  <c r="D133" i="92"/>
  <c r="D134" i="92"/>
  <c r="D135" i="92"/>
  <c r="D136" i="92"/>
  <c r="D137" i="92"/>
  <c r="D138" i="92"/>
  <c r="D139" i="92"/>
  <c r="D140" i="92"/>
  <c r="D141" i="92"/>
  <c r="D142" i="92"/>
  <c r="D143" i="92"/>
  <c r="D144" i="92"/>
  <c r="D145" i="92"/>
  <c r="D146" i="92"/>
  <c r="D147" i="92"/>
  <c r="D148" i="92"/>
  <c r="D149" i="92"/>
  <c r="D150" i="92"/>
  <c r="D151" i="92"/>
  <c r="D152" i="92"/>
  <c r="D153" i="92"/>
  <c r="D154" i="92"/>
  <c r="D155" i="92"/>
  <c r="D156" i="92"/>
  <c r="D157" i="92"/>
  <c r="D158" i="92"/>
  <c r="D159" i="92"/>
  <c r="D160" i="92"/>
  <c r="D161" i="92"/>
  <c r="D162" i="92"/>
  <c r="D163" i="92"/>
  <c r="D164" i="92"/>
  <c r="D165" i="92"/>
  <c r="D166" i="92"/>
  <c r="D167" i="92"/>
  <c r="D168" i="92"/>
  <c r="D169" i="92"/>
  <c r="D170" i="92"/>
  <c r="D171" i="92"/>
  <c r="D172" i="92"/>
  <c r="D173" i="92"/>
  <c r="D174" i="92"/>
  <c r="D175" i="92"/>
  <c r="D176" i="92"/>
  <c r="D177" i="92"/>
  <c r="D178" i="92"/>
  <c r="D179" i="92"/>
  <c r="D180" i="92"/>
  <c r="D181" i="92"/>
  <c r="D182" i="92"/>
  <c r="D183" i="92"/>
  <c r="D184" i="92"/>
  <c r="D185" i="92"/>
  <c r="D186" i="92"/>
  <c r="D187" i="92"/>
  <c r="D188" i="92"/>
  <c r="D189" i="92"/>
  <c r="D190" i="92"/>
  <c r="D191" i="92"/>
  <c r="D192" i="92"/>
  <c r="D193" i="92"/>
  <c r="D194" i="92"/>
  <c r="D195" i="92"/>
  <c r="D196" i="92"/>
  <c r="D197" i="92"/>
  <c r="D198" i="92"/>
  <c r="D199" i="92"/>
  <c r="D200" i="92"/>
  <c r="D201" i="92"/>
  <c r="D202" i="92"/>
  <c r="D203" i="92"/>
  <c r="D204" i="92"/>
  <c r="D205" i="92"/>
  <c r="D206" i="92"/>
  <c r="D207" i="92"/>
  <c r="D208" i="92"/>
  <c r="D209" i="92"/>
  <c r="D210" i="92"/>
  <c r="D211" i="92"/>
  <c r="D212" i="92"/>
  <c r="D213" i="92"/>
  <c r="D214" i="92"/>
  <c r="D215" i="92"/>
  <c r="D216" i="92"/>
  <c r="D217" i="92"/>
  <c r="D218" i="92"/>
  <c r="D219" i="92"/>
  <c r="D220" i="92"/>
  <c r="D221" i="92"/>
  <c r="D222" i="92"/>
  <c r="D8" i="92"/>
  <c r="X143" i="90" l="1"/>
  <c r="X144" i="90"/>
  <c r="X145" i="90"/>
  <c r="X146" i="90"/>
  <c r="X147" i="90"/>
  <c r="X148" i="90"/>
  <c r="X149" i="90"/>
  <c r="X150" i="90"/>
  <c r="X151" i="90"/>
  <c r="X152" i="90"/>
  <c r="X153" i="90"/>
  <c r="X154" i="90"/>
  <c r="X155" i="90"/>
  <c r="X156" i="90"/>
  <c r="X157" i="90"/>
  <c r="X158" i="90"/>
  <c r="X159" i="90"/>
  <c r="X160" i="90"/>
  <c r="X161" i="90"/>
  <c r="X162" i="90"/>
  <c r="X163" i="90"/>
  <c r="X164" i="90"/>
  <c r="X165" i="90"/>
  <c r="X166" i="90"/>
  <c r="X167" i="90"/>
  <c r="X168" i="90"/>
  <c r="X169" i="90"/>
  <c r="X170" i="90"/>
  <c r="X171" i="90"/>
  <c r="X172" i="90"/>
  <c r="X173" i="90"/>
  <c r="X174" i="90"/>
  <c r="X175" i="90"/>
  <c r="X176" i="90"/>
  <c r="X177" i="90"/>
  <c r="X178" i="90"/>
  <c r="X179" i="90"/>
  <c r="X180" i="90"/>
  <c r="X181" i="90"/>
  <c r="X182" i="90"/>
  <c r="X183" i="90"/>
  <c r="X184" i="90"/>
  <c r="X185" i="90"/>
  <c r="X186" i="90"/>
  <c r="X187" i="90"/>
  <c r="X188" i="90"/>
  <c r="X189" i="90"/>
  <c r="X190" i="90"/>
  <c r="X191" i="90"/>
  <c r="X192" i="90"/>
  <c r="X193" i="90"/>
  <c r="X194" i="90"/>
  <c r="X195" i="90"/>
  <c r="X196" i="90"/>
  <c r="X197" i="90"/>
  <c r="X198" i="90"/>
  <c r="X199" i="90"/>
  <c r="X200" i="90"/>
  <c r="X201" i="90"/>
  <c r="X202" i="90"/>
  <c r="X203" i="90"/>
  <c r="X204" i="90"/>
  <c r="X205" i="90"/>
  <c r="X206" i="90"/>
  <c r="X207" i="90"/>
  <c r="X208" i="90"/>
  <c r="X209" i="90"/>
  <c r="X210" i="90"/>
  <c r="X211" i="90"/>
  <c r="X212" i="90"/>
  <c r="X213" i="90"/>
  <c r="X214" i="90"/>
  <c r="X215" i="90"/>
  <c r="X216" i="90"/>
  <c r="X217" i="90"/>
  <c r="X218" i="90"/>
  <c r="X219" i="90"/>
  <c r="X220" i="90"/>
  <c r="X221" i="90"/>
  <c r="X222" i="90"/>
  <c r="X223" i="90"/>
  <c r="X224" i="90"/>
  <c r="X225" i="90"/>
  <c r="X226" i="90"/>
  <c r="X227" i="90"/>
  <c r="X228" i="90"/>
  <c r="X229" i="90"/>
  <c r="X230" i="90"/>
  <c r="X231" i="90"/>
  <c r="X232" i="90"/>
  <c r="X233" i="90"/>
  <c r="X234" i="90"/>
  <c r="X235" i="90"/>
  <c r="X236" i="90"/>
  <c r="X237" i="90"/>
  <c r="X238" i="90"/>
  <c r="X239" i="90"/>
  <c r="X240" i="90"/>
  <c r="X241" i="90"/>
  <c r="X242" i="90"/>
  <c r="X243" i="90"/>
  <c r="X244" i="90"/>
  <c r="X245" i="90"/>
  <c r="X246" i="90"/>
  <c r="X247" i="90"/>
  <c r="X248" i="90"/>
  <c r="X249" i="90"/>
  <c r="X250" i="90"/>
  <c r="X251" i="90"/>
  <c r="X252" i="90"/>
  <c r="X253" i="90"/>
  <c r="X254" i="90"/>
  <c r="X255" i="90"/>
  <c r="X256" i="90"/>
  <c r="X257" i="90"/>
  <c r="X258" i="90"/>
  <c r="X259" i="90"/>
  <c r="X260" i="90"/>
  <c r="X261" i="90"/>
  <c r="X262" i="90"/>
  <c r="X263" i="90"/>
  <c r="X264" i="90"/>
  <c r="X265" i="90"/>
  <c r="X266" i="90"/>
  <c r="X267" i="90"/>
  <c r="X268" i="90"/>
  <c r="X269" i="90"/>
  <c r="X270" i="90"/>
  <c r="X271" i="90"/>
  <c r="X272" i="90"/>
  <c r="X273" i="90"/>
  <c r="X274" i="90"/>
  <c r="X275" i="90"/>
  <c r="X276" i="90"/>
  <c r="X277" i="90"/>
  <c r="X278" i="90"/>
  <c r="X279" i="90"/>
  <c r="X280" i="90"/>
  <c r="X281" i="90"/>
  <c r="X282" i="90"/>
  <c r="X283" i="90"/>
  <c r="X284" i="90"/>
  <c r="X285" i="90"/>
  <c r="X286" i="90"/>
  <c r="X287" i="90"/>
  <c r="X288" i="90"/>
  <c r="X289" i="90"/>
  <c r="X290" i="90"/>
  <c r="X291" i="90"/>
  <c r="X292" i="90"/>
  <c r="X293" i="90"/>
  <c r="X294" i="90"/>
  <c r="X295" i="90"/>
  <c r="X296" i="90"/>
  <c r="X297" i="90"/>
  <c r="X298" i="90"/>
  <c r="X299" i="90"/>
  <c r="X300" i="90"/>
  <c r="X301" i="90"/>
  <c r="X302" i="90"/>
  <c r="X303" i="90"/>
  <c r="X304" i="90"/>
  <c r="X305" i="90"/>
  <c r="X306" i="90"/>
  <c r="X307" i="90"/>
  <c r="X308" i="90"/>
  <c r="X309" i="90"/>
  <c r="X310" i="90"/>
  <c r="X311" i="90"/>
  <c r="X312" i="90"/>
  <c r="X313" i="90"/>
  <c r="X314" i="90"/>
  <c r="X315" i="90"/>
  <c r="X316" i="90"/>
  <c r="X317" i="90"/>
  <c r="X318" i="90"/>
  <c r="X319" i="90"/>
  <c r="X320" i="90"/>
  <c r="X321" i="90"/>
  <c r="X322" i="90"/>
  <c r="X323" i="90"/>
  <c r="X324" i="90"/>
  <c r="X325" i="90"/>
  <c r="X326" i="90"/>
  <c r="X327" i="90"/>
  <c r="X328" i="90"/>
  <c r="X329" i="90"/>
  <c r="X330" i="90"/>
  <c r="X331" i="90"/>
  <c r="X332" i="90"/>
  <c r="X333" i="90"/>
  <c r="X334" i="90"/>
  <c r="X335" i="90"/>
  <c r="X336" i="90"/>
  <c r="X337" i="90"/>
  <c r="X338" i="90"/>
  <c r="X339" i="90"/>
  <c r="X340" i="90"/>
  <c r="X341" i="90"/>
  <c r="X342" i="90"/>
  <c r="X343" i="90"/>
  <c r="X344" i="90"/>
  <c r="X345" i="90"/>
  <c r="X346" i="90"/>
  <c r="X347" i="90"/>
  <c r="X348" i="90"/>
  <c r="X349" i="90"/>
  <c r="X350" i="90"/>
  <c r="X351" i="90"/>
  <c r="X352" i="90"/>
  <c r="X353" i="90"/>
  <c r="X354" i="90"/>
  <c r="X355" i="90"/>
  <c r="X356" i="90"/>
  <c r="X357" i="90"/>
  <c r="X358" i="90"/>
  <c r="X359" i="90"/>
  <c r="X360" i="90"/>
  <c r="X361" i="90"/>
  <c r="X362" i="90"/>
  <c r="X363" i="90"/>
  <c r="X364" i="90"/>
  <c r="X365" i="90"/>
  <c r="X366" i="90"/>
  <c r="X367" i="90"/>
  <c r="X368" i="90"/>
  <c r="X369" i="90"/>
  <c r="X370" i="90"/>
  <c r="X371" i="90"/>
  <c r="X372" i="90"/>
  <c r="X373" i="90"/>
  <c r="X374" i="90"/>
  <c r="X375" i="90"/>
  <c r="X376" i="90"/>
  <c r="X377" i="90"/>
  <c r="X378" i="90"/>
  <c r="X379" i="90"/>
  <c r="X380" i="90"/>
  <c r="X381" i="90"/>
  <c r="X382" i="90"/>
  <c r="X383" i="90"/>
  <c r="X384" i="90"/>
  <c r="X385" i="90"/>
  <c r="X386" i="90"/>
  <c r="X387" i="90"/>
  <c r="X388" i="90"/>
  <c r="X389" i="90"/>
  <c r="X390" i="90"/>
  <c r="X391" i="90"/>
  <c r="X392" i="90"/>
  <c r="X393" i="90"/>
  <c r="X394" i="90"/>
  <c r="X395" i="90"/>
  <c r="X396" i="90"/>
  <c r="X397" i="90"/>
  <c r="X398" i="90"/>
  <c r="X399" i="90"/>
  <c r="X400" i="90"/>
  <c r="X401" i="90"/>
  <c r="X402" i="90"/>
  <c r="X403" i="90"/>
  <c r="X404" i="90"/>
  <c r="X405" i="90"/>
  <c r="X406" i="90"/>
  <c r="X407" i="90"/>
  <c r="X408" i="90"/>
  <c r="X409" i="90"/>
  <c r="X410" i="90"/>
  <c r="X411" i="90"/>
  <c r="X412" i="90"/>
  <c r="X413" i="90"/>
  <c r="X414" i="90"/>
  <c r="X415" i="90"/>
  <c r="X416" i="90"/>
  <c r="X417" i="90"/>
  <c r="X418" i="90"/>
  <c r="X419" i="90"/>
  <c r="X420" i="90"/>
  <c r="X421" i="90"/>
  <c r="X422" i="90"/>
  <c r="X423" i="90"/>
  <c r="X424" i="90"/>
  <c r="X425" i="90"/>
  <c r="X426" i="90"/>
  <c r="X427" i="90"/>
  <c r="X428" i="90"/>
  <c r="X429" i="90"/>
  <c r="X430" i="90"/>
  <c r="X431" i="90"/>
  <c r="J993" i="78"/>
  <c r="X5" i="90" l="1"/>
  <c r="X9" i="90"/>
  <c r="X6" i="90"/>
  <c r="X7" i="90"/>
  <c r="X8" i="90"/>
  <c r="E21" i="90" l="1"/>
  <c r="U25" i="90"/>
  <c r="X461" i="90"/>
  <c r="X460" i="90"/>
  <c r="X459" i="90"/>
  <c r="X458" i="90"/>
  <c r="X457" i="90"/>
  <c r="X456" i="90"/>
  <c r="X455" i="90"/>
  <c r="X454" i="90"/>
  <c r="X453" i="90"/>
  <c r="X452" i="90"/>
  <c r="X451" i="90"/>
  <c r="X450" i="90"/>
  <c r="X449" i="90"/>
  <c r="X448" i="90"/>
  <c r="X447" i="90"/>
  <c r="X446" i="90"/>
  <c r="X445" i="90"/>
  <c r="X444" i="90"/>
  <c r="X443" i="90"/>
  <c r="X442" i="90"/>
  <c r="X441" i="90"/>
  <c r="X440" i="90"/>
  <c r="X439" i="90"/>
  <c r="X438" i="90"/>
  <c r="X437" i="90"/>
  <c r="X436" i="90"/>
  <c r="X435" i="90"/>
  <c r="X434" i="90"/>
  <c r="X433" i="90"/>
  <c r="X432" i="90"/>
  <c r="X142" i="90"/>
  <c r="X141" i="90"/>
  <c r="X140" i="90"/>
  <c r="X139" i="90"/>
  <c r="X138" i="90"/>
  <c r="X137" i="90"/>
  <c r="X136" i="90"/>
  <c r="X135" i="90"/>
  <c r="X134" i="90"/>
  <c r="X133" i="90"/>
  <c r="X132" i="90"/>
  <c r="X131" i="90"/>
  <c r="X130" i="90"/>
  <c r="X129" i="90"/>
  <c r="X128" i="90"/>
  <c r="X127" i="90"/>
  <c r="X126" i="90"/>
  <c r="X125" i="90"/>
  <c r="X124" i="90"/>
  <c r="X123" i="90"/>
  <c r="X122" i="90"/>
  <c r="X121" i="90"/>
  <c r="X120" i="90"/>
  <c r="X119" i="90"/>
  <c r="X118" i="90"/>
  <c r="X117" i="90"/>
  <c r="X116" i="90"/>
  <c r="X115" i="90"/>
  <c r="X114" i="90"/>
  <c r="X113" i="90"/>
  <c r="X112" i="90"/>
  <c r="X111" i="90"/>
  <c r="X110" i="90"/>
  <c r="X109" i="90"/>
  <c r="X108" i="90"/>
  <c r="X107" i="90"/>
  <c r="X106" i="90"/>
  <c r="X105" i="90"/>
  <c r="X104" i="90"/>
  <c r="X103" i="90"/>
  <c r="X102" i="90"/>
  <c r="X101" i="90"/>
  <c r="X100" i="90"/>
  <c r="X99" i="90"/>
  <c r="X98" i="90"/>
  <c r="X97" i="90"/>
  <c r="X96" i="90"/>
  <c r="X95" i="90"/>
  <c r="X94" i="90"/>
  <c r="X93" i="90"/>
  <c r="X92" i="90"/>
  <c r="X91" i="90"/>
  <c r="X90" i="90"/>
  <c r="X89" i="90"/>
  <c r="X88" i="90"/>
  <c r="X87" i="90"/>
  <c r="X86" i="90"/>
  <c r="X85" i="90"/>
  <c r="X84" i="90"/>
  <c r="X83" i="90"/>
  <c r="X82" i="90"/>
  <c r="X81" i="90"/>
  <c r="X80" i="90"/>
  <c r="X79" i="90"/>
  <c r="X78" i="90"/>
  <c r="X77" i="90"/>
  <c r="X76" i="90"/>
  <c r="X75" i="90"/>
  <c r="X74" i="90"/>
  <c r="X73" i="90"/>
  <c r="X72" i="90"/>
  <c r="X71" i="90"/>
  <c r="X70" i="90"/>
  <c r="X69" i="90"/>
  <c r="X68" i="90"/>
  <c r="X67" i="90"/>
  <c r="X66" i="90"/>
  <c r="X65" i="90"/>
  <c r="X64" i="90"/>
  <c r="X63" i="90"/>
  <c r="X62" i="90"/>
  <c r="X61" i="90"/>
  <c r="X60" i="90"/>
  <c r="X59" i="90"/>
  <c r="X58" i="90"/>
  <c r="X57" i="90"/>
  <c r="X56" i="90"/>
  <c r="X55" i="90"/>
  <c r="X54" i="90"/>
  <c r="X53" i="90"/>
  <c r="X52" i="90"/>
  <c r="X51" i="90"/>
  <c r="X50" i="90"/>
  <c r="X49" i="90"/>
  <c r="X48" i="90"/>
  <c r="X47" i="90"/>
  <c r="X46" i="90"/>
  <c r="X45" i="90"/>
  <c r="X44" i="90"/>
  <c r="X43" i="90"/>
  <c r="X42" i="90"/>
  <c r="X41" i="90"/>
  <c r="X40" i="90"/>
  <c r="X39" i="90"/>
  <c r="X38" i="90"/>
  <c r="X37" i="90"/>
  <c r="X36" i="90"/>
  <c r="X35" i="90"/>
  <c r="X34" i="90"/>
  <c r="X33" i="90"/>
  <c r="X32" i="90"/>
  <c r="X31" i="90"/>
  <c r="X30" i="90"/>
  <c r="X29" i="90"/>
  <c r="X28" i="90"/>
  <c r="X27" i="90"/>
  <c r="X26" i="90"/>
  <c r="X25" i="90"/>
  <c r="X24" i="90"/>
  <c r="X23" i="90"/>
  <c r="X22" i="90"/>
  <c r="X21" i="90"/>
  <c r="X20" i="90"/>
  <c r="X19" i="90"/>
  <c r="X18" i="90"/>
  <c r="X17" i="90"/>
  <c r="X16" i="90"/>
  <c r="X15" i="90"/>
  <c r="X14" i="90"/>
  <c r="X13" i="90"/>
  <c r="X12" i="90"/>
  <c r="X11" i="90"/>
  <c r="X10" i="90"/>
  <c r="X4" i="90"/>
  <c r="X3" i="90"/>
  <c r="X2" i="90"/>
  <c r="C33" i="90"/>
  <c r="C32" i="90"/>
  <c r="D15" i="90"/>
  <c r="C14" i="90"/>
  <c r="I11" i="90"/>
  <c r="I8" i="90"/>
  <c r="I7" i="90"/>
  <c r="A619" i="78" l="1"/>
  <c r="A620" i="78"/>
  <c r="A621" i="78"/>
  <c r="A622" i="78"/>
  <c r="A623" i="78"/>
  <c r="A624" i="78"/>
  <c r="A625" i="78"/>
  <c r="A626" i="78"/>
  <c r="A627" i="78"/>
  <c r="A628" i="78"/>
  <c r="A629" i="78"/>
  <c r="A630" i="78"/>
  <c r="A631" i="78"/>
  <c r="A632" i="78"/>
  <c r="A633" i="78"/>
  <c r="A634" i="78"/>
  <c r="A635" i="78"/>
  <c r="A636" i="78"/>
  <c r="A637" i="78"/>
  <c r="A638" i="78"/>
  <c r="A639" i="78"/>
  <c r="A640" i="78"/>
  <c r="A641" i="78"/>
  <c r="A642" i="78"/>
  <c r="A643" i="78"/>
  <c r="A644" i="78"/>
  <c r="A645" i="78"/>
  <c r="A646" i="78"/>
  <c r="A647" i="78"/>
  <c r="A648" i="78"/>
  <c r="A649" i="78"/>
  <c r="A650" i="78"/>
  <c r="A651" i="78"/>
  <c r="A652" i="78"/>
  <c r="A653" i="78"/>
  <c r="A654" i="78"/>
  <c r="A655" i="78"/>
  <c r="A656" i="78"/>
  <c r="A657" i="78"/>
  <c r="A658" i="78"/>
  <c r="A659" i="78"/>
  <c r="A660" i="78"/>
  <c r="A661" i="78"/>
  <c r="A662" i="78"/>
  <c r="A663" i="78"/>
  <c r="A664" i="78"/>
  <c r="A665" i="78"/>
  <c r="A666" i="78"/>
  <c r="A667" i="78"/>
  <c r="A668" i="78"/>
  <c r="A669" i="78"/>
  <c r="A670" i="78"/>
  <c r="A671" i="78"/>
  <c r="A672" i="78"/>
  <c r="A673" i="78"/>
  <c r="A674" i="78"/>
  <c r="A675" i="78"/>
  <c r="A676" i="78"/>
  <c r="A677" i="78"/>
  <c r="A678" i="78"/>
  <c r="A679" i="78"/>
  <c r="A680" i="78"/>
  <c r="A681" i="78"/>
  <c r="A682" i="78"/>
  <c r="A683" i="78"/>
  <c r="A684" i="78"/>
  <c r="A685" i="78"/>
  <c r="A686" i="78"/>
  <c r="A687" i="78"/>
  <c r="A688" i="78"/>
  <c r="A689" i="78"/>
  <c r="A690" i="78"/>
  <c r="A691" i="78"/>
  <c r="A692" i="78"/>
  <c r="A693" i="78"/>
  <c r="A694" i="78"/>
  <c r="A695" i="78"/>
  <c r="A696" i="78"/>
  <c r="A697" i="78"/>
  <c r="A698" i="78"/>
  <c r="A699" i="78"/>
  <c r="A700" i="78"/>
  <c r="A701" i="78"/>
  <c r="A702" i="78"/>
  <c r="A703" i="78"/>
  <c r="A704" i="78"/>
  <c r="A705" i="78"/>
  <c r="A706" i="78"/>
  <c r="A707" i="78"/>
  <c r="A708" i="78"/>
  <c r="A709" i="78"/>
  <c r="A710" i="78"/>
  <c r="A711" i="78"/>
  <c r="A712" i="78"/>
  <c r="A713" i="78"/>
  <c r="A714" i="78"/>
  <c r="A715" i="78"/>
  <c r="A716" i="78"/>
  <c r="A717" i="78"/>
  <c r="A718" i="78"/>
  <c r="A719" i="78"/>
  <c r="A720" i="78"/>
  <c r="A721" i="78"/>
  <c r="A722" i="78"/>
  <c r="A723" i="78"/>
  <c r="A724" i="78"/>
  <c r="A725" i="78"/>
  <c r="A726" i="78"/>
  <c r="A727" i="78"/>
  <c r="A728" i="78"/>
  <c r="A729" i="78"/>
  <c r="A730" i="78"/>
  <c r="A731" i="78"/>
  <c r="A732" i="78"/>
  <c r="A733" i="78"/>
  <c r="A734" i="78"/>
  <c r="A735" i="78"/>
  <c r="A736" i="78"/>
  <c r="A737" i="78"/>
  <c r="A738" i="78"/>
  <c r="A739" i="78"/>
  <c r="A740" i="78"/>
  <c r="A741" i="78"/>
  <c r="A742" i="78"/>
  <c r="A743" i="78"/>
  <c r="A744" i="78"/>
  <c r="A745" i="78"/>
  <c r="A746" i="78"/>
  <c r="A747" i="78"/>
  <c r="A748" i="78"/>
  <c r="A749" i="78"/>
  <c r="A750" i="78"/>
  <c r="A751" i="78"/>
  <c r="A752" i="78"/>
  <c r="A753" i="78"/>
  <c r="A754" i="78"/>
  <c r="A755" i="78"/>
  <c r="A756" i="78"/>
  <c r="A757" i="78"/>
  <c r="A758" i="78"/>
  <c r="A759" i="78"/>
  <c r="A760" i="78"/>
  <c r="A761" i="78"/>
  <c r="A762" i="78"/>
  <c r="A763" i="78"/>
  <c r="A764" i="78"/>
  <c r="A765" i="78"/>
  <c r="A766" i="78"/>
  <c r="A767" i="78"/>
  <c r="A768" i="78"/>
  <c r="A769" i="78"/>
  <c r="A770" i="78"/>
  <c r="A771" i="78"/>
  <c r="A772" i="78"/>
  <c r="A773" i="78"/>
  <c r="A774" i="78"/>
  <c r="A775" i="78"/>
  <c r="A776" i="78"/>
  <c r="A777" i="78"/>
  <c r="A778" i="78"/>
  <c r="A779" i="78"/>
  <c r="A780" i="78"/>
  <c r="A781" i="78"/>
  <c r="A782" i="78"/>
  <c r="A783" i="78"/>
  <c r="A784" i="78"/>
  <c r="A785" i="78"/>
  <c r="A786" i="78"/>
  <c r="A787" i="78"/>
  <c r="A788" i="78"/>
  <c r="A789" i="78"/>
  <c r="A790" i="78"/>
  <c r="A791" i="78"/>
  <c r="A792" i="78"/>
  <c r="A793" i="78"/>
  <c r="A794" i="78"/>
  <c r="A795" i="78"/>
  <c r="A796" i="78"/>
  <c r="A797" i="78"/>
  <c r="A798" i="78"/>
  <c r="A799" i="78"/>
  <c r="A800" i="78"/>
  <c r="A801" i="78"/>
  <c r="A802" i="78"/>
  <c r="A803" i="78"/>
  <c r="A804" i="78"/>
  <c r="A805" i="78"/>
  <c r="A806" i="78"/>
  <c r="A807" i="78"/>
  <c r="A808" i="78"/>
  <c r="A809" i="78"/>
  <c r="A810" i="78"/>
  <c r="A811" i="78"/>
  <c r="A812" i="78"/>
  <c r="A813" i="78"/>
  <c r="A814" i="78"/>
  <c r="A815" i="78"/>
  <c r="A816" i="78"/>
  <c r="A817" i="78"/>
  <c r="A818" i="78"/>
  <c r="A819" i="78"/>
  <c r="A820" i="78"/>
  <c r="A821" i="78"/>
  <c r="A822" i="78"/>
  <c r="A823" i="78"/>
  <c r="A824" i="78"/>
  <c r="A825" i="78"/>
  <c r="A826" i="78"/>
  <c r="A827" i="78"/>
  <c r="A828" i="78"/>
  <c r="A829" i="78"/>
  <c r="A830" i="78"/>
  <c r="A831" i="78"/>
  <c r="A832" i="78"/>
  <c r="A833" i="78"/>
  <c r="A834" i="78"/>
  <c r="A835" i="78"/>
  <c r="A836" i="78"/>
  <c r="A837" i="78"/>
  <c r="A838" i="78"/>
  <c r="A839" i="78"/>
  <c r="A840" i="78"/>
  <c r="A841" i="78"/>
  <c r="A842" i="78"/>
  <c r="A843" i="78"/>
  <c r="A844" i="78"/>
  <c r="A845" i="78"/>
  <c r="A846" i="78"/>
  <c r="A847" i="78"/>
  <c r="A848" i="78"/>
  <c r="A849" i="78"/>
  <c r="A850" i="78"/>
  <c r="A851" i="78"/>
  <c r="A852" i="78"/>
  <c r="A853" i="78"/>
  <c r="A854" i="78"/>
  <c r="A855" i="78"/>
  <c r="A856" i="78"/>
  <c r="A857" i="78"/>
  <c r="A858" i="78"/>
  <c r="A859" i="78"/>
  <c r="A860" i="78"/>
  <c r="A861" i="78"/>
  <c r="A862" i="78"/>
  <c r="A863" i="78"/>
  <c r="A864" i="78"/>
  <c r="A865" i="78"/>
  <c r="A866" i="78"/>
  <c r="A867" i="78"/>
  <c r="A868" i="78"/>
  <c r="A869" i="78"/>
  <c r="A870" i="78"/>
  <c r="A871" i="78"/>
  <c r="A872" i="78"/>
  <c r="A873" i="78"/>
  <c r="A874" i="78"/>
  <c r="A875" i="78"/>
  <c r="A876" i="78"/>
  <c r="A877" i="78"/>
  <c r="A878" i="78"/>
  <c r="A879" i="78"/>
  <c r="A880" i="78"/>
  <c r="A881" i="78"/>
  <c r="A882" i="78"/>
  <c r="A883" i="78"/>
  <c r="A884" i="78"/>
  <c r="A885" i="78"/>
  <c r="A886" i="78"/>
  <c r="A887" i="78"/>
  <c r="A888" i="78"/>
  <c r="A889" i="78"/>
  <c r="A890" i="78"/>
  <c r="A891" i="78"/>
  <c r="A892" i="78"/>
  <c r="A893" i="78"/>
  <c r="A894" i="78"/>
  <c r="A895" i="78"/>
  <c r="A896" i="78"/>
  <c r="A897" i="78"/>
  <c r="A898" i="78"/>
  <c r="A899" i="78"/>
  <c r="A900" i="78"/>
  <c r="A901" i="78"/>
  <c r="A902" i="78"/>
  <c r="A903" i="78"/>
  <c r="A904" i="78"/>
  <c r="A905" i="78"/>
  <c r="A906" i="78"/>
  <c r="A907" i="78"/>
  <c r="A908" i="78"/>
  <c r="A909" i="78"/>
  <c r="A910" i="78"/>
  <c r="A911" i="78"/>
  <c r="A912" i="78"/>
  <c r="A913" i="78"/>
  <c r="A914" i="78"/>
  <c r="A915" i="78"/>
  <c r="A916" i="78"/>
  <c r="A917" i="78"/>
  <c r="A918" i="78"/>
  <c r="A919" i="78"/>
  <c r="A920" i="78"/>
  <c r="A921" i="78"/>
  <c r="A922" i="78"/>
  <c r="A923" i="78"/>
  <c r="A924" i="78"/>
  <c r="A925" i="78"/>
  <c r="A926" i="78"/>
  <c r="A927" i="78"/>
  <c r="A928" i="78"/>
  <c r="A929" i="78"/>
  <c r="A930" i="78"/>
  <c r="A931" i="78"/>
  <c r="A932" i="78"/>
  <c r="A933" i="78"/>
  <c r="A934" i="78"/>
  <c r="A935" i="78"/>
  <c r="A936" i="78"/>
  <c r="A937" i="78"/>
  <c r="A938" i="78"/>
  <c r="A939" i="78"/>
  <c r="A940" i="78"/>
  <c r="A941" i="78"/>
  <c r="A942" i="78"/>
  <c r="A943" i="78"/>
  <c r="A944" i="78"/>
  <c r="A945" i="78"/>
  <c r="A946" i="78"/>
  <c r="A947" i="78"/>
  <c r="A948" i="78"/>
  <c r="A949" i="78"/>
  <c r="A950" i="78"/>
  <c r="A951" i="78"/>
  <c r="A952" i="78"/>
  <c r="A953" i="78"/>
  <c r="A954" i="78"/>
  <c r="A955" i="78"/>
  <c r="A956" i="78"/>
  <c r="A957" i="78"/>
  <c r="A958" i="78"/>
  <c r="A959" i="78"/>
  <c r="A960" i="78"/>
  <c r="A961" i="78"/>
  <c r="A962" i="78"/>
  <c r="A963" i="78"/>
  <c r="A964" i="78"/>
  <c r="A965" i="78"/>
  <c r="A966" i="78"/>
  <c r="A967" i="78"/>
  <c r="A968" i="78"/>
  <c r="A969" i="78"/>
  <c r="A970" i="78"/>
  <c r="A971" i="78"/>
  <c r="A972" i="78"/>
  <c r="A973" i="78"/>
  <c r="A974" i="78"/>
  <c r="A975" i="78"/>
  <c r="A976" i="78"/>
  <c r="A977" i="78"/>
  <c r="A978" i="78"/>
  <c r="A979" i="78"/>
  <c r="A980" i="78"/>
  <c r="A981" i="78"/>
  <c r="A982" i="78"/>
  <c r="A983" i="78"/>
  <c r="A984" i="78"/>
  <c r="A985" i="78"/>
  <c r="A986" i="78"/>
  <c r="A987" i="78"/>
  <c r="A988" i="78"/>
  <c r="A989" i="78"/>
  <c r="A990" i="78"/>
  <c r="A991" i="78"/>
  <c r="A992" i="78"/>
  <c r="A993" i="78"/>
  <c r="A994" i="78"/>
  <c r="A995" i="78"/>
  <c r="A996" i="78"/>
  <c r="A997" i="78"/>
  <c r="A998" i="78"/>
  <c r="A999" i="78"/>
  <c r="A1000" i="78"/>
  <c r="A1001" i="78"/>
  <c r="A1002" i="78"/>
  <c r="A1003" i="78"/>
  <c r="A1004" i="78"/>
  <c r="A1005" i="78"/>
  <c r="A1006" i="78"/>
  <c r="A1007" i="78"/>
  <c r="A1008" i="78"/>
  <c r="A1009" i="78"/>
  <c r="A1010" i="78"/>
  <c r="A1011" i="78"/>
  <c r="A1012" i="78"/>
  <c r="A1013" i="78"/>
  <c r="A1014" i="78"/>
  <c r="A1015" i="78"/>
  <c r="A1016" i="78"/>
  <c r="A1017" i="78"/>
  <c r="A1018" i="78"/>
  <c r="A1019" i="78"/>
  <c r="A1020" i="78"/>
  <c r="A1021" i="78"/>
  <c r="A1022" i="78"/>
  <c r="A1023" i="78"/>
  <c r="A1024" i="78"/>
  <c r="A1025" i="78"/>
  <c r="A1026" i="78"/>
  <c r="A1027" i="78"/>
  <c r="A1028" i="78"/>
  <c r="A1029" i="78"/>
  <c r="A1030" i="78"/>
  <c r="A1031" i="78"/>
  <c r="A1032" i="78"/>
  <c r="A1033" i="78"/>
  <c r="A1034" i="78"/>
  <c r="A1035" i="78"/>
  <c r="A1036" i="78"/>
  <c r="A1037" i="78"/>
  <c r="A1038" i="78"/>
  <c r="A1039" i="78"/>
  <c r="A1040" i="78"/>
  <c r="A1041" i="78"/>
  <c r="A1042" i="78"/>
  <c r="A1043" i="78"/>
  <c r="A1044" i="78"/>
  <c r="A1045" i="78"/>
  <c r="A1046" i="78"/>
  <c r="A1047" i="78"/>
  <c r="A1048" i="78"/>
  <c r="A1049" i="78"/>
  <c r="A1050" i="78"/>
  <c r="A1051" i="78"/>
  <c r="A1052" i="78"/>
  <c r="A1053" i="78"/>
  <c r="A1054" i="78"/>
  <c r="A1055" i="78"/>
  <c r="A1056" i="78"/>
  <c r="A1057" i="78"/>
  <c r="A1058" i="78"/>
  <c r="A1059" i="78"/>
  <c r="A1060" i="78"/>
  <c r="A1061" i="78"/>
  <c r="A1062" i="78"/>
  <c r="A1063" i="78"/>
  <c r="A1064" i="78"/>
  <c r="A1065" i="78"/>
  <c r="A1066" i="78"/>
  <c r="A1067" i="78"/>
  <c r="A1068" i="78"/>
  <c r="A1069" i="78"/>
  <c r="A1070" i="78"/>
  <c r="A1071" i="78"/>
  <c r="A1072" i="78"/>
  <c r="A1073" i="78"/>
  <c r="A1074" i="78"/>
  <c r="A1075" i="78"/>
  <c r="A1076" i="78"/>
  <c r="A1077" i="78"/>
  <c r="A1078" i="78"/>
  <c r="A1079" i="78"/>
  <c r="A1080" i="78"/>
  <c r="A1081" i="78"/>
  <c r="A1082" i="78"/>
  <c r="A1083" i="78"/>
  <c r="A1084" i="78"/>
  <c r="A1085" i="78"/>
  <c r="A1086" i="78"/>
  <c r="A1087" i="78"/>
  <c r="A1088" i="78"/>
  <c r="A1089" i="78"/>
  <c r="A1090" i="78"/>
  <c r="A1091" i="78"/>
  <c r="A1092" i="78"/>
  <c r="A1093" i="78"/>
  <c r="A1094" i="78"/>
  <c r="A1095" i="78"/>
  <c r="A1096" i="78"/>
  <c r="A1097" i="78"/>
  <c r="A1098" i="78"/>
  <c r="A1099" i="78"/>
  <c r="A1100" i="78"/>
  <c r="A1101" i="78"/>
  <c r="A1102" i="78"/>
  <c r="A1103" i="78"/>
  <c r="A1104" i="78"/>
  <c r="A1105" i="78"/>
  <c r="A1106" i="78"/>
  <c r="A1107" i="78"/>
  <c r="A1108" i="78"/>
  <c r="A1109" i="78"/>
  <c r="A1110" i="78"/>
  <c r="A1111" i="78"/>
  <c r="A1112" i="78"/>
  <c r="A1113" i="78"/>
  <c r="A1114" i="78"/>
  <c r="A1115" i="78"/>
  <c r="A1116" i="78"/>
  <c r="A1117" i="78"/>
  <c r="A1118" i="78"/>
  <c r="A1119" i="78"/>
  <c r="A1120" i="78"/>
  <c r="A1121" i="78"/>
  <c r="A1122" i="78"/>
  <c r="A1123" i="78"/>
  <c r="A1124" i="78"/>
  <c r="A1125" i="78"/>
  <c r="A1126" i="78"/>
  <c r="A1127" i="78"/>
  <c r="A1128" i="78"/>
  <c r="A1129" i="78"/>
  <c r="A1130" i="78"/>
  <c r="A1131" i="78"/>
  <c r="A1132" i="78"/>
  <c r="A1133" i="78"/>
  <c r="A1134" i="78"/>
  <c r="A1135" i="78"/>
  <c r="A1136" i="78"/>
  <c r="A1137" i="78"/>
  <c r="A1138" i="78"/>
  <c r="A1139" i="78"/>
  <c r="A1140" i="78"/>
  <c r="A1141" i="78"/>
  <c r="A1142" i="78"/>
  <c r="A1143" i="78"/>
  <c r="A1144" i="78"/>
  <c r="A1145" i="78"/>
  <c r="A1146" i="78"/>
  <c r="A1147" i="78"/>
  <c r="A1148" i="78"/>
  <c r="A1149" i="78"/>
  <c r="A1150" i="78"/>
  <c r="A1151" i="78"/>
  <c r="A1152" i="78"/>
  <c r="A1153" i="78"/>
  <c r="A1154" i="78"/>
  <c r="A1155" i="78"/>
  <c r="A1156" i="78"/>
  <c r="A1157" i="78"/>
  <c r="A1158" i="78"/>
  <c r="A1159" i="78"/>
  <c r="A1160" i="78"/>
  <c r="A1161" i="78"/>
  <c r="A1162" i="78"/>
  <c r="A1163" i="78"/>
  <c r="A1164" i="78"/>
  <c r="A1165" i="78"/>
  <c r="A1166" i="78"/>
  <c r="A1167" i="78"/>
  <c r="A1168" i="78"/>
  <c r="A1169" i="78"/>
  <c r="A1170" i="78"/>
  <c r="A1171" i="78"/>
  <c r="A1172" i="78"/>
  <c r="A1173" i="78"/>
  <c r="A1174" i="78"/>
  <c r="A1175" i="78"/>
  <c r="A1176" i="78"/>
  <c r="A1177" i="78"/>
  <c r="A1178" i="78"/>
  <c r="A1179" i="78"/>
  <c r="A1180" i="78"/>
  <c r="A1181" i="78"/>
  <c r="A1182" i="78"/>
  <c r="A1183" i="78"/>
  <c r="A1184" i="78"/>
  <c r="A1185" i="78"/>
  <c r="A1186" i="78"/>
  <c r="A1187" i="78"/>
  <c r="A1188" i="78"/>
  <c r="A1189" i="78"/>
  <c r="A1190" i="78"/>
  <c r="A1191" i="78"/>
  <c r="A1192" i="78"/>
  <c r="A1193" i="78"/>
  <c r="A1194" i="78"/>
  <c r="A1195" i="78"/>
  <c r="A1196" i="78"/>
  <c r="A1197" i="78"/>
  <c r="A1198" i="78"/>
  <c r="A1199" i="78"/>
  <c r="A1200" i="78"/>
  <c r="A1201" i="78"/>
  <c r="A1202" i="78"/>
  <c r="A1203" i="78"/>
  <c r="A1204" i="78"/>
  <c r="A1205" i="78"/>
  <c r="A1206" i="78"/>
  <c r="A1207" i="78"/>
  <c r="A1208" i="78"/>
  <c r="A1209" i="78"/>
  <c r="A1210" i="78"/>
  <c r="A1211" i="78"/>
  <c r="A1212" i="78"/>
  <c r="A1213" i="78"/>
  <c r="A1214" i="78"/>
  <c r="A1215" i="78"/>
  <c r="A1216" i="78"/>
  <c r="A1217" i="78"/>
  <c r="A1218" i="78"/>
  <c r="A1219" i="78"/>
  <c r="A1220" i="78"/>
  <c r="A1221" i="78"/>
  <c r="A1222" i="78"/>
  <c r="A1223" i="78"/>
  <c r="A1224" i="78"/>
  <c r="A1225" i="78"/>
  <c r="A1226" i="78"/>
  <c r="A1227" i="78"/>
  <c r="A1228" i="78"/>
  <c r="A1229" i="78"/>
  <c r="A1230" i="78"/>
  <c r="A1231" i="78"/>
  <c r="A1232" i="78"/>
  <c r="A1233" i="78"/>
  <c r="A1234" i="78"/>
  <c r="A1235" i="78"/>
  <c r="A1236" i="78"/>
  <c r="A1237" i="78"/>
  <c r="A1238" i="78"/>
  <c r="A1239" i="78"/>
  <c r="A1240" i="78"/>
  <c r="A1241" i="78"/>
  <c r="A1242" i="78"/>
  <c r="A1243" i="78"/>
  <c r="A1244" i="78"/>
  <c r="A1245" i="78"/>
  <c r="A1246" i="78"/>
  <c r="A1247" i="78"/>
  <c r="A1248" i="78"/>
  <c r="A1249" i="78"/>
  <c r="A1250" i="78"/>
  <c r="A1251" i="78"/>
  <c r="A1252" i="78"/>
  <c r="A1253" i="78"/>
  <c r="A1254" i="78"/>
  <c r="A1255" i="78"/>
  <c r="A1256" i="78"/>
  <c r="A1257" i="78"/>
  <c r="A1258" i="78"/>
  <c r="A1259" i="78"/>
  <c r="A1260" i="78"/>
  <c r="A1261" i="78"/>
  <c r="A1262" i="78"/>
  <c r="A1263" i="78"/>
  <c r="A1264" i="78"/>
  <c r="A1265" i="78"/>
  <c r="A1266" i="78"/>
  <c r="A1267" i="78"/>
  <c r="A1268" i="78"/>
  <c r="A1269" i="78"/>
  <c r="A1270" i="78"/>
  <c r="A1271" i="78"/>
  <c r="A1272" i="78"/>
  <c r="A1273" i="78"/>
  <c r="A1274" i="78"/>
  <c r="A1275" i="78"/>
  <c r="A1276" i="78"/>
  <c r="A1277" i="78"/>
  <c r="A1278" i="78"/>
  <c r="A1279" i="78"/>
  <c r="A1280" i="78"/>
  <c r="A1281" i="78"/>
  <c r="A1282" i="78"/>
  <c r="A1283" i="78"/>
  <c r="A1284" i="78"/>
  <c r="A1285" i="78"/>
  <c r="A1286" i="78"/>
  <c r="A1287" i="78"/>
  <c r="A1288" i="78"/>
  <c r="A1289" i="78"/>
  <c r="A1290" i="78"/>
  <c r="A1291" i="78"/>
  <c r="A1292" i="78"/>
  <c r="A1293" i="78"/>
  <c r="A1294" i="78"/>
  <c r="A1295" i="78"/>
  <c r="A1296" i="78"/>
  <c r="A1297" i="78"/>
  <c r="A1298" i="78"/>
  <c r="A1299" i="78"/>
  <c r="A1300" i="78"/>
  <c r="A1301" i="78"/>
  <c r="A1302" i="78"/>
  <c r="A1303" i="78"/>
  <c r="A1304" i="78"/>
  <c r="A1305" i="78"/>
  <c r="A1306" i="78"/>
  <c r="A1307" i="78"/>
  <c r="A1308" i="78"/>
  <c r="A1309" i="78"/>
  <c r="A1310" i="78"/>
  <c r="A1311" i="78"/>
  <c r="A1312" i="78"/>
  <c r="A1313" i="78"/>
  <c r="A1314" i="78"/>
  <c r="A1315" i="78"/>
  <c r="A1316" i="78"/>
  <c r="A1317" i="78"/>
  <c r="A1318" i="78"/>
  <c r="A1319" i="78"/>
  <c r="A1320" i="78"/>
  <c r="A1321" i="78"/>
  <c r="A1322" i="78"/>
  <c r="A1323" i="78"/>
  <c r="A1324" i="78"/>
  <c r="A1325" i="78"/>
  <c r="A1326" i="78"/>
  <c r="A1327" i="78"/>
  <c r="A1328" i="78"/>
  <c r="A1329" i="78"/>
  <c r="A1330" i="78"/>
  <c r="A1331" i="78"/>
  <c r="A1332" i="78"/>
  <c r="A1333" i="78"/>
  <c r="A1334" i="78"/>
  <c r="A1335" i="78"/>
  <c r="A1336" i="78"/>
  <c r="A1337" i="78"/>
  <c r="A1338" i="78"/>
  <c r="A1339" i="78"/>
  <c r="A1340" i="78"/>
  <c r="A1341" i="78"/>
  <c r="A1342" i="78"/>
  <c r="A1343" i="78"/>
  <c r="A1344" i="78"/>
  <c r="A1345" i="78"/>
  <c r="A1346" i="78"/>
  <c r="A1347" i="78"/>
  <c r="A1348" i="78"/>
  <c r="A1349" i="78"/>
  <c r="A1350" i="78"/>
  <c r="A1351" i="78"/>
  <c r="A1352" i="78"/>
  <c r="A1353" i="78"/>
  <c r="A1354" i="78"/>
  <c r="A1355" i="78"/>
  <c r="A1356" i="78"/>
  <c r="A1357" i="78"/>
  <c r="A1358" i="78"/>
  <c r="A1359" i="78"/>
  <c r="A1360" i="78"/>
  <c r="A1361" i="78"/>
  <c r="A1362" i="78"/>
  <c r="A1363" i="78"/>
  <c r="A1364" i="78"/>
  <c r="A1365" i="78"/>
  <c r="A1366" i="78"/>
  <c r="A1367" i="78"/>
  <c r="A1368" i="78"/>
  <c r="A1369" i="78"/>
  <c r="A1370" i="78"/>
  <c r="A1371" i="78"/>
  <c r="A1372" i="78"/>
  <c r="A1373" i="78"/>
  <c r="A1374" i="78"/>
  <c r="A1375" i="78"/>
  <c r="A1376" i="78"/>
  <c r="A1377" i="78"/>
  <c r="A1378" i="78"/>
  <c r="A1379" i="78"/>
  <c r="A1380" i="78"/>
  <c r="A1381" i="78"/>
  <c r="A1382" i="78"/>
  <c r="A1383" i="78"/>
  <c r="A1384" i="78"/>
  <c r="A1385" i="78"/>
  <c r="A1386" i="78"/>
  <c r="A1387" i="78"/>
  <c r="A1388" i="78"/>
  <c r="A1389" i="78"/>
  <c r="A1390" i="78"/>
  <c r="A1391" i="78"/>
  <c r="A1392" i="78"/>
  <c r="A1393" i="78"/>
  <c r="A1394" i="78"/>
  <c r="A1395" i="78"/>
  <c r="A1396" i="78"/>
  <c r="A1397" i="78"/>
  <c r="A1398" i="78"/>
  <c r="A1399" i="78"/>
  <c r="A1400" i="78"/>
  <c r="A1401" i="78"/>
  <c r="A1402" i="78"/>
  <c r="A1403" i="78"/>
  <c r="A1404" i="78"/>
  <c r="C33" i="80" l="1"/>
  <c r="I11" i="80"/>
  <c r="I8" i="80"/>
  <c r="E25" i="80"/>
  <c r="I7" i="80"/>
  <c r="E15" i="80" l="1"/>
  <c r="S93" i="90" l="1"/>
  <c r="Q93" i="90"/>
  <c r="O93" i="90"/>
  <c r="M93" i="90"/>
  <c r="S92" i="90"/>
  <c r="Q92" i="90"/>
  <c r="O92" i="90"/>
  <c r="M92" i="90"/>
  <c r="K92" i="90"/>
  <c r="D92" i="90"/>
  <c r="S91" i="90"/>
  <c r="Q91" i="90"/>
  <c r="O91" i="90"/>
  <c r="M91" i="90"/>
  <c r="S90" i="90"/>
  <c r="Q90" i="90"/>
  <c r="O90" i="90"/>
  <c r="M90" i="90"/>
  <c r="S67" i="90"/>
  <c r="O67" i="90"/>
  <c r="M67" i="90"/>
  <c r="S66" i="90"/>
  <c r="O66" i="90"/>
  <c r="M66" i="90"/>
  <c r="S65" i="90"/>
  <c r="O65" i="90"/>
  <c r="M65" i="90"/>
  <c r="S64" i="90"/>
  <c r="M64" i="90"/>
  <c r="S63" i="90"/>
  <c r="M63" i="90"/>
  <c r="S62" i="90"/>
  <c r="M62" i="90"/>
  <c r="S61" i="90"/>
  <c r="S60" i="90"/>
  <c r="O60" i="90"/>
  <c r="S59" i="90"/>
  <c r="O59" i="90"/>
  <c r="M59" i="90"/>
  <c r="S58" i="90"/>
  <c r="Q58" i="90"/>
  <c r="O58" i="90"/>
  <c r="M58" i="90"/>
  <c r="S57" i="90"/>
  <c r="Q57" i="90"/>
  <c r="O57" i="90"/>
  <c r="M57" i="90"/>
  <c r="J57" i="90"/>
  <c r="S56" i="90"/>
  <c r="Q56" i="90"/>
  <c r="O56" i="90"/>
  <c r="M56" i="90"/>
  <c r="U27" i="90"/>
  <c r="U26" i="90"/>
  <c r="W222" i="84"/>
  <c r="W221" i="84"/>
  <c r="W220" i="84"/>
  <c r="W219" i="84"/>
  <c r="W218" i="84"/>
  <c r="W217" i="84"/>
  <c r="W216" i="84"/>
  <c r="W215" i="84"/>
  <c r="W214" i="84"/>
  <c r="W213" i="84"/>
  <c r="W212" i="84"/>
  <c r="W211" i="84"/>
  <c r="W210" i="84"/>
  <c r="W209" i="84"/>
  <c r="W208" i="84"/>
  <c r="W207" i="84"/>
  <c r="W206" i="84"/>
  <c r="W205" i="84"/>
  <c r="W204" i="84"/>
  <c r="W203" i="84"/>
  <c r="W202" i="84"/>
  <c r="W201" i="84"/>
  <c r="W200" i="84"/>
  <c r="W199" i="84"/>
  <c r="W198" i="84"/>
  <c r="W197" i="84"/>
  <c r="W196" i="84"/>
  <c r="W195" i="84"/>
  <c r="W194" i="84"/>
  <c r="W193" i="84"/>
  <c r="W192" i="84"/>
  <c r="W191" i="84"/>
  <c r="W190" i="84"/>
  <c r="W189" i="84"/>
  <c r="W188" i="84"/>
  <c r="W187" i="84"/>
  <c r="W186" i="84"/>
  <c r="W185" i="84"/>
  <c r="W184" i="84"/>
  <c r="W183" i="84"/>
  <c r="W182" i="84"/>
  <c r="W181" i="84"/>
  <c r="W180" i="84"/>
  <c r="W179" i="84"/>
  <c r="W178" i="84"/>
  <c r="W177" i="84"/>
  <c r="W176" i="84"/>
  <c r="W175" i="84"/>
  <c r="W174" i="84"/>
  <c r="W173" i="84"/>
  <c r="W172" i="84"/>
  <c r="W171" i="84"/>
  <c r="W170" i="84"/>
  <c r="W169" i="84"/>
  <c r="W168" i="84"/>
  <c r="W167" i="84"/>
  <c r="W166" i="84"/>
  <c r="W165" i="84"/>
  <c r="W164" i="84"/>
  <c r="W163" i="84"/>
  <c r="W162" i="84"/>
  <c r="W161" i="84"/>
  <c r="W160" i="84"/>
  <c r="W159" i="84"/>
  <c r="W158" i="84"/>
  <c r="W157" i="84"/>
  <c r="W156" i="84"/>
  <c r="W155" i="84"/>
  <c r="W154" i="84"/>
  <c r="W153" i="84"/>
  <c r="W152" i="84"/>
  <c r="W151" i="84"/>
  <c r="W150" i="84"/>
  <c r="W149" i="84"/>
  <c r="W148" i="84"/>
  <c r="W147" i="84"/>
  <c r="W146" i="84"/>
  <c r="W145" i="84"/>
  <c r="W144" i="84"/>
  <c r="W143" i="84"/>
  <c r="W142" i="84"/>
  <c r="W141" i="84"/>
  <c r="W140" i="84"/>
  <c r="W139" i="84"/>
  <c r="W138" i="84"/>
  <c r="W137" i="84"/>
  <c r="W136" i="84"/>
  <c r="W135" i="84"/>
  <c r="W134" i="84"/>
  <c r="W133" i="84"/>
  <c r="W132" i="84"/>
  <c r="W131" i="84"/>
  <c r="W130" i="84"/>
  <c r="W129" i="84"/>
  <c r="W128" i="84"/>
  <c r="W127" i="84"/>
  <c r="W126" i="84"/>
  <c r="W125" i="84"/>
  <c r="W124" i="84"/>
  <c r="W123" i="84"/>
  <c r="W122" i="84"/>
  <c r="W121" i="84"/>
  <c r="W120" i="84"/>
  <c r="W119" i="84"/>
  <c r="W118" i="84"/>
  <c r="W117" i="84"/>
  <c r="W116" i="84"/>
  <c r="W115" i="84"/>
  <c r="W114" i="84"/>
  <c r="W113" i="84"/>
  <c r="W112" i="84"/>
  <c r="W111" i="84"/>
  <c r="W110" i="84"/>
  <c r="W109" i="84"/>
  <c r="W108" i="84"/>
  <c r="W107" i="84"/>
  <c r="W106" i="84"/>
  <c r="W105" i="84"/>
  <c r="W104" i="84"/>
  <c r="W103" i="84"/>
  <c r="W102" i="84"/>
  <c r="W101" i="84"/>
  <c r="W100" i="84"/>
  <c r="W99" i="84"/>
  <c r="W98" i="84"/>
  <c r="W97" i="84"/>
  <c r="W96" i="84"/>
  <c r="W95" i="84"/>
  <c r="W94" i="84"/>
  <c r="W93" i="84"/>
  <c r="W92" i="84"/>
  <c r="W91" i="84"/>
  <c r="W90" i="84"/>
  <c r="W89" i="84"/>
  <c r="W88" i="84"/>
  <c r="W87" i="84"/>
  <c r="W86" i="84"/>
  <c r="W85" i="84"/>
  <c r="W84" i="84"/>
  <c r="W83" i="84"/>
  <c r="Q83" i="84"/>
  <c r="O83" i="84"/>
  <c r="M83" i="84"/>
  <c r="K83" i="84"/>
  <c r="W82" i="84"/>
  <c r="Q82" i="84"/>
  <c r="O82" i="84"/>
  <c r="M82" i="84"/>
  <c r="K82" i="84"/>
  <c r="W81" i="84"/>
  <c r="Q81" i="84"/>
  <c r="O81" i="84"/>
  <c r="M81" i="84"/>
  <c r="K81" i="84"/>
  <c r="W80" i="84"/>
  <c r="Q80" i="84"/>
  <c r="O80" i="84"/>
  <c r="M80" i="84"/>
  <c r="K80" i="84"/>
  <c r="W79" i="84"/>
  <c r="Q79" i="84"/>
  <c r="O79" i="84"/>
  <c r="M79" i="84"/>
  <c r="K79" i="84"/>
  <c r="W78" i="84"/>
  <c r="Q78" i="84"/>
  <c r="O78" i="84"/>
  <c r="M78" i="84"/>
  <c r="K78" i="84"/>
  <c r="W77" i="84"/>
  <c r="Q77" i="84"/>
  <c r="O77" i="84"/>
  <c r="M77" i="84"/>
  <c r="K77" i="84"/>
  <c r="W76" i="84"/>
  <c r="Q76" i="84"/>
  <c r="O76" i="84"/>
  <c r="W75" i="84"/>
  <c r="Q75" i="84"/>
  <c r="O75" i="84"/>
  <c r="M75" i="84"/>
  <c r="K75" i="84"/>
  <c r="W74" i="84"/>
  <c r="Q74" i="84"/>
  <c r="W73" i="84"/>
  <c r="Q73" i="84"/>
  <c r="W72" i="84"/>
  <c r="Q72" i="84"/>
  <c r="W71" i="84"/>
  <c r="Q71" i="84"/>
  <c r="W70" i="84"/>
  <c r="Q70" i="84"/>
  <c r="W69" i="84"/>
  <c r="Q69" i="84"/>
  <c r="W68" i="84"/>
  <c r="Q68" i="84"/>
  <c r="W67" i="84"/>
  <c r="Q67" i="84"/>
  <c r="W66" i="84"/>
  <c r="Q66" i="84"/>
  <c r="O66" i="84"/>
  <c r="M66" i="84"/>
  <c r="K66" i="84"/>
  <c r="W65" i="84"/>
  <c r="Q65" i="84"/>
  <c r="O65" i="84"/>
  <c r="L65" i="84"/>
  <c r="K65" i="84"/>
  <c r="W64" i="84"/>
  <c r="W63" i="84"/>
  <c r="W62" i="84"/>
  <c r="O62" i="84"/>
  <c r="R62" i="84" s="1"/>
  <c r="L62" i="84"/>
  <c r="J62" i="84"/>
  <c r="G62" i="84"/>
  <c r="W61" i="84"/>
  <c r="O61" i="84"/>
  <c r="R61" i="84" s="1"/>
  <c r="L61" i="84"/>
  <c r="J61" i="84"/>
  <c r="G61" i="84"/>
  <c r="W60" i="84"/>
  <c r="O60" i="84"/>
  <c r="R60" i="84" s="1"/>
  <c r="L60" i="84"/>
  <c r="J60" i="84"/>
  <c r="G60" i="84"/>
  <c r="W59" i="84"/>
  <c r="O59" i="84"/>
  <c r="L59" i="84"/>
  <c r="J59" i="84"/>
  <c r="G59" i="84"/>
  <c r="W58" i="84"/>
  <c r="W57" i="84"/>
  <c r="W56" i="84"/>
  <c r="W54" i="84"/>
  <c r="W53" i="84"/>
  <c r="W52" i="84"/>
  <c r="W51" i="84"/>
  <c r="W50" i="84"/>
  <c r="W49" i="84"/>
  <c r="W48" i="84"/>
  <c r="W47" i="84"/>
  <c r="W46" i="84"/>
  <c r="W45" i="84"/>
  <c r="W44" i="84"/>
  <c r="W43" i="84"/>
  <c r="W42" i="84"/>
  <c r="W41" i="84"/>
  <c r="W40" i="84"/>
  <c r="W39" i="84"/>
  <c r="W38" i="84"/>
  <c r="W37" i="84"/>
  <c r="W36" i="84"/>
  <c r="W35" i="84"/>
  <c r="W34" i="84"/>
  <c r="W33" i="84"/>
  <c r="C33" i="84"/>
  <c r="W32" i="84"/>
  <c r="C32" i="84"/>
  <c r="W31" i="84"/>
  <c r="W30" i="84"/>
  <c r="W29" i="84"/>
  <c r="W28" i="84"/>
  <c r="W27" i="84"/>
  <c r="W26" i="84"/>
  <c r="W25" i="84"/>
  <c r="U25" i="84"/>
  <c r="W24" i="84"/>
  <c r="W23" i="84"/>
  <c r="W22" i="84"/>
  <c r="W21" i="84"/>
  <c r="E21" i="84"/>
  <c r="W20" i="84"/>
  <c r="W19" i="84"/>
  <c r="W18" i="84"/>
  <c r="W17" i="84"/>
  <c r="W16" i="84"/>
  <c r="W15" i="84"/>
  <c r="D15" i="84"/>
  <c r="W14" i="84"/>
  <c r="C14" i="84"/>
  <c r="W13" i="84"/>
  <c r="W12" i="84"/>
  <c r="W11" i="84"/>
  <c r="W10" i="84"/>
  <c r="W9" i="84"/>
  <c r="I9" i="84"/>
  <c r="W8" i="84"/>
  <c r="I8" i="84"/>
  <c r="W7" i="84"/>
  <c r="I7" i="84"/>
  <c r="W6" i="84"/>
  <c r="W5" i="84"/>
  <c r="W4" i="84"/>
  <c r="W3" i="84"/>
  <c r="W2" i="84"/>
  <c r="A90" i="80"/>
  <c r="A89" i="80"/>
  <c r="A88" i="80"/>
  <c r="A87" i="80"/>
  <c r="A86" i="80"/>
  <c r="A85" i="80"/>
  <c r="A84" i="80"/>
  <c r="P83" i="80"/>
  <c r="A83" i="80"/>
  <c r="P82" i="80"/>
  <c r="A82" i="80"/>
  <c r="P81" i="80"/>
  <c r="A81" i="80"/>
  <c r="P80" i="80"/>
  <c r="A80" i="80"/>
  <c r="P79" i="80"/>
  <c r="A79" i="80"/>
  <c r="P78" i="80"/>
  <c r="A78" i="80"/>
  <c r="P77" i="80"/>
  <c r="A77" i="80"/>
  <c r="P76" i="80"/>
  <c r="A76" i="80"/>
  <c r="P75" i="80"/>
  <c r="A75" i="80"/>
  <c r="P74" i="80"/>
  <c r="A74" i="80"/>
  <c r="P73" i="80"/>
  <c r="A73" i="80"/>
  <c r="P72" i="80"/>
  <c r="A72" i="80"/>
  <c r="P71" i="80"/>
  <c r="A71" i="80"/>
  <c r="P70" i="80"/>
  <c r="A70" i="80"/>
  <c r="P69" i="80"/>
  <c r="A69" i="80"/>
  <c r="P68" i="80"/>
  <c r="A68" i="80"/>
  <c r="P67" i="80"/>
  <c r="A67" i="80"/>
  <c r="P66" i="80"/>
  <c r="A66" i="80"/>
  <c r="P65" i="80"/>
  <c r="A65" i="80"/>
  <c r="P64" i="80"/>
  <c r="A64" i="80"/>
  <c r="P63" i="80"/>
  <c r="A63" i="80"/>
  <c r="P62" i="80"/>
  <c r="A62" i="80"/>
  <c r="P61" i="80"/>
  <c r="A61" i="80"/>
  <c r="J61" i="80" s="1"/>
  <c r="P60" i="80"/>
  <c r="A60" i="80"/>
  <c r="J60" i="80" s="1"/>
  <c r="P59" i="80"/>
  <c r="A59" i="80"/>
  <c r="J59" i="80" s="1"/>
  <c r="P58" i="80"/>
  <c r="A58" i="80"/>
  <c r="J58" i="80" s="1"/>
  <c r="P57" i="80"/>
  <c r="A57" i="80"/>
  <c r="J57" i="80" s="1"/>
  <c r="P56" i="80"/>
  <c r="C34" i="80"/>
  <c r="U26" i="80"/>
  <c r="E21" i="80"/>
  <c r="E14" i="80"/>
  <c r="X2" i="80"/>
  <c r="A618" i="78"/>
  <c r="A617" i="78"/>
  <c r="A616" i="78"/>
  <c r="A615" i="78"/>
  <c r="A614" i="78"/>
  <c r="A613" i="78"/>
  <c r="A612" i="78"/>
  <c r="A611" i="78"/>
  <c r="A610" i="78"/>
  <c r="A609" i="78"/>
  <c r="A608" i="78"/>
  <c r="A607" i="78"/>
  <c r="A606" i="78"/>
  <c r="A605" i="78"/>
  <c r="A604" i="78"/>
  <c r="A603" i="78"/>
  <c r="A602" i="78"/>
  <c r="A601" i="78"/>
  <c r="A600" i="78"/>
  <c r="A599" i="78"/>
  <c r="A598" i="78"/>
  <c r="A597" i="78"/>
  <c r="A596" i="78"/>
  <c r="A595" i="78"/>
  <c r="A594" i="78"/>
  <c r="A593" i="78"/>
  <c r="A592" i="78"/>
  <c r="A591" i="78"/>
  <c r="A590" i="78"/>
  <c r="A589" i="78"/>
  <c r="A588" i="78"/>
  <c r="A587" i="78"/>
  <c r="A586" i="78"/>
  <c r="A585" i="78"/>
  <c r="A584" i="78"/>
  <c r="A583" i="78"/>
  <c r="A582" i="78"/>
  <c r="A581" i="78"/>
  <c r="A580" i="78"/>
  <c r="A579" i="78"/>
  <c r="A578" i="78"/>
  <c r="A577" i="78"/>
  <c r="A576" i="78"/>
  <c r="A575" i="78"/>
  <c r="A574" i="78"/>
  <c r="A573" i="78"/>
  <c r="A572" i="78"/>
  <c r="A571" i="78"/>
  <c r="A570" i="78"/>
  <c r="A569" i="78"/>
  <c r="A568" i="78"/>
  <c r="A567" i="78"/>
  <c r="A566" i="78"/>
  <c r="A565" i="78"/>
  <c r="A564" i="78"/>
  <c r="A563" i="78"/>
  <c r="A562" i="78"/>
  <c r="A561" i="78"/>
  <c r="A560" i="78"/>
  <c r="A559" i="78"/>
  <c r="A558" i="78"/>
  <c r="A557" i="78"/>
  <c r="A556" i="78"/>
  <c r="A555" i="78"/>
  <c r="A554" i="78"/>
  <c r="A553" i="78"/>
  <c r="A552" i="78"/>
  <c r="A551" i="78"/>
  <c r="A550" i="78"/>
  <c r="A549" i="78"/>
  <c r="A548" i="78"/>
  <c r="A547" i="78"/>
  <c r="A546" i="78"/>
  <c r="A545" i="78"/>
  <c r="A544" i="78"/>
  <c r="A543" i="78"/>
  <c r="A542" i="78"/>
  <c r="A541" i="78"/>
  <c r="A540" i="78"/>
  <c r="A539" i="78"/>
  <c r="A538" i="78"/>
  <c r="A537" i="78"/>
  <c r="A536" i="78"/>
  <c r="A535" i="78"/>
  <c r="A534" i="78"/>
  <c r="A533" i="78"/>
  <c r="A532" i="78"/>
  <c r="A531" i="78"/>
  <c r="A530" i="78"/>
  <c r="A529" i="78"/>
  <c r="A528" i="78"/>
  <c r="A527" i="78"/>
  <c r="A526" i="78"/>
  <c r="A525" i="78"/>
  <c r="A524" i="78"/>
  <c r="A523" i="78"/>
  <c r="A522" i="78"/>
  <c r="A521" i="78"/>
  <c r="A520" i="78"/>
  <c r="A519" i="78"/>
  <c r="A518" i="78"/>
  <c r="A517" i="78"/>
  <c r="A516" i="78"/>
  <c r="A515" i="78"/>
  <c r="A514" i="78"/>
  <c r="A513" i="78"/>
  <c r="A512" i="78"/>
  <c r="A511" i="78"/>
  <c r="A510" i="78"/>
  <c r="A509" i="78"/>
  <c r="A508" i="78"/>
  <c r="A507" i="78"/>
  <c r="A506" i="78"/>
  <c r="A505" i="78"/>
  <c r="A504" i="78"/>
  <c r="A503" i="78"/>
  <c r="A502" i="78"/>
  <c r="A501" i="78"/>
  <c r="A500" i="78"/>
  <c r="A499" i="78"/>
  <c r="A498" i="78"/>
  <c r="A497" i="78"/>
  <c r="A496" i="78"/>
  <c r="A495" i="78"/>
  <c r="A494" i="78"/>
  <c r="A493" i="78"/>
  <c r="A492" i="78"/>
  <c r="A491" i="78"/>
  <c r="A490" i="78"/>
  <c r="A489" i="78"/>
  <c r="A488" i="78"/>
  <c r="A487" i="78"/>
  <c r="A486" i="78"/>
  <c r="A485" i="78"/>
  <c r="A484" i="78"/>
  <c r="A483" i="78"/>
  <c r="A482" i="78"/>
  <c r="A481" i="78"/>
  <c r="A480" i="78"/>
  <c r="A479" i="78"/>
  <c r="A478" i="78"/>
  <c r="A477" i="78"/>
  <c r="A476" i="78"/>
  <c r="A475" i="78"/>
  <c r="A474" i="78"/>
  <c r="A473" i="78"/>
  <c r="A472" i="78"/>
  <c r="A471" i="78"/>
  <c r="A470" i="78"/>
  <c r="A469" i="78"/>
  <c r="A468" i="78"/>
  <c r="A467" i="78"/>
  <c r="A466" i="78"/>
  <c r="A465" i="78"/>
  <c r="A464" i="78"/>
  <c r="A463" i="78"/>
  <c r="A462" i="78"/>
  <c r="A461" i="78"/>
  <c r="A460" i="78"/>
  <c r="A459" i="78"/>
  <c r="A458" i="78"/>
  <c r="A457" i="78"/>
  <c r="A456" i="78"/>
  <c r="A455" i="78"/>
  <c r="A454" i="78"/>
  <c r="A453" i="78"/>
  <c r="A452" i="78"/>
  <c r="A451" i="78"/>
  <c r="A450" i="78"/>
  <c r="A449" i="78"/>
  <c r="A448" i="78"/>
  <c r="A447" i="78"/>
  <c r="A446" i="78"/>
  <c r="A445" i="78"/>
  <c r="A444" i="78"/>
  <c r="A443" i="78"/>
  <c r="A442" i="78"/>
  <c r="A441" i="78"/>
  <c r="A440" i="78"/>
  <c r="A439" i="78"/>
  <c r="A438" i="78"/>
  <c r="A437" i="78"/>
  <c r="A436" i="78"/>
  <c r="A435" i="78"/>
  <c r="A434" i="78"/>
  <c r="A433" i="78"/>
  <c r="A432" i="78"/>
  <c r="A431" i="78"/>
  <c r="A430" i="78"/>
  <c r="A429" i="78"/>
  <c r="A428" i="78"/>
  <c r="A427" i="78"/>
  <c r="A426" i="78"/>
  <c r="A425" i="78"/>
  <c r="A424" i="78"/>
  <c r="A423" i="78"/>
  <c r="A422" i="78"/>
  <c r="A421" i="78"/>
  <c r="A420" i="78"/>
  <c r="A419" i="78"/>
  <c r="A418" i="78"/>
  <c r="A417" i="78"/>
  <c r="A416" i="78"/>
  <c r="A415" i="78"/>
  <c r="A414" i="78"/>
  <c r="A413" i="78"/>
  <c r="A412" i="78"/>
  <c r="A411" i="78"/>
  <c r="A410" i="78"/>
  <c r="A409" i="78"/>
  <c r="A408" i="78"/>
  <c r="A407" i="78"/>
  <c r="A406" i="78"/>
  <c r="A405" i="78"/>
  <c r="A404" i="78"/>
  <c r="A403" i="78"/>
  <c r="A402" i="78"/>
  <c r="A401" i="78"/>
  <c r="A400" i="78"/>
  <c r="A399" i="78"/>
  <c r="A398" i="78"/>
  <c r="A397" i="78"/>
  <c r="A396" i="78"/>
  <c r="A395" i="78"/>
  <c r="A394" i="78"/>
  <c r="A393" i="78"/>
  <c r="A392" i="78"/>
  <c r="A391" i="78"/>
  <c r="A390" i="78"/>
  <c r="A389" i="78"/>
  <c r="A388" i="78"/>
  <c r="A387" i="78"/>
  <c r="A386" i="78"/>
  <c r="A385" i="78"/>
  <c r="A384" i="78"/>
  <c r="A383" i="78"/>
  <c r="A382" i="78"/>
  <c r="A381" i="78"/>
  <c r="A380" i="78"/>
  <c r="A379" i="78"/>
  <c r="A378" i="78"/>
  <c r="A377" i="78"/>
  <c r="A376" i="78"/>
  <c r="A375" i="78"/>
  <c r="A374" i="78"/>
  <c r="A373" i="78"/>
  <c r="A372" i="78"/>
  <c r="A371" i="78"/>
  <c r="A370" i="78"/>
  <c r="A369" i="78"/>
  <c r="A368" i="78"/>
  <c r="A367" i="78"/>
  <c r="A366" i="78"/>
  <c r="A365" i="78"/>
  <c r="A364" i="78"/>
  <c r="A363" i="78"/>
  <c r="A362" i="78"/>
  <c r="A361" i="78"/>
  <c r="A360" i="78"/>
  <c r="A359" i="78"/>
  <c r="A358" i="78"/>
  <c r="A357" i="78"/>
  <c r="A356" i="78"/>
  <c r="A355" i="78"/>
  <c r="A354" i="78"/>
  <c r="A353" i="78"/>
  <c r="A352" i="78"/>
  <c r="A351" i="78"/>
  <c r="A350" i="78"/>
  <c r="A349" i="78"/>
  <c r="A348" i="78"/>
  <c r="A347" i="78"/>
  <c r="A346" i="78"/>
  <c r="A345" i="78"/>
  <c r="A344" i="78"/>
  <c r="A343" i="78"/>
  <c r="A342" i="78"/>
  <c r="A341" i="78"/>
  <c r="A340" i="78"/>
  <c r="A339" i="78"/>
  <c r="A338" i="78"/>
  <c r="A337" i="78"/>
  <c r="A336" i="78"/>
  <c r="A335" i="78"/>
  <c r="A334" i="78"/>
  <c r="A333" i="78"/>
  <c r="A332" i="78"/>
  <c r="A331" i="78"/>
  <c r="A330" i="78"/>
  <c r="A329" i="78"/>
  <c r="A328" i="78"/>
  <c r="A327" i="78"/>
  <c r="A326" i="78"/>
  <c r="A325" i="78"/>
  <c r="A324" i="78"/>
  <c r="A323" i="78"/>
  <c r="A322" i="78"/>
  <c r="A321" i="78"/>
  <c r="A320" i="78"/>
  <c r="A319" i="78"/>
  <c r="A318" i="78"/>
  <c r="A317" i="78"/>
  <c r="A316" i="78"/>
  <c r="A315" i="78"/>
  <c r="A314" i="78"/>
  <c r="A313" i="78"/>
  <c r="A312" i="78"/>
  <c r="A311" i="78"/>
  <c r="A310" i="78"/>
  <c r="A309" i="78"/>
  <c r="A308" i="78"/>
  <c r="A307" i="78"/>
  <c r="A306" i="78"/>
  <c r="A305" i="78"/>
  <c r="A304" i="78"/>
  <c r="A303" i="78"/>
  <c r="A302" i="78"/>
  <c r="A301" i="78"/>
  <c r="A300" i="78"/>
  <c r="A299" i="78"/>
  <c r="A298" i="78"/>
  <c r="A297" i="78"/>
  <c r="A296" i="78"/>
  <c r="A295" i="78"/>
  <c r="A294" i="78"/>
  <c r="A293" i="78"/>
  <c r="A292" i="78"/>
  <c r="A291" i="78"/>
  <c r="A290" i="78"/>
  <c r="A289" i="78"/>
  <c r="A288" i="78"/>
  <c r="A287" i="78"/>
  <c r="A286" i="78"/>
  <c r="A285" i="78"/>
  <c r="A284" i="78"/>
  <c r="A283" i="78"/>
  <c r="A282" i="78"/>
  <c r="A281" i="78"/>
  <c r="A280" i="78"/>
  <c r="A279" i="78"/>
  <c r="A278" i="78"/>
  <c r="A277" i="78"/>
  <c r="A276" i="78"/>
  <c r="A275" i="78"/>
  <c r="A274" i="78"/>
  <c r="A273" i="78"/>
  <c r="A272" i="78"/>
  <c r="A271" i="78"/>
  <c r="A270" i="78"/>
  <c r="A269" i="78"/>
  <c r="A268" i="78"/>
  <c r="A267" i="78"/>
  <c r="A266" i="78"/>
  <c r="A265" i="78"/>
  <c r="A264" i="78"/>
  <c r="A263" i="78"/>
  <c r="A262" i="78"/>
  <c r="A261" i="78"/>
  <c r="A260" i="78"/>
  <c r="A259" i="78"/>
  <c r="A258" i="78"/>
  <c r="A257" i="78"/>
  <c r="A256" i="78"/>
  <c r="A255" i="78"/>
  <c r="A254" i="78"/>
  <c r="A253" i="78"/>
  <c r="A252" i="78"/>
  <c r="A251" i="78"/>
  <c r="A250" i="78"/>
  <c r="A249" i="78"/>
  <c r="A248" i="78"/>
  <c r="A247" i="78"/>
  <c r="A246" i="78"/>
  <c r="A245" i="78"/>
  <c r="A244" i="78"/>
  <c r="A243" i="78"/>
  <c r="A242" i="78"/>
  <c r="A241" i="78"/>
  <c r="A240" i="78"/>
  <c r="A239" i="78"/>
  <c r="A238" i="78"/>
  <c r="A237" i="78"/>
  <c r="A236" i="78"/>
  <c r="A235" i="78"/>
  <c r="A234" i="78"/>
  <c r="A233" i="78"/>
  <c r="A232" i="78"/>
  <c r="A231" i="78"/>
  <c r="A230" i="78"/>
  <c r="A229" i="78"/>
  <c r="A228" i="78"/>
  <c r="A227" i="78"/>
  <c r="A226" i="78"/>
  <c r="A225" i="78"/>
  <c r="A224" i="78"/>
  <c r="A223" i="78"/>
  <c r="A222" i="78"/>
  <c r="A221" i="78"/>
  <c r="A220" i="78"/>
  <c r="A219" i="78"/>
  <c r="A218" i="78"/>
  <c r="A217" i="78"/>
  <c r="A216" i="78"/>
  <c r="A215" i="78"/>
  <c r="A214" i="78"/>
  <c r="A213" i="78"/>
  <c r="A212" i="78"/>
  <c r="A211" i="78"/>
  <c r="A210" i="78"/>
  <c r="A209" i="78"/>
  <c r="A208" i="78"/>
  <c r="A207" i="78"/>
  <c r="A206" i="78"/>
  <c r="A205" i="78"/>
  <c r="A204" i="78"/>
  <c r="A203" i="78"/>
  <c r="A202" i="78"/>
  <c r="A201" i="78"/>
  <c r="A200" i="78"/>
  <c r="A199" i="78"/>
  <c r="A198" i="78"/>
  <c r="A197" i="78"/>
  <c r="A196" i="78"/>
  <c r="A195" i="78"/>
  <c r="A194" i="78"/>
  <c r="A193" i="78"/>
  <c r="A192" i="78"/>
  <c r="A191" i="78"/>
  <c r="A190" i="78"/>
  <c r="A189" i="78"/>
  <c r="A188" i="78"/>
  <c r="A187" i="78"/>
  <c r="A186" i="78"/>
  <c r="A185" i="78"/>
  <c r="A184" i="78"/>
  <c r="A183" i="78"/>
  <c r="A182" i="78"/>
  <c r="A181" i="78"/>
  <c r="A180" i="78"/>
  <c r="A179" i="78"/>
  <c r="A178" i="78"/>
  <c r="A177" i="78"/>
  <c r="A176" i="78"/>
  <c r="A175" i="78"/>
  <c r="A174" i="78"/>
  <c r="A173" i="78"/>
  <c r="A172" i="78"/>
  <c r="A171" i="78"/>
  <c r="A170" i="78"/>
  <c r="A169" i="78"/>
  <c r="A168" i="78"/>
  <c r="A167" i="78"/>
  <c r="A166" i="78"/>
  <c r="A165" i="78"/>
  <c r="A164" i="78"/>
  <c r="A163" i="78"/>
  <c r="A162" i="78"/>
  <c r="A161" i="78"/>
  <c r="A160" i="78"/>
  <c r="A159" i="78"/>
  <c r="A158" i="78"/>
  <c r="A157" i="78"/>
  <c r="A156" i="78"/>
  <c r="A155" i="78"/>
  <c r="A154" i="78"/>
  <c r="A153" i="78"/>
  <c r="A152" i="78"/>
  <c r="A151" i="78"/>
  <c r="A150" i="78"/>
  <c r="A149" i="78"/>
  <c r="A148" i="78"/>
  <c r="A147" i="78"/>
  <c r="A146" i="78"/>
  <c r="A145" i="78"/>
  <c r="A144" i="78"/>
  <c r="A143" i="78"/>
  <c r="A142" i="78"/>
  <c r="A141" i="78"/>
  <c r="A140" i="78"/>
  <c r="A139" i="78"/>
  <c r="A138" i="78"/>
  <c r="A137" i="78"/>
  <c r="A136" i="78"/>
  <c r="A135" i="78"/>
  <c r="A134" i="78"/>
  <c r="A133" i="78"/>
  <c r="A132" i="78"/>
  <c r="A131" i="78"/>
  <c r="A130" i="78"/>
  <c r="A129" i="78"/>
  <c r="A128" i="78"/>
  <c r="A127" i="78"/>
  <c r="A126" i="78"/>
  <c r="A125" i="78"/>
  <c r="A124" i="78"/>
  <c r="A123" i="78"/>
  <c r="A122" i="78"/>
  <c r="A121" i="78"/>
  <c r="A120" i="78"/>
  <c r="A119" i="78"/>
  <c r="A118" i="78"/>
  <c r="A117" i="78"/>
  <c r="A116" i="78"/>
  <c r="A115" i="78"/>
  <c r="A114" i="78"/>
  <c r="A113" i="78"/>
  <c r="A112" i="78"/>
  <c r="A111" i="78"/>
  <c r="A110" i="78"/>
  <c r="A109" i="78"/>
  <c r="A108" i="78"/>
  <c r="A107" i="78"/>
  <c r="A106" i="78"/>
  <c r="A105" i="78"/>
  <c r="A104" i="78"/>
  <c r="A103" i="78"/>
  <c r="A102" i="78"/>
  <c r="A101" i="78"/>
  <c r="A100" i="78"/>
  <c r="A99" i="78"/>
  <c r="A98" i="78"/>
  <c r="A97" i="78"/>
  <c r="A96" i="78"/>
  <c r="A95" i="78"/>
  <c r="A94" i="78"/>
  <c r="A93" i="78"/>
  <c r="A92" i="78"/>
  <c r="A91" i="78"/>
  <c r="A90" i="78"/>
  <c r="A89" i="78"/>
  <c r="A88" i="78"/>
  <c r="A87" i="78"/>
  <c r="A86" i="78"/>
  <c r="A85" i="78"/>
  <c r="A84" i="78"/>
  <c r="A83" i="78"/>
  <c r="A82" i="78"/>
  <c r="A81" i="78"/>
  <c r="A80" i="78"/>
  <c r="A79" i="78"/>
  <c r="A78" i="78"/>
  <c r="A77" i="78"/>
  <c r="A76" i="78"/>
  <c r="A75" i="78"/>
  <c r="A74" i="78"/>
  <c r="A73" i="78"/>
  <c r="A72" i="78"/>
  <c r="A71" i="78"/>
  <c r="A70" i="78"/>
  <c r="A69" i="78"/>
  <c r="A68" i="78"/>
  <c r="A67" i="78"/>
  <c r="A66" i="78"/>
  <c r="A65" i="78"/>
  <c r="A64" i="78"/>
  <c r="A63" i="78"/>
  <c r="A62" i="78"/>
  <c r="A61" i="78"/>
  <c r="A60" i="78"/>
  <c r="A59" i="78"/>
  <c r="A58" i="78"/>
  <c r="A57" i="78"/>
  <c r="A56" i="78"/>
  <c r="A55" i="78"/>
  <c r="A54" i="78"/>
  <c r="A53" i="78"/>
  <c r="A52" i="78"/>
  <c r="A51" i="78"/>
  <c r="A50" i="78"/>
  <c r="A49" i="78"/>
  <c r="A48" i="78"/>
  <c r="A47" i="78"/>
  <c r="A46" i="78"/>
  <c r="A45" i="78"/>
  <c r="A44" i="78"/>
  <c r="A43" i="78"/>
  <c r="A42" i="78"/>
  <c r="A41" i="78"/>
  <c r="A40" i="78"/>
  <c r="A39" i="78"/>
  <c r="A38" i="78"/>
  <c r="A37" i="78"/>
  <c r="A36" i="78"/>
  <c r="A35" i="78"/>
  <c r="A34" i="78"/>
  <c r="A33" i="78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5" i="78"/>
  <c r="A14" i="78"/>
  <c r="A13" i="78"/>
  <c r="A12" i="78"/>
  <c r="A11" i="78"/>
  <c r="A10" i="78"/>
  <c r="A9" i="78"/>
  <c r="A8" i="78"/>
  <c r="A7" i="78"/>
  <c r="A6" i="78"/>
  <c r="K5" i="78"/>
  <c r="A5" i="78"/>
  <c r="K4" i="78"/>
  <c r="A4" i="78"/>
  <c r="K3" i="78"/>
  <c r="A3" i="78"/>
  <c r="C9" i="92" l="1"/>
  <c r="C17" i="92"/>
  <c r="C24" i="92"/>
  <c r="C32" i="92"/>
  <c r="C40" i="92"/>
  <c r="C48" i="92"/>
  <c r="C56" i="92"/>
  <c r="C64" i="92"/>
  <c r="C72" i="92"/>
  <c r="C80" i="92"/>
  <c r="C88" i="92"/>
  <c r="C96" i="92"/>
  <c r="C112" i="92"/>
  <c r="C120" i="92"/>
  <c r="C128" i="92"/>
  <c r="C136" i="92"/>
  <c r="C144" i="92"/>
  <c r="C152" i="92"/>
  <c r="C160" i="92"/>
  <c r="C168" i="92"/>
  <c r="C176" i="92"/>
  <c r="C184" i="92"/>
  <c r="C192" i="92"/>
  <c r="C200" i="92"/>
  <c r="C208" i="92"/>
  <c r="C186" i="92"/>
  <c r="C218" i="92"/>
  <c r="C53" i="92"/>
  <c r="C101" i="92"/>
  <c r="C141" i="92"/>
  <c r="C197" i="92"/>
  <c r="C22" i="92"/>
  <c r="C62" i="92"/>
  <c r="C110" i="92"/>
  <c r="C166" i="92"/>
  <c r="C214" i="92"/>
  <c r="C10" i="92"/>
  <c r="C25" i="92"/>
  <c r="C33" i="92"/>
  <c r="C41" i="92"/>
  <c r="C49" i="92"/>
  <c r="C57" i="92"/>
  <c r="C65" i="92"/>
  <c r="C73" i="92"/>
  <c r="C81" i="92"/>
  <c r="C89" i="92"/>
  <c r="C97" i="92"/>
  <c r="C105" i="92"/>
  <c r="C113" i="92"/>
  <c r="C121" i="92"/>
  <c r="C129" i="92"/>
  <c r="C137" i="92"/>
  <c r="C145" i="92"/>
  <c r="C153" i="92"/>
  <c r="C161" i="92"/>
  <c r="C169" i="92"/>
  <c r="C177" i="92"/>
  <c r="C185" i="92"/>
  <c r="C193" i="92"/>
  <c r="C201" i="92"/>
  <c r="C209" i="92"/>
  <c r="C170" i="92"/>
  <c r="C210" i="92"/>
  <c r="C45" i="92"/>
  <c r="C93" i="92"/>
  <c r="C149" i="92"/>
  <c r="C189" i="92"/>
  <c r="C15" i="92"/>
  <c r="C70" i="92"/>
  <c r="C118" i="92"/>
  <c r="C174" i="92"/>
  <c r="C206" i="92"/>
  <c r="C11" i="92"/>
  <c r="C18" i="92"/>
  <c r="C26" i="92"/>
  <c r="C34" i="92"/>
  <c r="C42" i="92"/>
  <c r="C50" i="92"/>
  <c r="C58" i="92"/>
  <c r="C66" i="92"/>
  <c r="C74" i="92"/>
  <c r="C82" i="92"/>
  <c r="C90" i="92"/>
  <c r="C98" i="92"/>
  <c r="C106" i="92"/>
  <c r="C114" i="92"/>
  <c r="C122" i="92"/>
  <c r="C130" i="92"/>
  <c r="C138" i="92"/>
  <c r="C146" i="92"/>
  <c r="C154" i="92"/>
  <c r="C162" i="92"/>
  <c r="C194" i="92"/>
  <c r="C69" i="92"/>
  <c r="C133" i="92"/>
  <c r="C181" i="92"/>
  <c r="C38" i="92"/>
  <c r="C94" i="92"/>
  <c r="C150" i="92"/>
  <c r="C222" i="92"/>
  <c r="C12" i="92"/>
  <c r="C19" i="92"/>
  <c r="C27" i="92"/>
  <c r="C35" i="92"/>
  <c r="C43" i="92"/>
  <c r="C51" i="92"/>
  <c r="C59" i="92"/>
  <c r="C67" i="92"/>
  <c r="C75" i="92"/>
  <c r="C83" i="92"/>
  <c r="C91" i="92"/>
  <c r="C99" i="92"/>
  <c r="C107" i="92"/>
  <c r="C115" i="92"/>
  <c r="C123" i="92"/>
  <c r="C131" i="92"/>
  <c r="C139" i="92"/>
  <c r="C147" i="92"/>
  <c r="C155" i="92"/>
  <c r="C171" i="92"/>
  <c r="C179" i="92"/>
  <c r="C187" i="92"/>
  <c r="C195" i="92"/>
  <c r="C203" i="92"/>
  <c r="C211" i="92"/>
  <c r="C219" i="92"/>
  <c r="C14" i="92"/>
  <c r="C29" i="92"/>
  <c r="C77" i="92"/>
  <c r="C125" i="92"/>
  <c r="C173" i="92"/>
  <c r="C221" i="92"/>
  <c r="C54" i="92"/>
  <c r="C102" i="92"/>
  <c r="C142" i="92"/>
  <c r="C190" i="92"/>
  <c r="C13" i="92"/>
  <c r="C20" i="92"/>
  <c r="C28" i="92"/>
  <c r="C36" i="92"/>
  <c r="C44" i="92"/>
  <c r="C52" i="92"/>
  <c r="C60" i="92"/>
  <c r="C68" i="92"/>
  <c r="C76" i="92"/>
  <c r="C84" i="92"/>
  <c r="C92" i="92"/>
  <c r="C100" i="92"/>
  <c r="C108" i="92"/>
  <c r="C116" i="92"/>
  <c r="C124" i="92"/>
  <c r="C132" i="92"/>
  <c r="C140" i="92"/>
  <c r="C148" i="92"/>
  <c r="C156" i="92"/>
  <c r="C164" i="92"/>
  <c r="C172" i="92"/>
  <c r="C180" i="92"/>
  <c r="C188" i="92"/>
  <c r="C196" i="92"/>
  <c r="C204" i="92"/>
  <c r="C212" i="92"/>
  <c r="C220" i="92"/>
  <c r="C21" i="92"/>
  <c r="C37" i="92"/>
  <c r="C85" i="92"/>
  <c r="C117" i="92"/>
  <c r="C165" i="92"/>
  <c r="C213" i="92"/>
  <c r="C46" i="92"/>
  <c r="C86" i="92"/>
  <c r="C126" i="92"/>
  <c r="C182" i="92"/>
  <c r="C16" i="92"/>
  <c r="C23" i="92"/>
  <c r="C39" i="92"/>
  <c r="C47" i="92"/>
  <c r="C55" i="92"/>
  <c r="C63" i="92"/>
  <c r="C71" i="92"/>
  <c r="C79" i="92"/>
  <c r="C87" i="92"/>
  <c r="C95" i="92"/>
  <c r="C103" i="92"/>
  <c r="C111" i="92"/>
  <c r="C119" i="92"/>
  <c r="C127" i="92"/>
  <c r="C135" i="92"/>
  <c r="C143" i="92"/>
  <c r="C151" i="92"/>
  <c r="C159" i="92"/>
  <c r="C167" i="92"/>
  <c r="C175" i="92"/>
  <c r="C183" i="92"/>
  <c r="C191" i="92"/>
  <c r="C199" i="92"/>
  <c r="C207" i="92"/>
  <c r="C8" i="92"/>
  <c r="C178" i="92"/>
  <c r="C202" i="92"/>
  <c r="C61" i="92"/>
  <c r="C109" i="92"/>
  <c r="C157" i="92"/>
  <c r="C205" i="92"/>
  <c r="C30" i="92"/>
  <c r="C78" i="92"/>
  <c r="C134" i="92"/>
  <c r="C158" i="92"/>
  <c r="C198" i="92"/>
  <c r="Q14" i="5"/>
  <c r="Q214" i="5"/>
  <c r="Q203" i="5"/>
  <c r="Q195" i="5"/>
  <c r="Q187" i="5"/>
  <c r="Q178" i="5"/>
  <c r="Q170" i="5"/>
  <c r="Q161" i="5"/>
  <c r="Q153" i="5"/>
  <c r="Q145" i="5"/>
  <c r="Q137" i="5"/>
  <c r="Q129" i="5"/>
  <c r="Q121" i="5"/>
  <c r="Q113" i="5"/>
  <c r="Q105" i="5"/>
  <c r="Q96" i="5"/>
  <c r="Q88" i="5"/>
  <c r="Q79" i="5"/>
  <c r="Q69" i="5"/>
  <c r="Q61" i="5"/>
  <c r="Q53" i="5"/>
  <c r="Q45" i="5"/>
  <c r="Q37" i="5"/>
  <c r="Q28" i="5"/>
  <c r="Q20" i="5"/>
  <c r="Q11" i="5"/>
  <c r="Q10" i="5"/>
  <c r="Q35" i="5"/>
  <c r="Q18" i="5"/>
  <c r="Q139" i="5"/>
  <c r="Q90" i="5"/>
  <c r="Q47" i="5"/>
  <c r="Q215" i="5"/>
  <c r="Q154" i="5"/>
  <c r="Q114" i="5"/>
  <c r="Q71" i="5"/>
  <c r="Q21" i="5"/>
  <c r="Q183" i="5"/>
  <c r="Q221" i="5"/>
  <c r="Q210" i="5"/>
  <c r="Q202" i="5"/>
  <c r="Q194" i="5"/>
  <c r="Q186" i="5"/>
  <c r="Q177" i="5"/>
  <c r="Q168" i="5"/>
  <c r="Q160" i="5"/>
  <c r="Q152" i="5"/>
  <c r="Q144" i="5"/>
  <c r="Q136" i="5"/>
  <c r="Q128" i="5"/>
  <c r="Q120" i="5"/>
  <c r="Q112" i="5"/>
  <c r="Q104" i="5"/>
  <c r="Q95" i="5"/>
  <c r="Q87" i="5"/>
  <c r="Q78" i="5"/>
  <c r="Q68" i="5"/>
  <c r="Q60" i="5"/>
  <c r="Q52" i="5"/>
  <c r="Q44" i="5"/>
  <c r="Q36" i="5"/>
  <c r="Q27" i="5"/>
  <c r="Q19" i="5"/>
  <c r="Q51" i="5"/>
  <c r="Q26" i="5"/>
  <c r="Q155" i="5"/>
  <c r="Q115" i="5"/>
  <c r="Q55" i="5"/>
  <c r="Q31" i="5"/>
  <c r="Q171" i="5"/>
  <c r="Q130" i="5"/>
  <c r="Q89" i="5"/>
  <c r="Q38" i="5"/>
  <c r="Q169" i="5"/>
  <c r="Q220" i="5"/>
  <c r="Q209" i="5"/>
  <c r="Q201" i="5"/>
  <c r="Q193" i="5"/>
  <c r="Q185" i="5"/>
  <c r="Q176" i="5"/>
  <c r="Q167" i="5"/>
  <c r="Q159" i="5"/>
  <c r="Q151" i="5"/>
  <c r="Q143" i="5"/>
  <c r="Q135" i="5"/>
  <c r="Q127" i="5"/>
  <c r="Q119" i="5"/>
  <c r="Q111" i="5"/>
  <c r="Q103" i="5"/>
  <c r="Q94" i="5"/>
  <c r="Q86" i="5"/>
  <c r="Q77" i="5"/>
  <c r="Q67" i="5"/>
  <c r="Q59" i="5"/>
  <c r="Q43" i="5"/>
  <c r="Q9" i="5"/>
  <c r="Q107" i="5"/>
  <c r="Q30" i="5"/>
  <c r="Q179" i="5"/>
  <c r="Q122" i="5"/>
  <c r="Q46" i="5"/>
  <c r="Q101" i="5"/>
  <c r="Q219" i="5"/>
  <c r="Q208" i="5"/>
  <c r="Q200" i="5"/>
  <c r="Q192" i="5"/>
  <c r="Q184" i="5"/>
  <c r="Q175" i="5"/>
  <c r="Q166" i="5"/>
  <c r="Q158" i="5"/>
  <c r="Q150" i="5"/>
  <c r="Q142" i="5"/>
  <c r="Q134" i="5"/>
  <c r="Q126" i="5"/>
  <c r="Q118" i="5"/>
  <c r="Q110" i="5"/>
  <c r="Q102" i="5"/>
  <c r="Q93" i="5"/>
  <c r="Q85" i="5"/>
  <c r="Q76" i="5"/>
  <c r="Q66" i="5"/>
  <c r="Q58" i="5"/>
  <c r="Q50" i="5"/>
  <c r="Q42" i="5"/>
  <c r="Q34" i="5"/>
  <c r="Q25" i="5"/>
  <c r="Q17" i="5"/>
  <c r="Q205" i="5"/>
  <c r="Q180" i="5"/>
  <c r="Q147" i="5"/>
  <c r="Q98" i="5"/>
  <c r="Q72" i="5"/>
  <c r="Q39" i="5"/>
  <c r="Q204" i="5"/>
  <c r="Q162" i="5"/>
  <c r="Q106" i="5"/>
  <c r="Q62" i="5"/>
  <c r="Q12" i="5"/>
  <c r="Q83" i="5"/>
  <c r="Q218" i="5"/>
  <c r="Q207" i="5"/>
  <c r="Q199" i="5"/>
  <c r="Q191" i="5"/>
  <c r="Q182" i="5"/>
  <c r="Q174" i="5"/>
  <c r="Q165" i="5"/>
  <c r="Q157" i="5"/>
  <c r="Q149" i="5"/>
  <c r="Q141" i="5"/>
  <c r="Q133" i="5"/>
  <c r="Q125" i="5"/>
  <c r="Q117" i="5"/>
  <c r="Q109" i="5"/>
  <c r="Q100" i="5"/>
  <c r="Q92" i="5"/>
  <c r="Q84" i="5"/>
  <c r="Q74" i="5"/>
  <c r="Q65" i="5"/>
  <c r="Q57" i="5"/>
  <c r="Q49" i="5"/>
  <c r="Q41" i="5"/>
  <c r="Q33" i="5"/>
  <c r="Q24" i="5"/>
  <c r="Q16" i="5"/>
  <c r="Q216" i="5"/>
  <c r="Q189" i="5"/>
  <c r="Q163" i="5"/>
  <c r="Q123" i="5"/>
  <c r="Q63" i="5"/>
  <c r="Q13" i="5"/>
  <c r="Q188" i="5"/>
  <c r="Q146" i="5"/>
  <c r="Q97" i="5"/>
  <c r="Q54" i="5"/>
  <c r="Q75" i="5"/>
  <c r="Q217" i="5"/>
  <c r="Q206" i="5"/>
  <c r="Q198" i="5"/>
  <c r="Q190" i="5"/>
  <c r="Q181" i="5"/>
  <c r="Q173" i="5"/>
  <c r="Q164" i="5"/>
  <c r="Q156" i="5"/>
  <c r="Q148" i="5"/>
  <c r="Q140" i="5"/>
  <c r="Q132" i="5"/>
  <c r="Q124" i="5"/>
  <c r="Q116" i="5"/>
  <c r="Q108" i="5"/>
  <c r="Q99" i="5"/>
  <c r="Q91" i="5"/>
  <c r="Q82" i="5"/>
  <c r="Q73" i="5"/>
  <c r="Q64" i="5"/>
  <c r="Q56" i="5"/>
  <c r="Q48" i="5"/>
  <c r="Q40" i="5"/>
  <c r="Q32" i="5"/>
  <c r="Q23" i="5"/>
  <c r="Q15" i="5"/>
  <c r="Q70" i="5"/>
  <c r="Q197" i="5"/>
  <c r="Q172" i="5"/>
  <c r="Q131" i="5"/>
  <c r="Q81" i="5"/>
  <c r="Q22" i="5"/>
  <c r="Q196" i="5"/>
  <c r="Q138" i="5"/>
  <c r="Q80" i="5"/>
  <c r="Q29" i="5"/>
  <c r="W155" i="80"/>
  <c r="W157" i="80"/>
  <c r="Q6" i="5"/>
  <c r="Q7" i="5"/>
  <c r="Q3" i="5"/>
  <c r="W156" i="80"/>
  <c r="W41" i="80"/>
  <c r="Q5" i="5"/>
  <c r="Q4" i="5"/>
  <c r="W149" i="80"/>
  <c r="W43" i="80"/>
  <c r="W150" i="80"/>
  <c r="W39" i="80"/>
  <c r="W151" i="80"/>
  <c r="W152" i="80"/>
  <c r="W2" i="80"/>
  <c r="W42" i="80"/>
  <c r="Q8" i="5"/>
  <c r="W40" i="80"/>
  <c r="W153" i="80"/>
  <c r="W3" i="80"/>
  <c r="W38" i="80"/>
  <c r="W154" i="80"/>
  <c r="E26" i="90"/>
  <c r="E24" i="90" s="1"/>
  <c r="I26" i="90"/>
  <c r="I24" i="90" s="1"/>
  <c r="M26" i="90"/>
  <c r="W7" i="80"/>
  <c r="W15" i="80"/>
  <c r="W23" i="80"/>
  <c r="W31" i="80"/>
  <c r="W47" i="80"/>
  <c r="W55" i="80"/>
  <c r="W63" i="80"/>
  <c r="W71" i="80"/>
  <c r="W79" i="80"/>
  <c r="W87" i="80"/>
  <c r="W95" i="80"/>
  <c r="W103" i="80"/>
  <c r="W111" i="80"/>
  <c r="W119" i="80"/>
  <c r="W127" i="80"/>
  <c r="W135" i="80"/>
  <c r="W143" i="80"/>
  <c r="W159" i="80"/>
  <c r="W167" i="80"/>
  <c r="W175" i="80"/>
  <c r="W183" i="80"/>
  <c r="W191" i="80"/>
  <c r="W199" i="80"/>
  <c r="W207" i="80"/>
  <c r="W208" i="80"/>
  <c r="W46" i="80"/>
  <c r="W102" i="80"/>
  <c r="W158" i="80"/>
  <c r="W8" i="80"/>
  <c r="W16" i="80"/>
  <c r="W24" i="80"/>
  <c r="W32" i="80"/>
  <c r="W48" i="80"/>
  <c r="W56" i="80"/>
  <c r="W64" i="80"/>
  <c r="W72" i="80"/>
  <c r="W80" i="80"/>
  <c r="W88" i="80"/>
  <c r="W96" i="80"/>
  <c r="W104" i="80"/>
  <c r="W112" i="80"/>
  <c r="W120" i="80"/>
  <c r="W128" i="80"/>
  <c r="W136" i="80"/>
  <c r="W144" i="80"/>
  <c r="W160" i="80"/>
  <c r="W168" i="80"/>
  <c r="W176" i="80"/>
  <c r="W184" i="80"/>
  <c r="W192" i="80"/>
  <c r="W200" i="80"/>
  <c r="W14" i="80"/>
  <c r="W70" i="80"/>
  <c r="W126" i="80"/>
  <c r="W182" i="80"/>
  <c r="W9" i="80"/>
  <c r="W17" i="80"/>
  <c r="W25" i="80"/>
  <c r="W33" i="80"/>
  <c r="W49" i="80"/>
  <c r="W57" i="80"/>
  <c r="W65" i="80"/>
  <c r="W73" i="80"/>
  <c r="W81" i="80"/>
  <c r="W89" i="80"/>
  <c r="W97" i="80"/>
  <c r="W105" i="80"/>
  <c r="W113" i="80"/>
  <c r="W121" i="80"/>
  <c r="W129" i="80"/>
  <c r="W137" i="80"/>
  <c r="W145" i="80"/>
  <c r="W161" i="80"/>
  <c r="W169" i="80"/>
  <c r="W177" i="80"/>
  <c r="W185" i="80"/>
  <c r="W193" i="80"/>
  <c r="W201" i="80"/>
  <c r="W209" i="80"/>
  <c r="W6" i="80"/>
  <c r="W62" i="80"/>
  <c r="W118" i="80"/>
  <c r="W174" i="80"/>
  <c r="W10" i="80"/>
  <c r="W18" i="80"/>
  <c r="W26" i="80"/>
  <c r="W34" i="80"/>
  <c r="W50" i="80"/>
  <c r="W58" i="80"/>
  <c r="W66" i="80"/>
  <c r="W74" i="80"/>
  <c r="W82" i="80"/>
  <c r="W90" i="80"/>
  <c r="W98" i="80"/>
  <c r="W106" i="80"/>
  <c r="W114" i="80"/>
  <c r="W122" i="80"/>
  <c r="W130" i="80"/>
  <c r="W138" i="80"/>
  <c r="W146" i="80"/>
  <c r="W162" i="80"/>
  <c r="W170" i="80"/>
  <c r="W178" i="80"/>
  <c r="W186" i="80"/>
  <c r="W194" i="80"/>
  <c r="W202" i="80"/>
  <c r="W210" i="80"/>
  <c r="W54" i="80"/>
  <c r="W110" i="80"/>
  <c r="W166" i="80"/>
  <c r="W11" i="80"/>
  <c r="W19" i="80"/>
  <c r="W27" i="80"/>
  <c r="W35" i="80"/>
  <c r="W51" i="80"/>
  <c r="W59" i="80"/>
  <c r="W67" i="80"/>
  <c r="W75" i="80"/>
  <c r="W83" i="80"/>
  <c r="W91" i="80"/>
  <c r="W99" i="80"/>
  <c r="W107" i="80"/>
  <c r="W115" i="80"/>
  <c r="W123" i="80"/>
  <c r="W131" i="80"/>
  <c r="W139" i="80"/>
  <c r="W147" i="80"/>
  <c r="W163" i="80"/>
  <c r="W171" i="80"/>
  <c r="W179" i="80"/>
  <c r="W187" i="80"/>
  <c r="W195" i="80"/>
  <c r="W203" i="80"/>
  <c r="W211" i="80"/>
  <c r="W30" i="80"/>
  <c r="W86" i="80"/>
  <c r="W142" i="80"/>
  <c r="W198" i="80"/>
  <c r="W4" i="80"/>
  <c r="W12" i="80"/>
  <c r="W20" i="80"/>
  <c r="W28" i="80"/>
  <c r="W36" i="80"/>
  <c r="W44" i="80"/>
  <c r="W52" i="80"/>
  <c r="W60" i="80"/>
  <c r="W68" i="80"/>
  <c r="W76" i="80"/>
  <c r="W84" i="80"/>
  <c r="W92" i="80"/>
  <c r="W100" i="80"/>
  <c r="W108" i="80"/>
  <c r="W116" i="80"/>
  <c r="W124" i="80"/>
  <c r="W132" i="80"/>
  <c r="W140" i="80"/>
  <c r="W148" i="80"/>
  <c r="W164" i="80"/>
  <c r="W172" i="80"/>
  <c r="W180" i="80"/>
  <c r="W188" i="80"/>
  <c r="W196" i="80"/>
  <c r="W204" i="80"/>
  <c r="W212" i="80"/>
  <c r="W22" i="80"/>
  <c r="W78" i="80"/>
  <c r="W134" i="80"/>
  <c r="W190" i="80"/>
  <c r="W5" i="80"/>
  <c r="W13" i="80"/>
  <c r="W21" i="80"/>
  <c r="W29" i="80"/>
  <c r="W37" i="80"/>
  <c r="W45" i="80"/>
  <c r="W53" i="80"/>
  <c r="W61" i="80"/>
  <c r="W69" i="80"/>
  <c r="W77" i="80"/>
  <c r="W85" i="80"/>
  <c r="W93" i="80"/>
  <c r="W101" i="80"/>
  <c r="W109" i="80"/>
  <c r="W117" i="80"/>
  <c r="W125" i="80"/>
  <c r="W133" i="80"/>
  <c r="W141" i="80"/>
  <c r="W165" i="80"/>
  <c r="W173" i="80"/>
  <c r="W181" i="80"/>
  <c r="W189" i="80"/>
  <c r="W197" i="80"/>
  <c r="W205" i="80"/>
  <c r="W213" i="80"/>
  <c r="W94" i="80"/>
  <c r="W206" i="80"/>
  <c r="X170" i="80"/>
  <c r="X172" i="80"/>
  <c r="X175" i="80"/>
  <c r="X173" i="80"/>
  <c r="X174" i="80"/>
  <c r="X171" i="80"/>
  <c r="E26" i="80"/>
  <c r="O64" i="84"/>
  <c r="E26" i="84"/>
  <c r="E24" i="84" s="1"/>
  <c r="R59" i="84"/>
  <c r="R64" i="84" s="1"/>
  <c r="C1" i="92" l="1"/>
  <c r="Q26" i="90"/>
  <c r="M24" i="90"/>
  <c r="Q24" i="90" s="1"/>
  <c r="E24" i="80"/>
  <c r="L27" i="8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Sebban Frédéric</author>
  </authors>
  <commentList>
    <comment ref="I2" authorId="0" shapeId="0" xr:uid="{00000000-0006-0000-0100-000001000000}">
      <text>
        <r>
          <rPr>
            <sz val="10"/>
            <color indexed="8"/>
            <rFont val="Helvetica Neue Light"/>
          </rPr>
          <t>Sebban Frédéric:
Mettre une date de fin d’exploitation, et récréer une entrée à chaque changement d’inventaire pour un parking afin de suivre l’évolution du nombre de places</t>
        </r>
      </text>
    </comment>
  </commentList>
</comments>
</file>

<file path=xl/sharedStrings.xml><?xml version="1.0" encoding="utf-8"?>
<sst xmlns="http://schemas.openxmlformats.org/spreadsheetml/2006/main" count="8074" uniqueCount="2371">
  <si>
    <t>Paris - Daumesnil</t>
  </si>
  <si>
    <t>CRLYFRPP</t>
    <phoneticPr fontId="3" type="noConversion"/>
  </si>
  <si>
    <t>Description :</t>
    <phoneticPr fontId="3" type="noConversion"/>
  </si>
  <si>
    <t>Montant HT :</t>
    <phoneticPr fontId="3" type="noConversion"/>
  </si>
  <si>
    <t>2.&lt;-- Incrémenter les 2 derniers chiffres, si plusieurs AF sont émis le même jour. Le reste du code est généré automatiquement.</t>
    <phoneticPr fontId="3" type="noConversion"/>
  </si>
  <si>
    <t>Le Péra</t>
  </si>
  <si>
    <t>I3F</t>
  </si>
  <si>
    <t>M. Denis Hershkovitch</t>
    <phoneticPr fontId="3" type="noConversion"/>
  </si>
  <si>
    <t>I3F 2</t>
  </si>
  <si>
    <t>L’équipe Commerciale.</t>
  </si>
  <si>
    <t>MAJO/MINO 2</t>
  </si>
  <si>
    <t>CONDITIONS MAJO/MINO 2</t>
  </si>
  <si>
    <t>ICF Habitat La Sablière</t>
  </si>
  <si>
    <t>FR76 3000 4008 2800 0103 0911 976</t>
  </si>
  <si>
    <t>BNPAFRPPPAC</t>
  </si>
  <si>
    <t>24 rue de Paradis</t>
  </si>
  <si>
    <t>75010 Paris</t>
  </si>
  <si>
    <t>Mme Lydie Ghighi</t>
  </si>
  <si>
    <t>FR76 3000 4013 2800 0115 0110 104</t>
    <phoneticPr fontId="3" type="noConversion"/>
  </si>
  <si>
    <t>Si engagement &gt; 3 mois (abonnement)</t>
    <phoneticPr fontId="3" type="noConversion"/>
  </si>
  <si>
    <t>Cher partenaire,</t>
    <phoneticPr fontId="3" type="noConversion"/>
  </si>
  <si>
    <t>NB PLACES NON ALLOTÉES</t>
  </si>
  <si>
    <t>Année 1</t>
    <phoneticPr fontId="3" type="noConversion"/>
  </si>
  <si>
    <t>FR76 3000 4013 2800 0115 0042 204</t>
  </si>
  <si>
    <t>BNPAFRPPPTX</t>
  </si>
  <si>
    <t>MBX</t>
  </si>
  <si>
    <t>20 à 34 rue Tauzia</t>
  </si>
  <si>
    <t>33800 Bordeaux</t>
  </si>
  <si>
    <t>Newco Appart Bry</t>
  </si>
  <si>
    <t>FR76 3000 4013 2800 0115 0081 004</t>
    <phoneticPr fontId="3" type="noConversion"/>
  </si>
  <si>
    <t>que vous nous avez transmis, soit :</t>
  </si>
  <si>
    <t>Robert Micaelli</t>
    <phoneticPr fontId="3" type="noConversion"/>
  </si>
  <si>
    <t xml:space="preserve">Montant TTC : </t>
    <phoneticPr fontId="3" type="noConversion"/>
  </si>
  <si>
    <t>I3F 3</t>
  </si>
  <si>
    <t>valmyliberte@orange.fr</t>
  </si>
  <si>
    <t>95700 Roissy en France</t>
    <phoneticPr fontId="3" type="noConversion"/>
  </si>
  <si>
    <t>Paris - Quai de la Seine</t>
  </si>
  <si>
    <t>I3F 1</t>
  </si>
  <si>
    <t>Paris - Cité Universitaire</t>
  </si>
  <si>
    <t>Années &gt;= 4</t>
    <phoneticPr fontId="3" type="noConversion"/>
  </si>
  <si>
    <t>BREDFRPPXXX</t>
    <phoneticPr fontId="3" type="noConversion"/>
  </si>
  <si>
    <t>Appel à facture trimestriel, par contre envoyer un rapport de CA mensuel. 2 places minimum par parking.</t>
    <phoneticPr fontId="3" type="noConversion"/>
  </si>
  <si>
    <t>120 rue de Clignancourt</t>
    <phoneticPr fontId="3" type="noConversion"/>
  </si>
  <si>
    <t>75018 Paris</t>
    <phoneticPr fontId="3" type="noConversion"/>
  </si>
  <si>
    <t>Emetteur :</t>
    <phoneticPr fontId="3" type="noConversion"/>
  </si>
  <si>
    <t>Bien cordialement,</t>
  </si>
  <si>
    <t>Appel à Facture</t>
    <phoneticPr fontId="3" type="noConversion"/>
  </si>
  <si>
    <t>RIVP</t>
  </si>
  <si>
    <t>FIN EXPLOITATION</t>
  </si>
  <si>
    <t>FR76 3000 4021 4700 0100 5348 211</t>
    <phoneticPr fontId="3" type="noConversion"/>
  </si>
  <si>
    <t>1. &lt;-- Sélectionner le partenaire</t>
    <phoneticPr fontId="3" type="noConversion"/>
  </si>
  <si>
    <t>Paris - Alexandre Dumas</t>
  </si>
  <si>
    <t>GGC</t>
    <phoneticPr fontId="3" type="noConversion"/>
  </si>
  <si>
    <t>0. S'assurer que la liste des partenaires est triée dans l'ordre alphabétique. Si nécessaire, trier le tableau Data_Contrats</t>
    <phoneticPr fontId="3" type="noConversion"/>
  </si>
  <si>
    <t>Liste des partenaires</t>
    <phoneticPr fontId="3" type="noConversion"/>
  </si>
  <si>
    <t>BNPAFRPPPTX</t>
    <phoneticPr fontId="3" type="noConversion"/>
  </si>
  <si>
    <t>On peut commercialiser jusqu'à 40 places pour abonnements et séjours. 
Flux minimum de 5 véhicules horaire (en même temps) garanti.</t>
    <phoneticPr fontId="3" type="noConversion"/>
  </si>
  <si>
    <t xml:space="preserve">Abo 24/7 d’une durée minimum de 6 mois - Véhicules catégorie 2 - 175€ </t>
  </si>
  <si>
    <t>Paris - Stalingrad</t>
  </si>
  <si>
    <t xml:space="preserve">Abo 24/7 d’une durée minimum de 6 mois - Véhicules catégorie 1 - 155€ </t>
  </si>
  <si>
    <t>I3F 4</t>
  </si>
  <si>
    <t>Grand Garage Clignancourt</t>
  </si>
  <si>
    <t>Pendant la période d'essai</t>
    <phoneticPr fontId="3" type="noConversion"/>
  </si>
  <si>
    <t>Années 4 et 5</t>
    <phoneticPr fontId="3" type="noConversion"/>
  </si>
  <si>
    <t>Parking</t>
  </si>
  <si>
    <t>A réception, un virement du montant TTC mentionné ci-dessus sera réalisé sur le compte</t>
    <phoneticPr fontId="3" type="noConversion"/>
  </si>
  <si>
    <t>DEBUT EXPLOITATION</t>
  </si>
  <si>
    <t>95230 SOISY SOUS MONTMORENCY</t>
    <phoneticPr fontId="3" type="noConversion"/>
  </si>
  <si>
    <t>159 rue Nationale</t>
    <phoneticPr fontId="3" type="noConversion"/>
  </si>
  <si>
    <t>Mercure Pte St-Cloud</t>
  </si>
  <si>
    <t>Mme Zahra Rahmoune Dali
; Mme Rousseau</t>
    <phoneticPr fontId="3" type="noConversion"/>
  </si>
  <si>
    <t>TVA :</t>
    <phoneticPr fontId="3" type="noConversion"/>
  </si>
  <si>
    <t>NB PLACES ALLOTÉES</t>
  </si>
  <si>
    <t>Sofitel La Défense</t>
  </si>
  <si>
    <t>NB PLACES AUTRES</t>
  </si>
  <si>
    <t>COMMENTAIRE</t>
  </si>
  <si>
    <t>AUTRE OFFRE 5</t>
  </si>
  <si>
    <t>DEAL NAME</t>
  </si>
  <si>
    <t>TX RÉMUNÉRATION</t>
  </si>
  <si>
    <t>Si plus de 30 places en continu sur 3 mois civils consécutifs</t>
    <phoneticPr fontId="3" type="noConversion"/>
  </si>
  <si>
    <t>IBAN :</t>
    <phoneticPr fontId="3" type="noConversion"/>
  </si>
  <si>
    <t>BIC :</t>
    <phoneticPr fontId="3" type="noConversion"/>
  </si>
  <si>
    <t>ggc@numericable.fr</t>
  </si>
  <si>
    <t>dates bloquées : 
- 15 places max les 2 et 3 février 2015
- 15 places max les 4 et 5 avril 2015
- 15 places max du 15 au 19 juin 2015
- 5 places max du 10 au 12 septembre 2015</t>
    <phoneticPr fontId="3" type="noConversion"/>
  </si>
  <si>
    <t>134 Av de la Division Leclerc</t>
    <phoneticPr fontId="3" type="noConversion"/>
  </si>
  <si>
    <t>ABO NUIT, WE, JOURS FÉRIES</t>
  </si>
  <si>
    <t>AUTRE OFFRE 2</t>
  </si>
  <si>
    <t>AUTRE OFFRE 3</t>
  </si>
  <si>
    <t>AUTRE OFFRE 4</t>
  </si>
  <si>
    <t>MAJORATION/MINORATION 1</t>
  </si>
  <si>
    <t>CONDITIONS MAJO/MINO 1</t>
  </si>
  <si>
    <t>3. &lt;-- Bien mettre à jour les mois de consommation concernés</t>
    <phoneticPr fontId="3" type="noConversion"/>
  </si>
  <si>
    <t>FR76 1010 7003 2100 5101 8530 788</t>
    <phoneticPr fontId="3" type="noConversion"/>
  </si>
  <si>
    <t>120 rue de Clignancourt, 75018</t>
  </si>
  <si>
    <t>15 places 24/7 + 2 places moto initialement. + 20 places (HP).</t>
    <phoneticPr fontId="3" type="noConversion"/>
  </si>
  <si>
    <t>na</t>
  </si>
  <si>
    <t>A la minute au delà de la 1ere heure</t>
  </si>
  <si>
    <t>TARIF HORAIRE</t>
  </si>
  <si>
    <t>DÉCOMPTE</t>
  </si>
  <si>
    <t>ABO JOUR</t>
  </si>
  <si>
    <t xml:space="preserve">Abo 24/7 d’une durée minimum de 6 mois - Véhicules catégorie 3 - 199€ </t>
  </si>
  <si>
    <t>ICF</t>
    <phoneticPr fontId="3" type="noConversion"/>
  </si>
  <si>
    <t>guillaume.le-van@icfhabitat.fr</t>
  </si>
  <si>
    <t>A partir de l'année 2</t>
    <phoneticPr fontId="3" type="noConversion"/>
  </si>
  <si>
    <t>Merci de bien vouloir nous faire parvenir une facture reprenant les éléments suivants :</t>
  </si>
  <si>
    <t>préavis places allotées = 1 mois
non allotées = 24h</t>
    <phoneticPr fontId="3" type="noConversion"/>
  </si>
  <si>
    <t>Cyril Sacchetti</t>
    <phoneticPr fontId="3" type="noConversion"/>
  </si>
  <si>
    <t>direction@hotel-bourget.com</t>
  </si>
  <si>
    <t>ADRESSE DU PARKING</t>
  </si>
  <si>
    <t>si &gt; 10 places 24/7</t>
    <phoneticPr fontId="3" type="noConversion"/>
  </si>
  <si>
    <t>h6188-gl@accor.com</t>
  </si>
  <si>
    <t>PARKING</t>
  </si>
  <si>
    <t>CMO</t>
    <phoneticPr fontId="3" type="noConversion"/>
  </si>
  <si>
    <t>CRE</t>
    <phoneticPr fontId="3" type="noConversion"/>
  </si>
  <si>
    <t>CRO</t>
    <phoneticPr fontId="3" type="noConversion"/>
  </si>
  <si>
    <t>CSG</t>
    <phoneticPr fontId="3" type="noConversion"/>
  </si>
  <si>
    <t>CSU</t>
    <phoneticPr fontId="3" type="noConversion"/>
  </si>
  <si>
    <t>KLB</t>
    <phoneticPr fontId="3" type="noConversion"/>
  </si>
  <si>
    <t>MBO</t>
    <phoneticPr fontId="3" type="noConversion"/>
  </si>
  <si>
    <t>SLD</t>
    <phoneticPr fontId="3" type="noConversion"/>
  </si>
  <si>
    <t>I3F</t>
    <phoneticPr fontId="3" type="noConversion"/>
  </si>
  <si>
    <t>Sebastien Roussel</t>
    <phoneticPr fontId="3" type="noConversion"/>
  </si>
  <si>
    <t>sebastien.roussel@citadines.com; remi.saunier@the-ascott.com</t>
    <phoneticPr fontId="3" type="noConversion"/>
  </si>
  <si>
    <t>75014 Paris</t>
  </si>
  <si>
    <t>Hôtel Montparnasse SAS,
40 rue du Commandant Mouchotte</t>
  </si>
  <si>
    <t>&gt; 3 ans</t>
    <phoneticPr fontId="3" type="noConversion"/>
  </si>
  <si>
    <t>Date :</t>
    <phoneticPr fontId="3" type="noConversion"/>
  </si>
  <si>
    <t>BNPAFRPP</t>
    <phoneticPr fontId="3" type="noConversion"/>
  </si>
  <si>
    <t xml:space="preserve">Zenpark peut commercialiser des abonnements sur 40 places. Zenpark peut envoyer un minimum de 5 véhicules en horaire. Attention pas de flyers dans la rue / sensibilité des abonnés historiques. </t>
  </si>
  <si>
    <t>Renouvelable annuellement par tacite reconduction
Conditions contrat cadre applicables à partir d'avril 2015</t>
  </si>
  <si>
    <t>Groupe Ferré</t>
    <phoneticPr fontId="3" type="noConversion"/>
  </si>
  <si>
    <t>Durée 1 an renouvelable 1 fois</t>
    <phoneticPr fontId="3" type="noConversion"/>
  </si>
  <si>
    <t>M. Guillaume Le Van</t>
    <phoneticPr fontId="3" type="noConversion"/>
  </si>
  <si>
    <t>NRE</t>
  </si>
  <si>
    <t>35000 Rennes</t>
  </si>
  <si>
    <t>Patrice CHARPENTIER</t>
  </si>
  <si>
    <t>Julien LEFEBVRE</t>
  </si>
  <si>
    <t>H7383-gm@accor.com</t>
  </si>
  <si>
    <t>IBAN</t>
    <phoneticPr fontId="3" type="noConversion"/>
  </si>
  <si>
    <t>BIC</t>
    <phoneticPr fontId="3" type="noConversion"/>
  </si>
  <si>
    <t xml:space="preserve">Référence : </t>
    <phoneticPr fontId="3" type="noConversion"/>
  </si>
  <si>
    <t>Commission du service de parking partagé Zenpark</t>
    <phoneticPr fontId="3" type="noConversion"/>
  </si>
  <si>
    <t>Immobilière 3F</t>
  </si>
  <si>
    <t>ASO</t>
  </si>
  <si>
    <t>Année &gt;=2</t>
  </si>
  <si>
    <t>16, rue du Pont des Halles</t>
  </si>
  <si>
    <t>94140 RUNGIS</t>
  </si>
  <si>
    <t>SNI</t>
  </si>
  <si>
    <t>DEAL NAME (doit être identique au nom du landlord)</t>
    <phoneticPr fontId="3" type="noConversion"/>
  </si>
  <si>
    <t>DEAL CODE</t>
    <phoneticPr fontId="3" type="noConversion"/>
  </si>
  <si>
    <t>CONDITIONS PARTICULIERES</t>
    <phoneticPr fontId="3" type="noConversion"/>
  </si>
  <si>
    <t>ADRESSE Facturation</t>
    <phoneticPr fontId="3" type="noConversion"/>
  </si>
  <si>
    <t>CP</t>
    <phoneticPr fontId="3" type="noConversion"/>
  </si>
  <si>
    <t>CONTACT FACTURATION</t>
    <phoneticPr fontId="3" type="noConversion"/>
  </si>
  <si>
    <t>EMAIL FACTURATION</t>
    <phoneticPr fontId="3" type="noConversion"/>
  </si>
  <si>
    <t>100-104, avenue de France</t>
  </si>
  <si>
    <t>75013 Paris</t>
  </si>
  <si>
    <t>Karine Magnin</t>
  </si>
  <si>
    <t>CAU</t>
  </si>
  <si>
    <t>CBG</t>
  </si>
  <si>
    <t>Nicoline ROHAUT</t>
  </si>
  <si>
    <t>nicoline.rohaut@citadines.com</t>
  </si>
  <si>
    <t>NNA</t>
  </si>
  <si>
    <t>1, boulevard des Martyrs Nantais</t>
  </si>
  <si>
    <t>44200 Nantes</t>
  </si>
  <si>
    <t>Total général</t>
  </si>
  <si>
    <t>ADO</t>
  </si>
  <si>
    <t>ISS</t>
  </si>
  <si>
    <t>MLM</t>
  </si>
  <si>
    <t>29, boulevard Berthelot</t>
  </si>
  <si>
    <t>34000 MONTPELLIER</t>
  </si>
  <si>
    <t>Marie-Laure PICOS</t>
  </si>
  <si>
    <t>6-7 quai du Val</t>
  </si>
  <si>
    <t>35400 Saint-Malo</t>
  </si>
  <si>
    <t>Mme Marie-Aude Royer</t>
  </si>
  <si>
    <t>H7423@accor.com</t>
  </si>
  <si>
    <t>19, rue de Chanzy</t>
  </si>
  <si>
    <t>72000 LE MANS</t>
  </si>
  <si>
    <t>Mme Carine Bouyer</t>
  </si>
  <si>
    <t>H5641@accor.com</t>
  </si>
  <si>
    <t>myflypark@gmail.com</t>
  </si>
  <si>
    <t>22, avenue Jean Janvier</t>
  </si>
  <si>
    <t>FR76 3000 4013 2800 0114 9984 604</t>
  </si>
  <si>
    <t>FR76 3000 4013 2800 0114 9984 004</t>
  </si>
  <si>
    <t>CRN</t>
  </si>
  <si>
    <t>RIV</t>
  </si>
  <si>
    <t>TRA</t>
  </si>
  <si>
    <t>QSB</t>
  </si>
  <si>
    <t>94200 Ivry-sur-Seine</t>
  </si>
  <si>
    <t>Année &gt;= 4</t>
  </si>
  <si>
    <t>Campus de la Chantrerie
5 rue Alfred Kastler</t>
  </si>
  <si>
    <t>44300 Nantes</t>
  </si>
  <si>
    <t>Mme Anouch Guidet</t>
  </si>
  <si>
    <t>13 avenue de la Porte d'Italie</t>
  </si>
  <si>
    <t>Année &gt;= 1</t>
  </si>
  <si>
    <t xml:space="preserve">Taux de commission 50% pour tous les parkings dans sa 1ère année. Taux à 40% au dela </t>
  </si>
  <si>
    <t>M. Fabien ZANINI</t>
  </si>
  <si>
    <t xml:space="preserve">SCI DETROIE
38 allée de Villemonble </t>
  </si>
  <si>
    <t>93340 Le Raincy</t>
  </si>
  <si>
    <t>fabien.zanini@traducteo.com</t>
  </si>
  <si>
    <t>DT Aquitaine Limousin
42, rue Cambronne</t>
  </si>
  <si>
    <t>75740 Paris Cedex 15</t>
  </si>
  <si>
    <t>Mme Leila ALVAREZ</t>
  </si>
  <si>
    <t xml:space="preserve"> leila.alvarez@adoma.fr</t>
  </si>
  <si>
    <t>année &gt;=1</t>
  </si>
  <si>
    <t>année &gt;= 2</t>
  </si>
  <si>
    <t>BNPAFRPPPXV</t>
  </si>
  <si>
    <t>83 avenue JF Kennedy</t>
  </si>
  <si>
    <t>33700 Mérignac</t>
  </si>
  <si>
    <t>M. Gonzague Aernouts</t>
  </si>
  <si>
    <t>gaernouts@qualitybordeaux.com</t>
  </si>
  <si>
    <t>77290 Mitry Moroy</t>
  </si>
  <si>
    <t>NAB</t>
  </si>
  <si>
    <t>3, boulevard René Descartes</t>
  </si>
  <si>
    <t>86360 Chasseneuil du Poitou</t>
  </si>
  <si>
    <t>Landlord</t>
  </si>
  <si>
    <t>Ref Parking</t>
  </si>
  <si>
    <t>Mois</t>
  </si>
  <si>
    <t>Nb Places moyen</t>
  </si>
  <si>
    <t>CA TTC</t>
  </si>
  <si>
    <t>CA par place</t>
  </si>
  <si>
    <t>Commission Zenpark</t>
  </si>
  <si>
    <t>Montant Reversé</t>
  </si>
  <si>
    <t>Étiquettes de lignes</t>
  </si>
  <si>
    <t>Étiquettes de colonnes</t>
  </si>
  <si>
    <t>Somme de Montant Reversé</t>
  </si>
  <si>
    <t>Adoma</t>
  </si>
  <si>
    <t>All Suites Orly</t>
  </si>
  <si>
    <t>Campanile Roissy</t>
  </si>
  <si>
    <t>Campanile Suresnes</t>
  </si>
  <si>
    <t>Grand Garage de Clignancourt</t>
  </si>
  <si>
    <t>Mercure Le Mans Centre</t>
  </si>
  <si>
    <t>Novotel Rennes Gare SNCF</t>
  </si>
  <si>
    <t>SAEMES</t>
  </si>
  <si>
    <t>Paris - Bercy - Gare de Lyon</t>
  </si>
  <si>
    <t>Paris - Chevaleret</t>
  </si>
  <si>
    <t>Information</t>
  </si>
  <si>
    <r>
      <t xml:space="preserve">Rendez-vous sur votre </t>
    </r>
    <r>
      <rPr>
        <u/>
        <sz val="12"/>
        <color indexed="8"/>
        <rFont val="Calibri (Corps)"/>
      </rPr>
      <t>espace partenaire</t>
    </r>
    <r>
      <rPr>
        <sz val="12"/>
        <color indexed="8"/>
        <rFont val="Calibri"/>
        <family val="2"/>
        <scheme val="minor"/>
      </rPr>
      <t xml:space="preserve"> pour le détail des consommations.</t>
    </r>
  </si>
  <si>
    <r>
      <t xml:space="preserve">Contactez-nous sur : </t>
    </r>
    <r>
      <rPr>
        <u/>
        <sz val="12"/>
        <color indexed="8"/>
        <rFont val="Calibri (Corps)"/>
      </rPr>
      <t>bonjour@zenpark.com</t>
    </r>
    <r>
      <rPr>
        <sz val="12"/>
        <color indexed="8"/>
        <rFont val="Calibri"/>
        <family val="2"/>
        <scheme val="minor"/>
      </rPr>
      <t xml:space="preserve"> si vous ne disposez pas d'identifiants</t>
    </r>
  </si>
  <si>
    <t>FR76 1005 7190 1200 0826 1040 157</t>
  </si>
  <si>
    <t>CMCIFRPP</t>
  </si>
  <si>
    <t>FR76 1820 6004 2630 8751 2400 134</t>
  </si>
  <si>
    <t>AGRIFRPP 882</t>
  </si>
  <si>
    <t>IDENTIFIANT FORMULE</t>
  </si>
  <si>
    <t>L'identifiant formule est  :</t>
  </si>
  <si>
    <t>Les identifiants formule sont  :</t>
  </si>
  <si>
    <t>Total Trimestre</t>
  </si>
  <si>
    <t xml:space="preserve">Montants TTC : </t>
  </si>
  <si>
    <t>Total</t>
  </si>
  <si>
    <t>Réf. Parking</t>
  </si>
  <si>
    <t>Détail des consommations</t>
  </si>
  <si>
    <t>FR76 3000 4008 2000 0100 3050 495</t>
  </si>
  <si>
    <t>BNPAFRPPMED</t>
  </si>
  <si>
    <t>AMA</t>
  </si>
  <si>
    <t>AMO</t>
  </si>
  <si>
    <t>118-120, rue de Ruffi</t>
  </si>
  <si>
    <t>13002 Marseille</t>
  </si>
  <si>
    <t>SAE</t>
  </si>
  <si>
    <t>1, rue Léon Cladel</t>
  </si>
  <si>
    <t>75002 Paris</t>
  </si>
  <si>
    <t>10% (sans techno)
30% (avec techno)</t>
  </si>
  <si>
    <t>FR76 1751 5900 0008 4762 1980 987</t>
  </si>
  <si>
    <t>CEPAFRPP751</t>
  </si>
  <si>
    <t>Laurent Parking</t>
  </si>
  <si>
    <t>Parking La Courneuve</t>
  </si>
  <si>
    <t>Paris - Jaurès</t>
  </si>
  <si>
    <t>44860 Saint-Aignan-de-Grandlieu</t>
  </si>
  <si>
    <t>M. Bruno Perron</t>
  </si>
  <si>
    <t>contact@alterpark.fr</t>
  </si>
  <si>
    <t>SIA Habitat</t>
  </si>
  <si>
    <t>SIA</t>
  </si>
  <si>
    <t>Direction de la Gestion Locative
67, avenue des Potiers</t>
  </si>
  <si>
    <t>59506 Douai</t>
  </si>
  <si>
    <t>M. Adrien Lavieville</t>
  </si>
  <si>
    <t>BOX</t>
  </si>
  <si>
    <t>6, rue Dieudonnée Costes</t>
  </si>
  <si>
    <t>31700 Blagnac</t>
  </si>
  <si>
    <t>M. Cédric Jalin</t>
  </si>
  <si>
    <t>cedric.jalin@boxxin.fr</t>
  </si>
  <si>
    <t>PLC</t>
  </si>
  <si>
    <t>26, avenue du Général Leclerc</t>
  </si>
  <si>
    <t>93120 La Courneuve</t>
  </si>
  <si>
    <t>M. Gionvanni Vinci</t>
  </si>
  <si>
    <t>parkingdustade@outlook.com</t>
  </si>
  <si>
    <t>LPA</t>
  </si>
  <si>
    <t>287, rue de Clermont</t>
  </si>
  <si>
    <t>60000 Beauvais</t>
  </si>
  <si>
    <t>M. Laurent Boutillier</t>
  </si>
  <si>
    <t>contact@laurentparking.com</t>
  </si>
  <si>
    <t>ABS</t>
  </si>
  <si>
    <t>ABC</t>
  </si>
  <si>
    <t>FR76 1627 5006 0008 1040 5818 858</t>
  </si>
  <si>
    <t>CEPAFRPP627</t>
  </si>
  <si>
    <t>FR76 3000 3031 2000 0201 2377 714</t>
  </si>
  <si>
    <t>SOGEFRPP</t>
  </si>
  <si>
    <t>Efidis Paris</t>
  </si>
  <si>
    <t>EPA</t>
  </si>
  <si>
    <t>EHS</t>
  </si>
  <si>
    <t>20, place des vins de France</t>
  </si>
  <si>
    <t xml:space="preserve"> 75012 Paris</t>
  </si>
  <si>
    <t>Mme Brigitte PETAIN</t>
  </si>
  <si>
    <t>Année 2 = Si le nombre de parking est entre 5 et 10</t>
  </si>
  <si>
    <t>Année 2 = Si le nombre de parking est supérieur à 10</t>
  </si>
  <si>
    <t>Paris Habitat</t>
  </si>
  <si>
    <t>FR76 1802 5001 0008 0001 9362 240</t>
  </si>
  <si>
    <t>CEPAFRPP802</t>
  </si>
  <si>
    <t>FR76 3004 7141 1500 0817 8640 105</t>
  </si>
  <si>
    <t>dont charges</t>
  </si>
  <si>
    <t>IZI</t>
  </si>
  <si>
    <t xml:space="preserve">44340 BOUGUENAIS </t>
  </si>
  <si>
    <t>M. Thomas Leneveu</t>
  </si>
  <si>
    <t>thomas@izipark-nantes.fr</t>
  </si>
  <si>
    <t>9 rue Jadin</t>
  </si>
  <si>
    <t>75017 PARIS</t>
  </si>
  <si>
    <t>PER</t>
  </si>
  <si>
    <t>Fin année 1. Début année 2</t>
  </si>
  <si>
    <t>M</t>
  </si>
  <si>
    <t>T</t>
  </si>
  <si>
    <t>CTR</t>
  </si>
  <si>
    <t xml:space="preserve"> 29 bis rue Saint Didier</t>
  </si>
  <si>
    <t>75116 Paris</t>
  </si>
  <si>
    <t>Mme Christiane Le Saulnier</t>
  </si>
  <si>
    <t>christiane.lesaulnier@citadines.com</t>
  </si>
  <si>
    <t>Izipark Nantes</t>
  </si>
  <si>
    <t>FR76 3000 4002 7400 0212 9578 758</t>
  </si>
  <si>
    <t>1. &lt;-- Sélectionner le partenaire</t>
  </si>
  <si>
    <t>Mme Hélène UVON</t>
  </si>
  <si>
    <t>helene.uvon@citadines.com</t>
  </si>
  <si>
    <t>FR51 4003 1000 0100 0005 5243 W70</t>
  </si>
  <si>
    <t>CDCGFRPP</t>
  </si>
  <si>
    <t>FR76 3000 4013 2800 0115 0100 404</t>
  </si>
  <si>
    <t>PHA</t>
  </si>
  <si>
    <t>M. Jean-Paul Medam</t>
  </si>
  <si>
    <t>ERI</t>
  </si>
  <si>
    <t>176 rue Montmartre</t>
  </si>
  <si>
    <t>Mme Lydia Sgorlon</t>
  </si>
  <si>
    <t xml:space="preserve">Lydia.SGORLON@batigere.fr  </t>
  </si>
  <si>
    <t>75008 Paris</t>
  </si>
  <si>
    <t>M. Emmanuel Abeille-Batier</t>
  </si>
  <si>
    <t>eabeille-batier@tagerim.fr</t>
  </si>
  <si>
    <t>NEO</t>
  </si>
  <si>
    <t>41 boulevard de Verdun
CS 61121</t>
  </si>
  <si>
    <t>35011 Rennes</t>
  </si>
  <si>
    <t>Mme Thérèse Rivière</t>
  </si>
  <si>
    <t xml:space="preserve">therese.riviere@neotoa.fr </t>
  </si>
  <si>
    <t>69007 Lyon</t>
  </si>
  <si>
    <t>APL</t>
  </si>
  <si>
    <t>111, bd Marius Vivier Merle</t>
  </si>
  <si>
    <t>69003 Lyon</t>
  </si>
  <si>
    <t>Mme Marion BOUCHARLAT</t>
  </si>
  <si>
    <t>NEOTOA</t>
  </si>
  <si>
    <t>Odalys Genève</t>
  </si>
  <si>
    <t>Paris - Porte de la Chapelle</t>
  </si>
  <si>
    <t>FR76 3000 3030 2000 0207 0356 114</t>
  </si>
  <si>
    <t>CGE</t>
  </si>
  <si>
    <t>Frais d’installation avancés par Zenpark mais à la charge du Partenaire à hauteur de 624,24 € HT. Frais déduits des premiers revenus de la résidence jusqu’au remboursement total de la somme.</t>
  </si>
  <si>
    <t>34 rue de Genève</t>
  </si>
  <si>
    <t>01210 Ferney-Voltaire</t>
  </si>
  <si>
    <t>Mme Catherine Caron</t>
  </si>
  <si>
    <t xml:space="preserve">catherine.caron@citadines.com </t>
  </si>
  <si>
    <t>OBL</t>
  </si>
  <si>
    <t>OGE</t>
  </si>
  <si>
    <t>60, avenue Rockfeller</t>
  </si>
  <si>
    <t>13D chemin du Levant</t>
  </si>
  <si>
    <t>69008 Lyon</t>
  </si>
  <si>
    <t>Mme Céline Rapaud</t>
  </si>
  <si>
    <t>rapaud.c@odalys.fr</t>
  </si>
  <si>
    <t>direction.ferney@odalys.fr</t>
  </si>
  <si>
    <t>21 bis rue Claude Bernard</t>
  </si>
  <si>
    <t>75005 Paris</t>
  </si>
  <si>
    <t>Redevance de 10% qui correspond à des charges courantes</t>
  </si>
  <si>
    <t>75016 Paris</t>
  </si>
  <si>
    <t>FR76 3000 4028 3400 0100 2315 289</t>
  </si>
  <si>
    <t>BNPAFRPPXXX</t>
  </si>
  <si>
    <r>
      <t xml:space="preserve">La facture doit être envoyée par courrier électronique à l'adresse email : </t>
    </r>
    <r>
      <rPr>
        <b/>
        <sz val="12"/>
        <color indexed="8"/>
        <rFont val="Calibri"/>
        <family val="2"/>
      </rPr>
      <t>facturation@zenpark.com</t>
    </r>
  </si>
  <si>
    <t xml:space="preserve">Redevance TTC : </t>
  </si>
  <si>
    <t>Redevance HT :</t>
  </si>
  <si>
    <t>Ref parking</t>
  </si>
  <si>
    <t>Nb places</t>
  </si>
  <si>
    <t>Montant reversé TTC</t>
  </si>
  <si>
    <t>Cogestra</t>
  </si>
  <si>
    <t>COG</t>
  </si>
  <si>
    <t>SCI Immo 9 et 10</t>
  </si>
  <si>
    <t>100, avenue Kléber</t>
  </si>
  <si>
    <t>FR76 3000 3017 5000 0200 7557 285</t>
  </si>
  <si>
    <t>FR61 3000 2008 2600 0000 5131 J70</t>
  </si>
  <si>
    <t>FR76 1751 5000 9208 0017 3036 350</t>
  </si>
  <si>
    <t>24 rue Christophe Colomb</t>
  </si>
  <si>
    <t>FR76 3005 6007 7407 7446 1664 114</t>
  </si>
  <si>
    <t>CCFRFRPP</t>
  </si>
  <si>
    <t>NMN</t>
  </si>
  <si>
    <t>26, place Rosa Parks -
BP 83618</t>
  </si>
  <si>
    <t>44036 Nantes</t>
  </si>
  <si>
    <t>Mme Emmanuelle Thoumine</t>
  </si>
  <si>
    <t>emmanuelle.thoumine@nmh.fr</t>
  </si>
  <si>
    <t>HIP</t>
  </si>
  <si>
    <t>95700 Roissy en France</t>
  </si>
  <si>
    <t>Mme Halima Houille</t>
  </si>
  <si>
    <t>Halima.Houille@hicdg.com</t>
  </si>
  <si>
    <t>A partir de l'année 2</t>
  </si>
  <si>
    <t>4 allée du Verger</t>
  </si>
  <si>
    <t>Nantes Habitat</t>
  </si>
  <si>
    <t>KCA</t>
  </si>
  <si>
    <t>67, rue Anatole France</t>
  </si>
  <si>
    <t>M. Jean-Baptiste Cousin</t>
  </si>
  <si>
    <t>Jean-baptiste.cousin@kley.fr</t>
  </si>
  <si>
    <t>BNE</t>
  </si>
  <si>
    <t>12, rue des Carmes</t>
  </si>
  <si>
    <t>54000 Nancy</t>
  </si>
  <si>
    <t>Mme Agnès Collin</t>
  </si>
  <si>
    <t>76-78 avenue des Champs Elysées</t>
  </si>
  <si>
    <t>TSE</t>
  </si>
  <si>
    <t>HVE</t>
  </si>
  <si>
    <t>7, cours du Danube</t>
  </si>
  <si>
    <t>77700 Serris</t>
  </si>
  <si>
    <t>SLH</t>
  </si>
  <si>
    <t>2 passage Sebastien Bottin</t>
  </si>
  <si>
    <t>Mme Marie-Flore GEISLER</t>
  </si>
  <si>
    <t xml:space="preserve"> mfgeisler@lorraine-habitat.fr</t>
  </si>
  <si>
    <t>A partir de l'année 3</t>
  </si>
  <si>
    <t>CCN</t>
  </si>
  <si>
    <t>32-36 rue des Moulins Gémeaux</t>
  </si>
  <si>
    <t>93200 Saint-Denis</t>
  </si>
  <si>
    <t>92300 Levallois-Perret</t>
  </si>
  <si>
    <t>Saint-Denis - La Plaine - Chaudron</t>
  </si>
  <si>
    <t>Référence</t>
  </si>
  <si>
    <t>FR76 3078 8001 0008 6296 7000 140</t>
  </si>
  <si>
    <t>NSMBFRPPXXX</t>
  </si>
  <si>
    <t>FR60 2004 1010 1108 6021 1W03 227</t>
  </si>
  <si>
    <t>PSSTFRPPNTE</t>
  </si>
  <si>
    <t>FR44 4003 1000 0100 0014 0291 P18</t>
  </si>
  <si>
    <t>CDCGFRPPXXX</t>
  </si>
  <si>
    <t>FR76 1310 6005 0020 0054 7581 835</t>
  </si>
  <si>
    <t>AGRIFRPP831</t>
  </si>
  <si>
    <t>HIM</t>
  </si>
  <si>
    <t>2 boulevard du Levant</t>
  </si>
  <si>
    <t>93160 Noisy-le-Grand</t>
  </si>
  <si>
    <t>M. Loïc Nartz</t>
  </si>
  <si>
    <t>loic.nartz@hiparismlv.com</t>
  </si>
  <si>
    <t>Global Exploitation</t>
  </si>
  <si>
    <t>GEX</t>
  </si>
  <si>
    <t>170 rue Raimon de Trencavel</t>
  </si>
  <si>
    <t>34070 Montpellier</t>
  </si>
  <si>
    <t>Mme Élodie Vezies</t>
  </si>
  <si>
    <t>e.vezies@globalexploitation.com</t>
  </si>
  <si>
    <t>A partir de l'année 2 si on exploite 10 parkings</t>
  </si>
  <si>
    <t>Paris Hotel Louis Blanc</t>
  </si>
  <si>
    <t>PHL</t>
  </si>
  <si>
    <t>232 rue du Faubourg Saint-Martin</t>
  </si>
  <si>
    <t>Mme Emeline Chalivat</t>
  </si>
  <si>
    <t>direction@hplb.fr</t>
  </si>
  <si>
    <t>PBL</t>
  </si>
  <si>
    <t>FR76 3000 3040 2500 0203 7210 592</t>
  </si>
  <si>
    <t>FR76 3000 3017 5000 0200 8882 305</t>
  </si>
  <si>
    <t>Traducteo</t>
  </si>
  <si>
    <t>FR76 3008 7336 8000 0129 2480 492</t>
  </si>
  <si>
    <t>FR76 3004 7140 4400 0200 3890 151</t>
  </si>
  <si>
    <t>FR76 1005 7195 4100 0224 9180 190</t>
  </si>
  <si>
    <t>FR76 1005 7191 5800 0200 0820 151</t>
  </si>
  <si>
    <t>FR76 3004 7142 1400 0203 3630 129</t>
  </si>
  <si>
    <t>FR76 3004 7142 1400 0202 1290 177</t>
  </si>
  <si>
    <t>FR76 3004 7140 3400 0200 9870 254</t>
  </si>
  <si>
    <t>FR76 1660 6532 1384 8395 0186 133</t>
  </si>
  <si>
    <t>AGRIFRPP866</t>
  </si>
  <si>
    <t xml:space="preserve">FR76 1751 5006 0008 2838 4486 032 </t>
  </si>
  <si>
    <t>SOB</t>
  </si>
  <si>
    <t>6 rue Achard</t>
  </si>
  <si>
    <t>33300 Bordeaux</t>
  </si>
  <si>
    <t>FR76 1005 7195 4100 0995 0490 146</t>
  </si>
  <si>
    <t>5 (cinq) Places allotées à temps-plein (7j/7, 24h/24)
5 (cinq) Places non-allotées du dimanche 19h au vendredi 19h (nuits comprises)
10 (dix) Places non-allotées du lundi au dimanche de 9h à 19h pendant la journée uniquement</t>
  </si>
  <si>
    <t>FR76 3004 7140 3400 0201 2490 127</t>
  </si>
  <si>
    <t>Aximo</t>
  </si>
  <si>
    <t>GSA Résidences</t>
  </si>
  <si>
    <t>Marseille Habitat</t>
  </si>
  <si>
    <t>OPH Montreuillois</t>
  </si>
  <si>
    <t>Montreuil - Mairie de Montreuil</t>
  </si>
  <si>
    <t>Montreuil - Palais des Congrès Paris-Est</t>
  </si>
  <si>
    <t>Paris - Porte de Clichy</t>
  </si>
  <si>
    <t>Reims Habitat</t>
  </si>
  <si>
    <t>SCI Isabou</t>
  </si>
  <si>
    <t>Ténéo Apparthotel Bordeaux</t>
  </si>
  <si>
    <t>M. Thierry Molinie-Zemmour</t>
  </si>
  <si>
    <t>MHA</t>
  </si>
  <si>
    <t>SCI Marseille Clary</t>
  </si>
  <si>
    <t>72 avenue Pierre Mendes</t>
  </si>
  <si>
    <t>evelyne.deldon@marseillehabitat.fr</t>
  </si>
  <si>
    <t>AXI</t>
  </si>
  <si>
    <t>6 rue André Voguet</t>
  </si>
  <si>
    <t>Mme Maureen Dellion</t>
  </si>
  <si>
    <t>maureen.dellion@aximo.org</t>
  </si>
  <si>
    <t>Si plus de 10 parkings exploités</t>
  </si>
  <si>
    <t>TAB</t>
  </si>
  <si>
    <t>3 impasse Rudolf Diesel</t>
  </si>
  <si>
    <t>moez.benzid@teneo.fr</t>
  </si>
  <si>
    <t>M. Moez Ben Zid</t>
  </si>
  <si>
    <t>GSA</t>
  </si>
  <si>
    <t>Résidence Lille Lambret - 230 chemin de la Collose</t>
  </si>
  <si>
    <t>59000 Lille</t>
  </si>
  <si>
    <t>M. Stéphane Ayari</t>
  </si>
  <si>
    <t>sayari@gsa-residences.com</t>
  </si>
  <si>
    <t>OPM</t>
  </si>
  <si>
    <t>17 rue Molière</t>
  </si>
  <si>
    <t>93105 Montreuil Cedex</t>
  </si>
  <si>
    <t>Mme Clémence Debaille</t>
  </si>
  <si>
    <t>cdebaille@ophmontreuillois.fr</t>
  </si>
  <si>
    <t>Participation à la consommation électrique. 50€ TTC/parking/an
12,50€ TTC/parking/trimestre</t>
  </si>
  <si>
    <t>RHA</t>
  </si>
  <si>
    <t>71 avenue d'Épernay</t>
  </si>
  <si>
    <t>51100 Reims</t>
  </si>
  <si>
    <t>M. Patrick Baudet</t>
  </si>
  <si>
    <t>patrick.baudet@reims-habitat.fr</t>
  </si>
  <si>
    <t>Au delà de 10 parkings</t>
  </si>
  <si>
    <t>SIS</t>
  </si>
  <si>
    <t>3 allée du Moulin Joly</t>
  </si>
  <si>
    <t>92700 Colombes</t>
  </si>
  <si>
    <t>M. Boucenna</t>
  </si>
  <si>
    <t>RMG de 20 € (5 places) - franchise de 4 mois</t>
  </si>
  <si>
    <t>FR76 3000 4013 2800 0114 9848 204</t>
  </si>
  <si>
    <t>Mme Sandrine Texereau</t>
  </si>
  <si>
    <t>FR76 1751 5900 0008 0017 3521 515</t>
  </si>
  <si>
    <t>FR76 3000 4025 6100 0105 4394 222</t>
  </si>
  <si>
    <t>BNPAFRPPSAE</t>
  </si>
  <si>
    <t>ACN</t>
  </si>
  <si>
    <t>18 bis, Route de Turin</t>
  </si>
  <si>
    <t>06300 Nice</t>
  </si>
  <si>
    <t>M. Sylvain GUYOTON</t>
  </si>
  <si>
    <t>Paris - Porte d'Asnières</t>
  </si>
  <si>
    <t>Mme Béatrice Dolley</t>
  </si>
  <si>
    <t>OMB</t>
  </si>
  <si>
    <t>334 boulevard Chave</t>
  </si>
  <si>
    <t>13005 Marseille</t>
  </si>
  <si>
    <t>direction.blancarde@odalys.fr</t>
  </si>
  <si>
    <r>
      <t xml:space="preserve">Rendez-vous sur votre </t>
    </r>
    <r>
      <rPr>
        <u/>
        <sz val="11"/>
        <color indexed="8"/>
        <rFont val="Calibri (Corps)"/>
      </rPr>
      <t>espace partenaire</t>
    </r>
    <r>
      <rPr>
        <sz val="11"/>
        <color indexed="8"/>
        <rFont val="Calibri"/>
        <family val="2"/>
        <scheme val="minor"/>
      </rPr>
      <t xml:space="preserve"> pour le détail des consommations.</t>
    </r>
  </si>
  <si>
    <t>Mois concerné :</t>
  </si>
  <si>
    <t>Mois concernés :</t>
  </si>
  <si>
    <t/>
  </si>
  <si>
    <t>dont charges de fonctionnement du service TTC :</t>
  </si>
  <si>
    <t>Parking Soleil Orly</t>
  </si>
  <si>
    <t>FR92 2004 1000 0100 0101 5J02 062</t>
  </si>
  <si>
    <t>PSSTFRPPPAR</t>
  </si>
  <si>
    <t>PSO</t>
  </si>
  <si>
    <t>54 voix des Groux</t>
  </si>
  <si>
    <t>91320 Wissous</t>
  </si>
  <si>
    <t>M. Jean Malard</t>
  </si>
  <si>
    <t>jean.malard@sfr.fr</t>
  </si>
  <si>
    <t>CWT</t>
  </si>
  <si>
    <t>8 Boulevard de Strasbourg</t>
  </si>
  <si>
    <t>31000 Toulouse</t>
  </si>
  <si>
    <t>M. Ignacio SANDINO</t>
  </si>
  <si>
    <t>ignacio.sandino@citadines.com</t>
  </si>
  <si>
    <t>CRLYFRPP</t>
  </si>
  <si>
    <t>Boulogne - Gallieni Silly</t>
  </si>
  <si>
    <t>2353P</t>
  </si>
  <si>
    <t>Boulogne - Point-du-Jour</t>
  </si>
  <si>
    <t>1328P</t>
  </si>
  <si>
    <t>Clichy - Fournier - Pasteur</t>
  </si>
  <si>
    <t>R137P</t>
  </si>
  <si>
    <t>Clichy - Hôpital Beaujon</t>
  </si>
  <si>
    <t>S069P</t>
  </si>
  <si>
    <t>Ivry-sur-Seine - Pierre et Marie Curie - Barbès</t>
  </si>
  <si>
    <t>R319P</t>
  </si>
  <si>
    <t>Le Kremlin-Bicêtre - Mairie - Salengro</t>
  </si>
  <si>
    <t>2685P</t>
  </si>
  <si>
    <t>Paris - Bagnolet Réunion</t>
  </si>
  <si>
    <t>2263P</t>
  </si>
  <si>
    <t>Paris - Buttes-Chaumont - Crimée</t>
  </si>
  <si>
    <t>4929P</t>
  </si>
  <si>
    <t>Paris - Château</t>
  </si>
  <si>
    <t>2446P</t>
  </si>
  <si>
    <t>Paris - Cité Blanche</t>
  </si>
  <si>
    <t>2109P</t>
  </si>
  <si>
    <t>Paris - Danube</t>
  </si>
  <si>
    <t>Paris - Eure</t>
  </si>
  <si>
    <t>1197P</t>
  </si>
  <si>
    <t>Paris - Hôpital Necker</t>
  </si>
  <si>
    <t>1252P</t>
  </si>
  <si>
    <t>Paris - Nationale</t>
  </si>
  <si>
    <t>R731P</t>
  </si>
  <si>
    <t>Paris - Porte d’Aubervilliers</t>
  </si>
  <si>
    <t>S021P</t>
  </si>
  <si>
    <t>Paris - Porte d'Auteuil</t>
  </si>
  <si>
    <t>1043P</t>
  </si>
  <si>
    <t>R220P</t>
  </si>
  <si>
    <t>Saint-Maurice - Le Pont</t>
  </si>
  <si>
    <t>4932P</t>
  </si>
  <si>
    <t>Versailles - Gare de Montreuil</t>
  </si>
  <si>
    <t>1721P</t>
  </si>
  <si>
    <t>Lille Métropole Habitat</t>
  </si>
  <si>
    <t>Urbis Park</t>
  </si>
  <si>
    <t>ELO</t>
  </si>
  <si>
    <t>-5% ou -10%</t>
  </si>
  <si>
    <t>À partir de l'année 2 (-5%) ou à partir de 10 pkg en exploit (-10%)</t>
  </si>
  <si>
    <t>LMH</t>
  </si>
  <si>
    <t>425 Boulvevard Gambetta</t>
  </si>
  <si>
    <t>59200 Tourcoing</t>
  </si>
  <si>
    <t>M. Cédric David</t>
  </si>
  <si>
    <t>À partir de l'année 2 (-5%) ou à partir de 40 pkg en exploit (-10%)</t>
  </si>
  <si>
    <t>RMG (voir contrat)</t>
  </si>
  <si>
    <t>93350 Le Bourget</t>
  </si>
  <si>
    <t>FR41 3000 2029 5000 0011 7431 P12</t>
  </si>
  <si>
    <t>FR76 3000 4013 2800 0115 0139 204</t>
  </si>
  <si>
    <t>BST</t>
  </si>
  <si>
    <t>15/17 Route du Rhin</t>
  </si>
  <si>
    <t>67100 Strasbourg</t>
  </si>
  <si>
    <t>M. Thierry KUHN</t>
  </si>
  <si>
    <t>PLA</t>
  </si>
  <si>
    <t>5 place de la Pergola
CS 77711</t>
  </si>
  <si>
    <t>31077 Toulouse Cedex 4</t>
  </si>
  <si>
    <t>M. Rémi Schneider</t>
  </si>
  <si>
    <t>remi.schneider@sa-patrimoine.com</t>
  </si>
  <si>
    <t>UPA</t>
  </si>
  <si>
    <t>69-73 boulevard Victor Hugo</t>
  </si>
  <si>
    <t xml:space="preserve">93400 Saint Ouen </t>
  </si>
  <si>
    <t>Pour les résa uniquement, sinon 15</t>
  </si>
  <si>
    <t>Haute-Savoie Habitat</t>
  </si>
  <si>
    <t>HSH</t>
  </si>
  <si>
    <t>2, rue Marc Le Roux
CS 97006</t>
  </si>
  <si>
    <t>74055 Annecy Cedex</t>
  </si>
  <si>
    <t>Mme Catherine Sallaz</t>
  </si>
  <si>
    <t>GHO</t>
  </si>
  <si>
    <t>4, avenue Morane Saunier</t>
  </si>
  <si>
    <t>78140 Velizy-Villacoublay</t>
  </si>
  <si>
    <t>M. Mayke Deleignies</t>
  </si>
  <si>
    <t>H1245-GM@accor.com</t>
  </si>
  <si>
    <t>400 € HT de frais d'installation à déduire du CA</t>
  </si>
  <si>
    <t>ACV</t>
  </si>
  <si>
    <t>6, avenue Lacassagne</t>
  </si>
  <si>
    <t>Mme Aline Deloche</t>
  </si>
  <si>
    <t>Colombes - Hôpital Louis-Mourier</t>
  </si>
  <si>
    <t>SLS</t>
  </si>
  <si>
    <t>13 bis rue Blaise Pascal</t>
  </si>
  <si>
    <t>54320 MAXEVILLE</t>
  </si>
  <si>
    <t>Mme Eliane Genin</t>
  </si>
  <si>
    <t>EGENIN@solime.fr</t>
  </si>
  <si>
    <t>FR76  1005 7190 4800 0403 2760 147</t>
  </si>
  <si>
    <t>Tagerim Résidences Étudiantes</t>
  </si>
  <si>
    <t>Transports Baudron</t>
  </si>
  <si>
    <t>TBA</t>
  </si>
  <si>
    <t>Zone D2A Nantes-Atlantique
3 rue Santos Dumont</t>
  </si>
  <si>
    <t>FR93 3000 2042 2700 0006 2927 V60</t>
  </si>
  <si>
    <t>M. Pierre Turquois</t>
  </si>
  <si>
    <t>p.turquois@studyoresidences.fr</t>
  </si>
  <si>
    <t>Doublons</t>
  </si>
  <si>
    <t>ACI</t>
  </si>
  <si>
    <t>49101 ANGERS Cedex 02</t>
  </si>
  <si>
    <t>Mme Valérie Margrite</t>
  </si>
  <si>
    <t>Chaussée de Waterloo 1135</t>
  </si>
  <si>
    <t>1180 Brussels</t>
  </si>
  <si>
    <t>M. Arnaud De Vicq</t>
  </si>
  <si>
    <t>a.devicq@ghgroup.be</t>
  </si>
  <si>
    <t>LOG</t>
  </si>
  <si>
    <t>111 boulevard National</t>
  </si>
  <si>
    <t>13302 Marseille Cedex 03</t>
  </si>
  <si>
    <t>Mme Julie Angles</t>
  </si>
  <si>
    <t>julie.angles@logirem.fr</t>
  </si>
  <si>
    <t>PNO</t>
  </si>
  <si>
    <t>Échéancier de facturation</t>
  </si>
  <si>
    <t>2 place Paul Jamot
CS 80017</t>
  </si>
  <si>
    <t>51723 Reims Cedex</t>
  </si>
  <si>
    <t>M. Emmanuel Picardat</t>
  </si>
  <si>
    <t>emmanuel.picardat@plurial.fr</t>
  </si>
  <si>
    <t>FR10 3000 2028 3100 0070 1979 Q44</t>
  </si>
  <si>
    <t>ISP</t>
  </si>
  <si>
    <t>2 avenue Heinz Gloor</t>
  </si>
  <si>
    <t>M. Steve Potrel</t>
  </si>
  <si>
    <t>Issy-les-Moulineaux - Ile Saint-Germain - Centre</t>
  </si>
  <si>
    <t>Bussy-Saint-Georges - Gare de Bussy-Saint-Georges</t>
  </si>
  <si>
    <t>Paris - Porte d'Aubervilliers - Millénaire</t>
  </si>
  <si>
    <t>Charenton-le-Pont - Liberté</t>
  </si>
  <si>
    <t>Paris - Grands Boulevards</t>
  </si>
  <si>
    <t>Bordeaux - Chartrons</t>
  </si>
  <si>
    <t>Résidence Medoc</t>
  </si>
  <si>
    <t>Angers - Gare SNCF Angers</t>
  </si>
  <si>
    <t>Lyon - Part-Dieu - Montluc</t>
  </si>
  <si>
    <t>Lyon - Gare Part-Dieu - Villette</t>
  </si>
  <si>
    <t>Marseille - Arenc - National</t>
  </si>
  <si>
    <t>Montpellier - Gambetta - Berthelot</t>
  </si>
  <si>
    <t>Nice - Acropolis - Palais des Congrès</t>
  </si>
  <si>
    <t>Massy - Gare de Massy - Verrières</t>
  </si>
  <si>
    <t>Paris - Porte de Champerret</t>
  </si>
  <si>
    <t>Nancy - Drouot</t>
  </si>
  <si>
    <t>Strasbourg - Gare de Strasbourg - Centrale</t>
  </si>
  <si>
    <t>3020</t>
  </si>
  <si>
    <t>Strasbourg - Gare de Strasbourg - Kageneck</t>
  </si>
  <si>
    <t>3039</t>
  </si>
  <si>
    <t>Strasbourg - Gare de Strasbourg - Wilson</t>
  </si>
  <si>
    <t>3058</t>
  </si>
  <si>
    <t>Suresnes - Pont de Suresnes</t>
  </si>
  <si>
    <t>Paris - Reuilly Diderot</t>
  </si>
  <si>
    <t>Paris - Montmartre - Clichy</t>
  </si>
  <si>
    <t>Paris - Saint-Michel</t>
  </si>
  <si>
    <t>Paris - Parmentier</t>
  </si>
  <si>
    <t>Paris - Trocadéro - Raymond Poincaré</t>
  </si>
  <si>
    <t>Toulouse - Centre ville - Jean Jaurès</t>
  </si>
  <si>
    <t>COGESTRA</t>
  </si>
  <si>
    <t>Paris - Haussmann - La Fayette</t>
  </si>
  <si>
    <t>Clichy - Castérès - Henri Barbusse</t>
  </si>
  <si>
    <t>Le Kremlin-Bicêtre - Yitzhak Rabin</t>
  </si>
  <si>
    <t>EFIDIS Paris</t>
  </si>
  <si>
    <t>Créteil - Abymes</t>
  </si>
  <si>
    <t>ESI S207</t>
  </si>
  <si>
    <t>Paris - Porte de Vanves</t>
  </si>
  <si>
    <t>ESI S121</t>
  </si>
  <si>
    <t>Saint-Maurice - Maréchal Leclerc</t>
  </si>
  <si>
    <t>ESI 1153</t>
  </si>
  <si>
    <t>Paris - Père Lachaise - La Bellevilloise</t>
  </si>
  <si>
    <t>0050</t>
  </si>
  <si>
    <t>0047</t>
  </si>
  <si>
    <t>0013</t>
  </si>
  <si>
    <t>0036</t>
  </si>
  <si>
    <t>0046</t>
  </si>
  <si>
    <t>134</t>
  </si>
  <si>
    <t>0003</t>
  </si>
  <si>
    <t>0349</t>
  </si>
  <si>
    <t>Paris - Père Lachaise - Duris</t>
  </si>
  <si>
    <t>Puteaux - La Défense - Arago</t>
  </si>
  <si>
    <t>La Rochelle - Université - Désirée</t>
  </si>
  <si>
    <t>Lyon - Grange Blanche</t>
  </si>
  <si>
    <t>Paris - Clignancourt Simplon</t>
  </si>
  <si>
    <t>Lille - CHRU - Oscar Lambret</t>
  </si>
  <si>
    <t>Noisy-le-Grand - Gare Mont d'Est</t>
  </si>
  <si>
    <t>Serris - Val d'Europe</t>
  </si>
  <si>
    <t>Paris - Bel-Air - Trousseau</t>
  </si>
  <si>
    <t>HP0353 240256/84</t>
  </si>
  <si>
    <t>Paris - La Chapelle - Cugnot</t>
  </si>
  <si>
    <t>HP0889</t>
  </si>
  <si>
    <t>Paris - Marx Dormoy</t>
  </si>
  <si>
    <t>HP0448 240256/84</t>
  </si>
  <si>
    <t>Paris - Place des Fêtes</t>
  </si>
  <si>
    <t>HP0778</t>
  </si>
  <si>
    <t>Lille - Gare Saint Sauveur</t>
  </si>
  <si>
    <t>HP3521 - CA N°363557</t>
  </si>
  <si>
    <t>Loos - Mairie de Loos</t>
  </si>
  <si>
    <t>HP2304  - CA N°363557</t>
  </si>
  <si>
    <t>Reims - Gare de Reims - Courcelles</t>
  </si>
  <si>
    <t>HP2296 - CA N°363549</t>
  </si>
  <si>
    <t>ICF NOVEDIS</t>
  </si>
  <si>
    <t>Paris - Bercy Arena - Gare de Bercy</t>
  </si>
  <si>
    <t>HP8976 - Charolais</t>
  </si>
  <si>
    <t>KLEY CAEN</t>
  </si>
  <si>
    <t>Caen - CHU</t>
  </si>
  <si>
    <t>Le Bourget - Parc des Expositions</t>
  </si>
  <si>
    <t>La Cité Jardins</t>
  </si>
  <si>
    <t>Blagnac - Chemin d'Aussone</t>
  </si>
  <si>
    <t>250</t>
  </si>
  <si>
    <t>Lille - Bois blancs - Mairie</t>
  </si>
  <si>
    <t>4650</t>
  </si>
  <si>
    <t>Lille - CHR Calmette - Université</t>
  </si>
  <si>
    <t>5670</t>
  </si>
  <si>
    <t>Lille - Faculté de Médecine</t>
  </si>
  <si>
    <t>1950</t>
  </si>
  <si>
    <t>Lille - Fives - Pierre Legrand</t>
  </si>
  <si>
    <t>2990</t>
  </si>
  <si>
    <t>Lille - Gare de Lille Flandres - Tournai</t>
  </si>
  <si>
    <t>Lille - Saint-Maurice Pellevoisin</t>
  </si>
  <si>
    <t>3260</t>
  </si>
  <si>
    <t>Lille - Vieux Lille - Église Sainte Marie</t>
  </si>
  <si>
    <t>Lille - Vieux Lille - IAE</t>
  </si>
  <si>
    <t>Roubaix - McArthurGlen -  Grand Place Roubaix</t>
  </si>
  <si>
    <t>R041</t>
  </si>
  <si>
    <t>Tourcoing - Gare de Tourcoing - Soufflot</t>
  </si>
  <si>
    <t>3720</t>
  </si>
  <si>
    <t>Villeneuve-d'Ascq - Stade Pierre Mauroy Lille</t>
  </si>
  <si>
    <t>4450</t>
  </si>
  <si>
    <t>Logement Francilien</t>
  </si>
  <si>
    <t>Clichy - Hôpital Goüin</t>
  </si>
  <si>
    <t>Résidence 1358 - Contrat 165085</t>
  </si>
  <si>
    <t>Suresnes - Gare de Suresnes - Ratrait</t>
  </si>
  <si>
    <t>Résidence 1436 - Contrat 164932</t>
  </si>
  <si>
    <t>Vanves - Porte de Versailles - Jean Jaurès</t>
  </si>
  <si>
    <t>Résidence 1058 - Contrat 164894</t>
  </si>
  <si>
    <t>Vanves - Porte de Versailles - Victor Hugo</t>
  </si>
  <si>
    <t>Résidence 1185 - Contrat 164890</t>
  </si>
  <si>
    <t>Marseille - Belle de Mai - Toursky</t>
  </si>
  <si>
    <t>Marseille - Villette - Roger Salengro</t>
  </si>
  <si>
    <t>Marseille - Hôpital Européen</t>
  </si>
  <si>
    <t>Bordeaux - Gare Saint-Jean - Tauzia</t>
  </si>
  <si>
    <t>Boulogne - Porte de Saint-Cloud - Coubertin</t>
  </si>
  <si>
    <t>Nantes - Chénaie</t>
  </si>
  <si>
    <t>Nantes - Égalité - Bois de Hercé</t>
  </si>
  <si>
    <t>2040327</t>
  </si>
  <si>
    <t>Nantes - Gare Nord - Jardin des plantes</t>
  </si>
  <si>
    <t>2042242</t>
  </si>
  <si>
    <t>Nantes - Gare Sud - Berlin</t>
  </si>
  <si>
    <t>2040332</t>
  </si>
  <si>
    <t>Nantes - Gare Sud - Bouscarle</t>
  </si>
  <si>
    <t>2040331</t>
  </si>
  <si>
    <t>Nantes - Ile de Nantes - Cherche-Midi</t>
  </si>
  <si>
    <t>2040326</t>
  </si>
  <si>
    <t>Nantes - Souillarderie</t>
  </si>
  <si>
    <t>Rennes - Hautes Ourmes</t>
  </si>
  <si>
    <t>Bry-sur-Marne</t>
  </si>
  <si>
    <t>Centre Bord de Loire</t>
  </si>
  <si>
    <t>Rennes - Gare SNCF</t>
  </si>
  <si>
    <t>Lyon - Laennec - Hôpital Desgenettes</t>
  </si>
  <si>
    <t>Marseille - Gare de la Blancarde</t>
  </si>
  <si>
    <t>117G3</t>
  </si>
  <si>
    <t>Paris - Louis Blanc</t>
  </si>
  <si>
    <t>Blagnac - Mairie de Blagnac - Maxime Laconde</t>
  </si>
  <si>
    <t>429</t>
  </si>
  <si>
    <t>390</t>
  </si>
  <si>
    <t>Toulouse - Bonnefoy - Lapujade</t>
  </si>
  <si>
    <t>Toulouse - IUFM - Théâtre du Pavé</t>
  </si>
  <si>
    <t>45</t>
  </si>
  <si>
    <t>Toulouse - Patte d'Oie - Zénith</t>
  </si>
  <si>
    <t>Toulouse - Université Jean Jaurès</t>
  </si>
  <si>
    <t>86</t>
  </si>
  <si>
    <t>Toulouse - Zénith - Hippodrome</t>
  </si>
  <si>
    <t>53</t>
  </si>
  <si>
    <t>Levallois-Perret - Georges Pompidou</t>
  </si>
  <si>
    <t>Reims - Sciences Po - Campus</t>
  </si>
  <si>
    <t>Reims - Stade Auguste Delaune</t>
  </si>
  <si>
    <t>Bordeaux - Palais des Congrès</t>
  </si>
  <si>
    <t>Lyon - Félix Brun - Crépet</t>
  </si>
  <si>
    <t>Nice - Promenade des Anglais</t>
  </si>
  <si>
    <t>Reims - Campus Croix Rouge</t>
  </si>
  <si>
    <t>Reims - Gare SNCF - Romains</t>
  </si>
  <si>
    <t>Reims - Laon - Zola</t>
  </si>
  <si>
    <t>Levallois-Perret - Louise Michel</t>
  </si>
  <si>
    <t>Paris - Bercy Village</t>
  </si>
  <si>
    <t>Paris - Bibliothèque François Mitterrand</t>
  </si>
  <si>
    <t>Paris - Gare de Bercy</t>
  </si>
  <si>
    <t>Paris - La Villette - Porte de Pantin</t>
  </si>
  <si>
    <t>Paris - Collège des Bernardins</t>
  </si>
  <si>
    <t>Paris - Colonel Fabien</t>
  </si>
  <si>
    <t>Paris - Ecole de Médecine</t>
  </si>
  <si>
    <t>Paris - Gare de l'Est - Quai de Valmy</t>
  </si>
  <si>
    <t>Paris - Les Halles Saint-Eustache</t>
  </si>
  <si>
    <t>Paris - Notre-Dame</t>
  </si>
  <si>
    <t>Paris - Pernety - Didot</t>
  </si>
  <si>
    <t>Didot</t>
  </si>
  <si>
    <t>Paris - Quai Branly - Tour Eiffel</t>
  </si>
  <si>
    <t>Paris - Gare Montparnasse</t>
  </si>
  <si>
    <t>GF</t>
  </si>
  <si>
    <t>Colombes - Hôpital Max Fourestier</t>
  </si>
  <si>
    <t>Sia Habitat</t>
  </si>
  <si>
    <t>Lille - Gare de Lille-Europe - Athènes</t>
  </si>
  <si>
    <t>Lille - Gare de Lille-Europe - Prague</t>
  </si>
  <si>
    <t>Lille - Hôpital Saint-Vincent de Paul</t>
  </si>
  <si>
    <t>Lille - Moulins - Douai</t>
  </si>
  <si>
    <t>Paris - Bastille - Thiéré</t>
  </si>
  <si>
    <t>5166</t>
  </si>
  <si>
    <t>Paris - Guy Môquet</t>
  </si>
  <si>
    <t>5935</t>
  </si>
  <si>
    <t>Paris - Porte de Saint-Cloud - Michel Ange</t>
  </si>
  <si>
    <t>8156</t>
  </si>
  <si>
    <t>Nancy - CHU - Hôpital Saint-Julien</t>
  </si>
  <si>
    <t>Nancy - Gare - Mon Désert</t>
  </si>
  <si>
    <t>Paris - La Défense</t>
  </si>
  <si>
    <t>Lyon - Quartier Général Frère</t>
  </si>
  <si>
    <t>Bordeaux - Gare Saint-Jean - Barbey</t>
  </si>
  <si>
    <t>Pantin - Hoche</t>
  </si>
  <si>
    <t>Paris - Beaugrenelle - Quai André Citroën</t>
  </si>
  <si>
    <t>Paris - Gare de Lyon</t>
  </si>
  <si>
    <t>Paris - Jardin du Luxembourg</t>
  </si>
  <si>
    <t>Paris - Pigalle - Casino de Paris</t>
  </si>
  <si>
    <t>FR76 1005 7190 4800 0346 3460 163</t>
  </si>
  <si>
    <t>LCJ</t>
  </si>
  <si>
    <t>18, rue de Guyenne
BP 90041</t>
  </si>
  <si>
    <t>31702 Blagnac Cedex</t>
  </si>
  <si>
    <t>M. Jean-Pierre FOURCADE</t>
  </si>
  <si>
    <t>jp.fourcade@hlm-citejardins.fr</t>
  </si>
  <si>
    <t>FR61 3000 2005 7300 0000 0859 V93</t>
  </si>
  <si>
    <t>CRLYFRPPXXX</t>
  </si>
  <si>
    <t>MEH</t>
  </si>
  <si>
    <t>19 Rue Honoré de Balzac</t>
  </si>
  <si>
    <t>42028 SAINT-ETIENNE Cedex 1</t>
  </si>
  <si>
    <t>M. Cyril Paris</t>
  </si>
  <si>
    <t>Cyril.PARIS@metropole-habitat.fr</t>
  </si>
  <si>
    <t>PRT</t>
  </si>
  <si>
    <t>32 avenue de la Gare</t>
  </si>
  <si>
    <t xml:space="preserve">95380 Louvres </t>
  </si>
  <si>
    <t>M. Jerome Legendre</t>
  </si>
  <si>
    <t>jeromelegendrepro@gmail.com</t>
  </si>
  <si>
    <t>RBN</t>
  </si>
  <si>
    <t>A partir de l'année 2
RMG de 45 €/place</t>
  </si>
  <si>
    <t>DPB</t>
  </si>
  <si>
    <t>53 rue des Vignes</t>
  </si>
  <si>
    <t>M. Gauthier</t>
  </si>
  <si>
    <t>tonyg60@live.fr</t>
  </si>
  <si>
    <t>ANTIN 75/77/94</t>
  </si>
  <si>
    <t>FR76 3000 3031 7500 0203 8958 866</t>
  </si>
  <si>
    <t>Montant TTC</t>
  </si>
  <si>
    <t>223 Promenade des Anglais</t>
  </si>
  <si>
    <t>06200 Nice</t>
  </si>
  <si>
    <t>M. Thomas Lamagnere</t>
  </si>
  <si>
    <t>thomas.lamagnere@radissonblu.com</t>
  </si>
  <si>
    <t>48 C, boulevard Foch - BP 801110</t>
  </si>
  <si>
    <t>Icade</t>
  </si>
  <si>
    <t>ICA</t>
  </si>
  <si>
    <t>35 rue de la Gare</t>
  </si>
  <si>
    <t>75019 Paris</t>
  </si>
  <si>
    <t>Mme Rosaria Putaggio</t>
  </si>
  <si>
    <t>rosaria.putaggio@icade.fr</t>
  </si>
  <si>
    <t>FR40 2004 1010 1701 8747 4J02 831</t>
  </si>
  <si>
    <t>PSSTFRPPGRE</t>
  </si>
  <si>
    <t>FR53 2004 1010 0803 5430 07F02 996</t>
  </si>
  <si>
    <t>PSSTFRPPMAR</t>
  </si>
  <si>
    <t>FR76 3000 4028 1100 0103 0650 983</t>
  </si>
  <si>
    <t>BNPAFRPPMEE</t>
  </si>
  <si>
    <t>GHA</t>
  </si>
  <si>
    <t>44 avenue Marcelin Bertholot</t>
  </si>
  <si>
    <t>38000 Grenoble</t>
  </si>
  <si>
    <t>M. Didier Martin</t>
  </si>
  <si>
    <t>Didier.MARTIN@grenoble-habitat.fr </t>
  </si>
  <si>
    <t>A partir de l'année 2, au delà de 10 pkgs</t>
  </si>
  <si>
    <t>NLO</t>
  </si>
  <si>
    <t>221 rue de la Lys</t>
  </si>
  <si>
    <t>59250 Halluin</t>
  </si>
  <si>
    <t>M. Thomas Damay</t>
  </si>
  <si>
    <t>tdamay@notre-logis.fr</t>
  </si>
  <si>
    <t>CAM</t>
  </si>
  <si>
    <t>588 boulevard d'Antigone</t>
  </si>
  <si>
    <t>34000 Montpellier</t>
  </si>
  <si>
    <t>M. Frédéric Sala</t>
  </si>
  <si>
    <t>frederic.sala@citadines.com </t>
  </si>
  <si>
    <t>8 boulevard d'Indochine</t>
  </si>
  <si>
    <t>ALR</t>
  </si>
  <si>
    <t>8 rue Franc Lapeyre</t>
  </si>
  <si>
    <t>17000 La Rochelle</t>
  </si>
  <si>
    <t>Mme Séverine PALVADEAU</t>
  </si>
  <si>
    <t>ALV</t>
  </si>
  <si>
    <t>314 Cours Emile Zola</t>
  </si>
  <si>
    <t>69100 VILLEURBANNE </t>
  </si>
  <si>
    <t xml:space="preserve">M. Thibaud LE COURTES </t>
  </si>
  <si>
    <t>CLE</t>
  </si>
  <si>
    <t>23 Allée Vauban</t>
  </si>
  <si>
    <t>59110 LA MADELEINE </t>
  </si>
  <si>
    <t>M. Olivier HUDELLE</t>
  </si>
  <si>
    <t>manager.lille.euralille@campanile.fr</t>
  </si>
  <si>
    <t>SHV</t>
  </si>
  <si>
    <t>130 chemin du Mas Sagnier</t>
  </si>
  <si>
    <t>30900 Nîmes</t>
  </si>
  <si>
    <t>M. Robert Canonne</t>
  </si>
  <si>
    <t>robert.canonne@gmail.com</t>
  </si>
  <si>
    <t>SCI Hotel de Valfons</t>
  </si>
  <si>
    <t>Champigny sur Marne - Gare de Champigny - Pré de l'Etang</t>
  </si>
  <si>
    <t>La Rochelle - Centre Hospitalier la Rochelle</t>
  </si>
  <si>
    <t>Appart'City Lyon Villeurbanne</t>
  </si>
  <si>
    <t>Villeurbanne - Victor Subit - Cusset</t>
  </si>
  <si>
    <t>La Madeleine - Place Vauban</t>
  </si>
  <si>
    <t>Montpellier - Antigone</t>
  </si>
  <si>
    <t>Grenoble - Gare de Grenoble - Estoc</t>
  </si>
  <si>
    <t>Annemasse - Centre ville - Centre Aquatique</t>
  </si>
  <si>
    <t>Bois-Colombes - Gare de Bécon les Bruyères</t>
  </si>
  <si>
    <t>HP0797</t>
  </si>
  <si>
    <t>72</t>
  </si>
  <si>
    <t>5147</t>
  </si>
  <si>
    <t>Paris - Barbès - Goutte d'Or</t>
  </si>
  <si>
    <t>Paris - Charléty - Porte de Gentilly</t>
  </si>
  <si>
    <t>Paris - Opéra</t>
  </si>
  <si>
    <t>Nîmes - Gare SNCF - Sainte-Félicité</t>
  </si>
  <si>
    <t>B2K Park</t>
  </si>
  <si>
    <t>5 rue de la Briquetterie</t>
  </si>
  <si>
    <t>FR76 3000 4003 6700 0101 7719 519</t>
  </si>
  <si>
    <t>B2K</t>
  </si>
  <si>
    <t>M. Ait Baalla Kamal</t>
  </si>
  <si>
    <t>FR48 2004 1010 0203 9910 7M02 383</t>
  </si>
  <si>
    <t>PSSTFRPPCHA</t>
  </si>
  <si>
    <t>CSC</t>
  </si>
  <si>
    <t>12 rue Latour-Maubourg</t>
  </si>
  <si>
    <t>06400 Cannes</t>
  </si>
  <si>
    <t>a.cougard@clarionsuites-cannescroisette.com</t>
  </si>
  <si>
    <t>Mme Anne Cougard</t>
  </si>
  <si>
    <t>ACT</t>
  </si>
  <si>
    <t>25 avenue de Constantine</t>
  </si>
  <si>
    <t>38000 Grenoble </t>
  </si>
  <si>
    <t>A partir de l'année 2 et si + de 10 pkg</t>
  </si>
  <si>
    <t>Grenoble - Parc Paul Mistral - M. Joffre</t>
  </si>
  <si>
    <t>Grenoble - Quai de la Graille - Élie Vernet</t>
  </si>
  <si>
    <t>Cannes - Croisette</t>
  </si>
  <si>
    <t>Issy-les-Moulineaux - Île Saint-Germain - Stade</t>
  </si>
  <si>
    <t>Anvers - Meir</t>
  </si>
  <si>
    <t>Grenoble - Île Verte</t>
  </si>
  <si>
    <t>Villetaneuse - Grandcoing</t>
  </si>
  <si>
    <t>HP0327</t>
  </si>
  <si>
    <t>Saint-Étienne - Gare de Saint-Étienne Le Clapier</t>
  </si>
  <si>
    <t>Nantes - Ile de Nantes - Vincent Gâche - CHU</t>
  </si>
  <si>
    <t>Montreuil - Rabelais</t>
  </si>
  <si>
    <t>6002</t>
  </si>
  <si>
    <t>Montreuil - Tribunal d'Instance</t>
  </si>
  <si>
    <t>5144</t>
  </si>
  <si>
    <t>117B1</t>
  </si>
  <si>
    <t>Reims - Coutures - Henry Vasnier</t>
  </si>
  <si>
    <t>BAI Business</t>
  </si>
  <si>
    <t>BBU</t>
  </si>
  <si>
    <t>8 rue Edouard Branly</t>
  </si>
  <si>
    <t>M. Kamel SFIHI</t>
  </si>
  <si>
    <t>FR76 3000 4013 2800 0114 9925 804</t>
  </si>
  <si>
    <t>FR76 1313 5000 8008 1002 1143 382</t>
  </si>
  <si>
    <t>CEPAFRPP313</t>
  </si>
  <si>
    <t>FR55 4003 1000 0100 0000 0439 B52</t>
  </si>
  <si>
    <t>LFR</t>
  </si>
  <si>
    <t>Agence Hauts-De-Seine
Immeuble Colisée Défense
50-64 avenue, François Arago</t>
  </si>
  <si>
    <t>92000 Nanterre</t>
  </si>
  <si>
    <t>M. Miguel FERREIRA</t>
  </si>
  <si>
    <t>jpinto-ferreira@lfrancilien.fr</t>
  </si>
  <si>
    <t>FR76 3006 6109 4900 0101 7180 269</t>
  </si>
  <si>
    <t>Fatima Aboukir</t>
  </si>
  <si>
    <t>rungis@allsuites-appart.com</t>
  </si>
  <si>
    <t>CGA</t>
  </si>
  <si>
    <t>74100 Annemasse</t>
  </si>
  <si>
    <t>17 Avenue Émile Zola</t>
  </si>
  <si>
    <t>Nicolas PICHEREAU</t>
  </si>
  <si>
    <t>n.pichereau@comfortsuites-portedegeneve.com</t>
  </si>
  <si>
    <t>200 avenue Salvador Allende</t>
  </si>
  <si>
    <t>79000 Niort</t>
  </si>
  <si>
    <t>Julien Garnier</t>
  </si>
  <si>
    <t>Swiss-Life REIM</t>
  </si>
  <si>
    <t>SLR</t>
  </si>
  <si>
    <t>Aucune</t>
  </si>
  <si>
    <t>Jusqu’à 70 000 euros TTC de CA</t>
  </si>
  <si>
    <t>Au delà de 70 000 euros Zenpark reverse d’une part 60% de 70 000 et d’autre part 40% de CA au delà de 70 000 euros</t>
  </si>
  <si>
    <t>SMC</t>
  </si>
  <si>
    <t>3 rue des Chênes Emeraude</t>
  </si>
  <si>
    <t>95000 Cergy</t>
  </si>
  <si>
    <t>h3452-gm@accor.com</t>
  </si>
  <si>
    <t>A  partir de l'année 2</t>
  </si>
  <si>
    <t>Cus Habitat</t>
  </si>
  <si>
    <t>24, route de l’Hôpital  CS 70128</t>
  </si>
  <si>
    <t>67028 STRASBOURG</t>
  </si>
  <si>
    <t>CUH</t>
  </si>
  <si>
    <t>Frédéric Girard</t>
  </si>
  <si>
    <t>frederic.girard@cushabitat.fr</t>
  </si>
  <si>
    <t>Clause de RMG pour 2 parkings sur les 4</t>
  </si>
  <si>
    <t>Au-delà de la 1ère année d'exploitation du parking</t>
  </si>
  <si>
    <t>Domaxis</t>
  </si>
  <si>
    <t>SRS</t>
  </si>
  <si>
    <t>75940 PARIS CEDEX 19</t>
  </si>
  <si>
    <t>Laurent MILLE</t>
  </si>
  <si>
    <t>LMILLE@nexity.fr</t>
  </si>
  <si>
    <t>Belalaan Meir Leasehold</t>
  </si>
  <si>
    <t>Annemasse - Gare d'Annemasse</t>
  </si>
  <si>
    <t>CUS Habitat</t>
  </si>
  <si>
    <t>Strasbourg - Landsberg - Bâle</t>
  </si>
  <si>
    <t>Evry - Gare d'Evry Courcouronnes</t>
  </si>
  <si>
    <t>3017</t>
  </si>
  <si>
    <t>Paris - Avron - Terre Neuve</t>
  </si>
  <si>
    <t>1194</t>
  </si>
  <si>
    <t>Paris - Hôtel de Ville</t>
  </si>
  <si>
    <t>1037</t>
  </si>
  <si>
    <t>Paris - Nation - Montgallet</t>
  </si>
  <si>
    <t>1192</t>
  </si>
  <si>
    <t>Paris - Olympiades - Tolbiac</t>
  </si>
  <si>
    <t>2021</t>
  </si>
  <si>
    <t>Cergy - Saint-Christophe</t>
  </si>
  <si>
    <t>Velizy Villacoublay - Velizy 2 - Europe Sud</t>
  </si>
  <si>
    <t>Lille - Bastion - Saint-André</t>
  </si>
  <si>
    <t>Lille - Dr Jenner</t>
  </si>
  <si>
    <t>Lille - Lille Europe - Cimetière de l'Est</t>
  </si>
  <si>
    <t>Lille - Porte de Douai</t>
  </si>
  <si>
    <t>Louise Village SA</t>
  </si>
  <si>
    <t>Saint-Étienne - Quartier du Soleil</t>
  </si>
  <si>
    <t>Paris - Aquaboulevard - Porte d'Issy</t>
  </si>
  <si>
    <t>226508</t>
  </si>
  <si>
    <t>Paris - Bercy - Quai de la Gare</t>
  </si>
  <si>
    <t>215523</t>
  </si>
  <si>
    <t>Paris - Bibliothèque François Mitterrand - Loiret</t>
  </si>
  <si>
    <t>015094</t>
  </si>
  <si>
    <t>Paris - Montgallet - Daumesnil</t>
  </si>
  <si>
    <t>214549</t>
  </si>
  <si>
    <t>Paris - Porte de Villiers</t>
  </si>
  <si>
    <t>215509</t>
  </si>
  <si>
    <t>Cergy - Université de Cergy-Pontoise</t>
  </si>
  <si>
    <t>Paris - Le Peletier</t>
  </si>
  <si>
    <t>Maisons-Alfort - École Vétérinaire</t>
  </si>
  <si>
    <t>Aulnay-sous-Bois - Gare d'Aulnay-sous-Bois</t>
  </si>
  <si>
    <t>FR76 3000 4020 3700 0102 2001 754</t>
  </si>
  <si>
    <t>BNPAFRPPVLE</t>
  </si>
  <si>
    <t>HIV</t>
  </si>
  <si>
    <t>51 avenue de l'Europe</t>
  </si>
  <si>
    <t>78140 Velizy Vicoublay</t>
  </si>
  <si>
    <t>Frederic Rousselle</t>
  </si>
  <si>
    <t>direction@hiexvelizy.com</t>
  </si>
  <si>
    <t>SIC</t>
  </si>
  <si>
    <t>15, Rue Stanislas</t>
  </si>
  <si>
    <t>68000 Colmar</t>
  </si>
  <si>
    <t>CEPAFRPP382</t>
  </si>
  <si>
    <t>FR76 3000 3002 9000 0270 0210 886</t>
  </si>
  <si>
    <t xml:space="preserve">FR76 4097 8000 8512 8466 9011 466 </t>
  </si>
  <si>
    <t>BSPFFRPPXXX</t>
  </si>
  <si>
    <t>FR76 3000 4016 9200 0103 0722 961</t>
  </si>
  <si>
    <t>ELOGIE-SIEMP</t>
  </si>
  <si>
    <t>214529</t>
  </si>
  <si>
    <t>214552</t>
  </si>
  <si>
    <t>15148</t>
  </si>
  <si>
    <t>214553</t>
  </si>
  <si>
    <t>214548</t>
  </si>
  <si>
    <t>CT Exploitation</t>
  </si>
  <si>
    <t>CTE</t>
  </si>
  <si>
    <t>7, rue Felix Brun</t>
  </si>
  <si>
    <t>Mme Ingrid Suli</t>
  </si>
  <si>
    <t>comptabilite@sogerely.com</t>
  </si>
  <si>
    <t>FR76 3005 6009 6609 6600 3045 981</t>
  </si>
  <si>
    <t>BML</t>
  </si>
  <si>
    <t>LVS</t>
  </si>
  <si>
    <t>95230 SOISY SOUS MONTMORENCY</t>
  </si>
  <si>
    <t>30 rue de l'égalité</t>
  </si>
  <si>
    <t>FR76 3000 3040 2500 0203 2080 747</t>
  </si>
  <si>
    <t>FR76 1005 7190 3000 0200 1220 159</t>
  </si>
  <si>
    <t>FR76 3000 3037 6400 0200 8101 897</t>
  </si>
  <si>
    <t>37 place René Clair</t>
  </si>
  <si>
    <t>92100 Boulogne-Billancourt</t>
  </si>
  <si>
    <t>M. Vincent Lozi</t>
  </si>
  <si>
    <t>FR76 3000 4002 7400 0113 3582 758</t>
  </si>
  <si>
    <t>Algonquin France, 60 rue Pierre Charron</t>
  </si>
  <si>
    <t>Mme Sylvie Petrus</t>
  </si>
  <si>
    <t>FR76 3000 3038 2900 0201 8095 317</t>
  </si>
  <si>
    <t>FR76 3000 4008 1900 0123 9990 761</t>
  </si>
  <si>
    <t>BREDFRPPXXX</t>
  </si>
  <si>
    <t>FR76 1010 7001 1800 4101 8325 720</t>
  </si>
  <si>
    <t>92150 Suresnes</t>
  </si>
  <si>
    <t>Amandine Allach</t>
  </si>
  <si>
    <t>CPV</t>
  </si>
  <si>
    <t xml:space="preserve">147-151 Avanue de Flandre </t>
  </si>
  <si>
    <t xml:space="preserve">75019 Paris </t>
  </si>
  <si>
    <t>Daroso Cedry</t>
  </si>
  <si>
    <t>paris.lavillette@campanile.fr</t>
  </si>
  <si>
    <t>PPB</t>
  </si>
  <si>
    <t>103 rue de Calais</t>
  </si>
  <si>
    <t>Nadia Khanassi</t>
  </si>
  <si>
    <t xml:space="preserve"> parkingparisbeauvais@gmail.com </t>
  </si>
  <si>
    <t xml:space="preserve">1 rue du Grand Puits </t>
  </si>
  <si>
    <t>95 380 Villeron</t>
  </si>
  <si>
    <t xml:space="preserve">M. Addouch </t>
  </si>
  <si>
    <t>parkingpascher95@orange.fr</t>
  </si>
  <si>
    <t>Grenoble - Rue Duguesclin</t>
  </si>
  <si>
    <t>Mulhouse - Caserne Lefebvre</t>
  </si>
  <si>
    <t>3150</t>
  </si>
  <si>
    <t>Paris - Zénith - Crimée</t>
  </si>
  <si>
    <t>Strasbourg - Landsberg - Benfeld</t>
  </si>
  <si>
    <t>Châtenay-Malabry - Du Bois - Robespierre</t>
  </si>
  <si>
    <t>Résidence 1416</t>
  </si>
  <si>
    <t>Marseille - Gare Saint Charles - Crimée</t>
  </si>
  <si>
    <t>Marseille - Smartseille-Allar</t>
  </si>
  <si>
    <t>Nexity Groupe</t>
  </si>
  <si>
    <t xml:space="preserve">Parking Paris Beauvais </t>
  </si>
  <si>
    <t>Reims - Gare de Reims - Baussonnet</t>
  </si>
  <si>
    <t>Paris - Gare Vaugirard - Falguière</t>
  </si>
  <si>
    <t>011002</t>
  </si>
  <si>
    <t>Paris - Montgallet</t>
  </si>
  <si>
    <t>014110</t>
  </si>
  <si>
    <t>A réception de votre facture, un virement du montant TTC mentionné ci-dessus sera réalisé sur</t>
  </si>
  <si>
    <t>le compte que vous nous avez transmis, soit :</t>
  </si>
  <si>
    <t>facturation@zenpark.com</t>
  </si>
  <si>
    <t>BMU</t>
  </si>
  <si>
    <t>68100 Mulhouse</t>
  </si>
  <si>
    <t>18C Place de La Concorde</t>
  </si>
  <si>
    <t>Odile Storck</t>
  </si>
  <si>
    <t>FR76 3002 7177 6300 0200 8370 120</t>
  </si>
  <si>
    <t>FR76 3000 3013 0700 0201 4847 660</t>
  </si>
  <si>
    <t>NEX</t>
  </si>
  <si>
    <t>75801 Paris CEDEX 08</t>
  </si>
  <si>
    <t>Mme Boishardy</t>
  </si>
  <si>
    <t>19 rue de Vienne 
TSA 50029</t>
  </si>
  <si>
    <t>Mme SANCHEZ</t>
  </si>
  <si>
    <t>Parcorly</t>
  </si>
  <si>
    <t>PAR</t>
  </si>
  <si>
    <t>9 rue du Kéfir</t>
  </si>
  <si>
    <t>Philippe Parmentier</t>
  </si>
  <si>
    <t>philippeparmentier@parcorly.fr</t>
  </si>
  <si>
    <t xml:space="preserve">A partir de l'année 2 </t>
  </si>
  <si>
    <t>94390 Orly</t>
  </si>
  <si>
    <t>APC</t>
  </si>
  <si>
    <t>RMG cat excellent</t>
  </si>
  <si>
    <t>12 Boulevard Saint-Assiscle</t>
  </si>
  <si>
    <t>66000 Perpignan</t>
  </si>
  <si>
    <t>Marine Arthaud</t>
  </si>
  <si>
    <t xml:space="preserve">Somnoo Première Classe Annecy </t>
  </si>
  <si>
    <t>SAN</t>
  </si>
  <si>
    <t>8 bis route des Creuses</t>
  </si>
  <si>
    <t>74960 Cran-Crevier</t>
  </si>
  <si>
    <t>Ivry sur Seine - Gare d'Ivry sur Seine - Lénine</t>
  </si>
  <si>
    <t>Perpignan - Gare de Perpignan</t>
  </si>
  <si>
    <t>Suresnes - Hôpital Foch</t>
  </si>
  <si>
    <t>ASL Smartseille</t>
  </si>
  <si>
    <t>Montrouge - Cimetière de Bagneux</t>
  </si>
  <si>
    <t>2099</t>
  </si>
  <si>
    <t>2067</t>
  </si>
  <si>
    <t>Montpellier - Celleneuve</t>
  </si>
  <si>
    <t>Toulouse - Gare de Montaudran</t>
  </si>
  <si>
    <t>Ambilly - Croix d'Ambilly - Genève</t>
  </si>
  <si>
    <t>Le Blanc-Mesnil - Pasteur</t>
  </si>
  <si>
    <t>HP0806</t>
  </si>
  <si>
    <t>Montrouge - Stade Jean Lezer</t>
  </si>
  <si>
    <t>Neuilly-sur-Seine - Les Sablons</t>
  </si>
  <si>
    <t>Saint-Cloud - Maréchal Foch - Porte Jaune</t>
  </si>
  <si>
    <t>Lille - Gambetta - Wazemmes</t>
  </si>
  <si>
    <t>Saint-Étienne - Parc des sports</t>
  </si>
  <si>
    <t>Saint-Étienne - Stade Geoffroy-Guichard</t>
  </si>
  <si>
    <t>Bordeaux - Rue Achard - Cité du Vin</t>
  </si>
  <si>
    <t>FR76 1382 5002 0008 7773 3286 523</t>
  </si>
  <si>
    <t>h0669-gl1@accor.com</t>
  </si>
  <si>
    <t xml:space="preserve">Angélique HAUTREUX </t>
  </si>
  <si>
    <t>SAS AQUITANIA 2015
PULLMAN BORDEAUX LAC
AVENUE JEAN GABRIEL DOMERGUE</t>
  </si>
  <si>
    <t>33300 BORDEAUX</t>
  </si>
  <si>
    <t>4, rue des Grands Augustins</t>
  </si>
  <si>
    <t>75006 Paris</t>
  </si>
  <si>
    <t>FR03 3000 2011 5400 0007 0682 C42</t>
  </si>
  <si>
    <t>Appart'City Limoges</t>
  </si>
  <si>
    <t>ALI</t>
  </si>
  <si>
    <t>3 rue Chaudron</t>
  </si>
  <si>
    <t>87000 Limoges</t>
  </si>
  <si>
    <t>Sébastien MALLET</t>
  </si>
  <si>
    <t>ARA</t>
  </si>
  <si>
    <t>Si plus de 10 parkings en exploitation</t>
  </si>
  <si>
    <t>Facturation séparée par parking</t>
  </si>
  <si>
    <t>APR</t>
  </si>
  <si>
    <t>Ibis Saint Quentin en Yvelines</t>
  </si>
  <si>
    <t>ISQ</t>
  </si>
  <si>
    <t>2, Place de la paix Céleste</t>
  </si>
  <si>
    <t>78180 Montigny Le Bretonneux</t>
  </si>
  <si>
    <t>OBO</t>
  </si>
  <si>
    <t>Chaussée de Ninove 664</t>
  </si>
  <si>
    <t>1070 Brussels, Belgique</t>
  </si>
  <si>
    <t>Salem Aouami</t>
  </si>
  <si>
    <t>VSO</t>
  </si>
  <si>
    <t>Chemin de Villac</t>
  </si>
  <si>
    <t>24100 Bergerac</t>
  </si>
  <si>
    <t>Elysée Palace SNC</t>
  </si>
  <si>
    <t>60 rue Pierre Charron</t>
  </si>
  <si>
    <t>Marie-Louise Touré</t>
  </si>
  <si>
    <t>marie-louise.toure@marriott.com</t>
  </si>
  <si>
    <t>FR76 3000 4008 1800 0124 4635 427</t>
  </si>
  <si>
    <t>BNPAFRPPPVD</t>
  </si>
  <si>
    <t>jklouis1955@gmail.com</t>
  </si>
  <si>
    <t>Adonis Carcassonne</t>
  </si>
  <si>
    <t>Adonis La Baule</t>
  </si>
  <si>
    <t>ALB</t>
  </si>
  <si>
    <t>APS</t>
  </si>
  <si>
    <t>Adonis Paris Sud</t>
  </si>
  <si>
    <t>ASL</t>
  </si>
  <si>
    <t>BPA</t>
  </si>
  <si>
    <t>Blue Park</t>
  </si>
  <si>
    <t>Centre Hospitalier Intercommunal de Créteil</t>
  </si>
  <si>
    <t>CHC</t>
  </si>
  <si>
    <t>La Résidence Urbaine de France</t>
  </si>
  <si>
    <t>LRU</t>
  </si>
  <si>
    <t>33 cours Albert Thomas</t>
  </si>
  <si>
    <t>69447 Lyon </t>
  </si>
  <si>
    <t>Roland Dall'erta</t>
  </si>
  <si>
    <t>Aurore Latournerie</t>
  </si>
  <si>
    <t xml:space="preserve">sis 40 avenue de Verdun </t>
  </si>
  <si>
    <t xml:space="preserve"> 94010 Créteil</t>
  </si>
  <si>
    <t>aurore.latournerie@chicreteil.fr</t>
  </si>
  <si>
    <t>31 boulevard Paul Doumer  </t>
  </si>
  <si>
    <t>51723 Reims</t>
  </si>
  <si>
    <t xml:space="preserve">Contrat cadre ACCOR et prix planchers </t>
  </si>
  <si>
    <t>Stéphanie Gagnoux</t>
  </si>
  <si>
    <t>EPS</t>
  </si>
  <si>
    <t>Actis</t>
  </si>
  <si>
    <t>Grenoble - Hôpital Perreau</t>
  </si>
  <si>
    <t>Lyon - Gare Part-Dieu - Bourse du travail</t>
  </si>
  <si>
    <t>Mulhouse - Porte Jeune - Office de Tourisme</t>
  </si>
  <si>
    <t>3189</t>
  </si>
  <si>
    <t>Discount Parking Beauvais</t>
  </si>
  <si>
    <t>Meudon - Gare de Meudon - Hôpital Percy</t>
  </si>
  <si>
    <t>Nice - Promenade des Anglais - Villa Masséna</t>
  </si>
  <si>
    <t>Grenoble Habitat</t>
  </si>
  <si>
    <t>Grenoble - Clinique Mutualiste - Charrel</t>
  </si>
  <si>
    <t>Montigny-le-Bretonneux - Vélodrome National</t>
  </si>
  <si>
    <t>Les Pavillons-sous-Bois - Victor Hugo</t>
  </si>
  <si>
    <t>HP0676</t>
  </si>
  <si>
    <t>Clamart - Mairie de Clamart</t>
  </si>
  <si>
    <t>2211P</t>
  </si>
  <si>
    <t>Courbevoie - La Défense - Pléiades</t>
  </si>
  <si>
    <t>La Garenne-Colombes - Charlebourg</t>
  </si>
  <si>
    <t>Paris - Olympiades - Rentiers</t>
  </si>
  <si>
    <t>Paris - Vaugirard</t>
  </si>
  <si>
    <t>1255P</t>
  </si>
  <si>
    <t>Tourcoing - Gare de Tourcoing - Victoire</t>
  </si>
  <si>
    <t>8232P</t>
  </si>
  <si>
    <t>Tourcoing - Gare de Tourcoing - Luther King</t>
  </si>
  <si>
    <t>T119</t>
  </si>
  <si>
    <t>Villeneuve-d'Ascq - Hôtel de Ville</t>
  </si>
  <si>
    <t>Métropole Habitat</t>
  </si>
  <si>
    <t>Saint-Étienne - Gare Le Clapier - F. Krumnow</t>
  </si>
  <si>
    <t>Anderlecht - Bruxelles - Ninove</t>
  </si>
  <si>
    <t>Notre Logis</t>
  </si>
  <si>
    <t>Mouvaux - Guy Môquet</t>
  </si>
  <si>
    <t>Bobigny - Mairie de Bobigny</t>
  </si>
  <si>
    <t>Bobigny - MC93 - Conservatoire Jean Wiener</t>
  </si>
  <si>
    <t>Parking Roissy Tarif</t>
  </si>
  <si>
    <t>Toulouse - Gare de Montaudran - Laurent Guerrero</t>
  </si>
  <si>
    <t>42</t>
  </si>
  <si>
    <t>Plurial Novilia</t>
  </si>
  <si>
    <t>Reims - Courlancy - Comédie</t>
  </si>
  <si>
    <t>Syndicat Résidence Studea Maisons-Alfort</t>
  </si>
  <si>
    <t>Paris - Porte des Lilas</t>
  </si>
  <si>
    <t>11000 Carcassonne</t>
  </si>
  <si>
    <t>53 avenue Franchet d'Esperey</t>
  </si>
  <si>
    <t>44500 La Baule Escoublac</t>
  </si>
  <si>
    <t>Mme Émilie Hernandez</t>
  </si>
  <si>
    <t>196 avenue de Stalingrad</t>
  </si>
  <si>
    <t>94550 Chevilly-Larue</t>
  </si>
  <si>
    <t>Mme Natali Bralic</t>
  </si>
  <si>
    <t>MRC</t>
  </si>
  <si>
    <t>roland.dallerta@aralis.org</t>
  </si>
  <si>
    <t>5 rue Robert Schuman</t>
  </si>
  <si>
    <t>68870 Bartenheim</t>
  </si>
  <si>
    <t>M. Tého Sala</t>
  </si>
  <si>
    <t>theo@bluepark.fr</t>
  </si>
  <si>
    <t>INA</t>
  </si>
  <si>
    <t>87 rue de Flandres</t>
  </si>
  <si>
    <t>M. Vincent Ribour</t>
  </si>
  <si>
    <t>99 Boulevard de Mons</t>
  </si>
  <si>
    <t>59650 VILLENEUVE-D'ASCQ</t>
  </si>
  <si>
    <t>M. Sébastien Millière</t>
  </si>
  <si>
    <t>VOIR PIPELINE DEALS</t>
  </si>
  <si>
    <t>ELA</t>
  </si>
  <si>
    <t>vincent.ribour@reside-etudes.fr</t>
  </si>
  <si>
    <t>FR76 1382 5002 0008 0055 6984 657</t>
  </si>
  <si>
    <t>28 rue de Campo Formio</t>
  </si>
  <si>
    <t>18 rue de Chaligny</t>
  </si>
  <si>
    <t>75012 Paris</t>
  </si>
  <si>
    <t>16 avenue Rachel</t>
  </si>
  <si>
    <t>75018 Paris</t>
  </si>
  <si>
    <t>7 bis rue Neuve Popincourt</t>
  </si>
  <si>
    <t>75011 Paris</t>
  </si>
  <si>
    <t>132 boulevard de Grenelle</t>
  </si>
  <si>
    <t>75015 Paris</t>
  </si>
  <si>
    <t>À partir de l'année 2 (-10%) ou à partir de 10 pkg en exploit (-5%)</t>
  </si>
  <si>
    <t>Mme Solange BORROT</t>
  </si>
  <si>
    <t>6 rue du Chemin Vert</t>
  </si>
  <si>
    <t>93000 Bobigny</t>
  </si>
  <si>
    <t>PARIS NEXITY FLANDRE - MS26617
1 avenue de Flandre - CS 10039</t>
  </si>
  <si>
    <t>53 bis rue François 1er</t>
  </si>
  <si>
    <t>M. Cédric Djemaa</t>
  </si>
  <si>
    <t>CPM</t>
  </si>
  <si>
    <t>190 rue d'Argencourt</t>
  </si>
  <si>
    <t>M. Charles Henri Dufour</t>
  </si>
  <si>
    <t>ch.dufour@cpmontpellier.com</t>
  </si>
  <si>
    <t>CPE</t>
  </si>
  <si>
    <t>304 avenue Paul Vaillant Couturier</t>
  </si>
  <si>
    <t>M. Laurent Jimmy</t>
  </si>
  <si>
    <t>manager.bobigny@campanile.fr</t>
  </si>
  <si>
    <t>Crowne Plaza Montpellier</t>
  </si>
  <si>
    <t>IBP</t>
  </si>
  <si>
    <t>h3088-re@accor.com</t>
  </si>
  <si>
    <t>Mme Catherine Wondje</t>
  </si>
  <si>
    <t>96-98 avenue du Général Leclerc</t>
  </si>
  <si>
    <t>93500 Pantin</t>
  </si>
  <si>
    <t>IBM</t>
  </si>
  <si>
    <t>45 rue du Dr Babinski</t>
  </si>
  <si>
    <t>M. Chris Geldof</t>
  </si>
  <si>
    <t>h2597-gm@accor.com</t>
  </si>
  <si>
    <t>32 cours du Danube</t>
  </si>
  <si>
    <t>Mme Sandrine Espiau</t>
  </si>
  <si>
    <t>Ibis Styles Brussels Louise</t>
  </si>
  <si>
    <t>ISB</t>
  </si>
  <si>
    <t>Avenue Louise 212 Louizalaan</t>
  </si>
  <si>
    <t>1050 Bruxelles</t>
  </si>
  <si>
    <t>Mme Anne Kostanyan</t>
  </si>
  <si>
    <t>H8915-GM@accor.com</t>
  </si>
  <si>
    <t>Lyon - Grange Blanche - Montchat</t>
  </si>
  <si>
    <t>Paris - Hôpital Sainte-Anne - René Coty</t>
  </si>
  <si>
    <t>Montpellier - Comédie - Corum</t>
  </si>
  <si>
    <t>Cergy - Gare de Cergy RER - Belle Heaumière</t>
  </si>
  <si>
    <t>0049</t>
  </si>
  <si>
    <t>Asnières-sur-Seine - Mairie - Gabriel Péri</t>
  </si>
  <si>
    <t>8002</t>
  </si>
  <si>
    <t>6 045</t>
  </si>
  <si>
    <t>Paris - Porte d'Italie - Bourget Kellermann</t>
  </si>
  <si>
    <t>Paul Bourget 75013</t>
  </si>
  <si>
    <t>Annecy - Gare SNCF - André Gide</t>
  </si>
  <si>
    <t>Paris - Porte de Montmartre - Puces de Saint-Ouen</t>
  </si>
  <si>
    <t>Bruxelles - Bailli - Lesbroussart</t>
  </si>
  <si>
    <t>2664P</t>
  </si>
  <si>
    <t>1631P</t>
  </si>
  <si>
    <t>R148P</t>
  </si>
  <si>
    <t>Garches - Golf de Paris - Hippodrome</t>
  </si>
  <si>
    <t>1975P</t>
  </si>
  <si>
    <t>S066P</t>
  </si>
  <si>
    <t>Montrouge - Porte d'Orléans - Gabriel Péri</t>
  </si>
  <si>
    <t>S057P</t>
  </si>
  <si>
    <t>1232P</t>
  </si>
  <si>
    <t>3094P</t>
  </si>
  <si>
    <t>R215P</t>
  </si>
  <si>
    <t>1082P</t>
  </si>
  <si>
    <t>Ville-d'Avray - Hôtel de ville</t>
  </si>
  <si>
    <t>2474P</t>
  </si>
  <si>
    <t>Coulommiers - Gare de Coulommiers - Jean Moulin</t>
  </si>
  <si>
    <t>Montereau-Fault-Yonne - Gare de Montereau</t>
  </si>
  <si>
    <t>Reims - Cathédrale - Paul Doumer</t>
  </si>
  <si>
    <t>Saint-Étienne - Comédie de Saint-Étienne</t>
  </si>
  <si>
    <t>Toulouse - Côte Pavée - Roger Arnaud</t>
  </si>
  <si>
    <t>120</t>
  </si>
  <si>
    <t>BE25 3751 0319 8682</t>
  </si>
  <si>
    <t>BBRUBEBB</t>
  </si>
  <si>
    <t>FR76 3000 4013 2800 0115 0090 74</t>
  </si>
  <si>
    <t>BE81 0016 5706 3124</t>
  </si>
  <si>
    <t>GEBABEBB</t>
  </si>
  <si>
    <t>FR06 2004 1000 0102 2071 2K02 091</t>
  </si>
  <si>
    <t>Paris - Nation - Avron</t>
  </si>
  <si>
    <t>9RUEDELAGNY</t>
  </si>
  <si>
    <t>Clermont-Ferrand - Gare de Clermont-Ferrand</t>
  </si>
  <si>
    <t>2022</t>
  </si>
  <si>
    <t>Dynacité</t>
  </si>
  <si>
    <t>Bourg-en-Bresse - Gare de Bourg-en-Bresse</t>
  </si>
  <si>
    <t>817</t>
  </si>
  <si>
    <t>Villeurbanne - Université Claude Bernard Lyon 1</t>
  </si>
  <si>
    <t>Bègles - La Belle Rose</t>
  </si>
  <si>
    <t>Grand Lyon Habitat</t>
  </si>
  <si>
    <t>Lyon - Garibaldi - Gambetta</t>
  </si>
  <si>
    <t>Villeurbanne - Emile Zola - Gratte-Ciel</t>
  </si>
  <si>
    <t>Aubervilliers - Théâtre de la Commune</t>
  </si>
  <si>
    <t>Malakoff - Plateau de Vanves - Jean Bleuzen</t>
  </si>
  <si>
    <t>Montrouge - Porte d'Orléans - Aristide Briand</t>
  </si>
  <si>
    <t>Courbevoie - La Défense - Hôtel de Ville</t>
  </si>
  <si>
    <t>1385P</t>
  </si>
  <si>
    <t>Immobilière Basse Seine</t>
  </si>
  <si>
    <t>Le Havre - François 1er - Eyries</t>
  </si>
  <si>
    <t>7110P</t>
  </si>
  <si>
    <t>Blagnac - Verdun</t>
  </si>
  <si>
    <t>256</t>
  </si>
  <si>
    <t>B011P</t>
  </si>
  <si>
    <t>B074P</t>
  </si>
  <si>
    <t>Metz - Gare de Metz</t>
  </si>
  <si>
    <t>2040321</t>
  </si>
  <si>
    <t>NH Hotel du Grand Sablon</t>
  </si>
  <si>
    <t>Bruxelles - Sablon</t>
  </si>
  <si>
    <t>Levallois-Perret - Gare de Clichy-Levallois</t>
  </si>
  <si>
    <t>Ramada Brussels Woluwe</t>
  </si>
  <si>
    <t>FR76 1820 6004 3165 0401 8566 006</t>
  </si>
  <si>
    <t>AGRIFRPP882</t>
  </si>
  <si>
    <t>FR76 3000 4008 2800 0120 8712 976</t>
  </si>
  <si>
    <t>FR76 1189 9001 2400 0262 6344 567</t>
  </si>
  <si>
    <t>CMCIFR2A</t>
  </si>
  <si>
    <t>BE36 2100 3181 8981</t>
  </si>
  <si>
    <t>FR76 3000 3040 2500 0203 1245 771</t>
  </si>
  <si>
    <t>FR76 1882 9754 1604 0527 2704 023</t>
  </si>
  <si>
    <t>CMBFR2BCME</t>
  </si>
  <si>
    <t>FR76 3000 3016 9000 0204 8966 903</t>
  </si>
  <si>
    <t>FR76 1426 5006 0008 7765 9435 227</t>
  </si>
  <si>
    <t>FR76 1627 5009 5008 1013 5461 901</t>
  </si>
  <si>
    <t>FR76 3006 6109 3700 0103 8510 167</t>
  </si>
  <si>
    <t>FR76 3006 6104 6100 0203 5190 173</t>
  </si>
  <si>
    <t>FR76 1027 8032 0000 0679 5894 576</t>
  </si>
  <si>
    <t>BWC</t>
  </si>
  <si>
    <t>EURL Lafayette
53 ave de l'Union Soviétique</t>
  </si>
  <si>
    <t>63000 Clermont</t>
  </si>
  <si>
    <t>Mme Pamela Garitan</t>
  </si>
  <si>
    <t>direction.BWlafayette@outlook.fr</t>
  </si>
  <si>
    <t>CGI</t>
  </si>
  <si>
    <t>133, avenue d'Italie</t>
  </si>
  <si>
    <t>M. Johnny Cloutier</t>
  </si>
  <si>
    <t>john@cactusco.fr</t>
  </si>
  <si>
    <t>DYN</t>
  </si>
  <si>
    <t>390 bd du 8 Mai 1945
CA 10266</t>
  </si>
  <si>
    <t>01000 Bourg-en-Bresse</t>
  </si>
  <si>
    <t>Mme Pascale Guyard</t>
  </si>
  <si>
    <t>p.guyard@dynacite.fr</t>
  </si>
  <si>
    <t>HAR</t>
  </si>
  <si>
    <t>163 cours Emile Zola</t>
  </si>
  <si>
    <t>69100 Villeurbanne</t>
  </si>
  <si>
    <t>M. Michael Scotté</t>
  </si>
  <si>
    <t>michael.scotte@orange.fr</t>
  </si>
  <si>
    <t>ISO</t>
  </si>
  <si>
    <t>41, avenue Aristide Briand</t>
  </si>
  <si>
    <t>92120 Montrouge</t>
  </si>
  <si>
    <t>M. Stéphane Tison</t>
  </si>
  <si>
    <t>H7573-GM@accor.com</t>
  </si>
  <si>
    <t>IBA</t>
  </si>
  <si>
    <t>53-61 rue de la Commune de Paris</t>
  </si>
  <si>
    <t>93300 Aubervilliers</t>
  </si>
  <si>
    <t>M. Fadhel Ben Ghanem</t>
  </si>
  <si>
    <t>h3491-gm@accor.com</t>
  </si>
  <si>
    <t>IBV</t>
  </si>
  <si>
    <t>110 rue Jean Bleuzen</t>
  </si>
  <si>
    <t>92170 Vanves</t>
  </si>
  <si>
    <t>M. Larbi Ouhamou</t>
  </si>
  <si>
    <t>NHG</t>
  </si>
  <si>
    <t>Rue Bodenbroek 2/4</t>
  </si>
  <si>
    <t>Bruxelles 1060</t>
  </si>
  <si>
    <t>RBW</t>
  </si>
  <si>
    <t>Clos du Lynx</t>
  </si>
  <si>
    <t>M. Stephan De Bruyn</t>
  </si>
  <si>
    <t>gm@ramadabrusselswoluwe.be</t>
  </si>
  <si>
    <t>GLH</t>
  </si>
  <si>
    <t>2, place de Francfort
CS 13754 - Immeuble Terra Mundi</t>
  </si>
  <si>
    <t>69444 Lyon Cedex 03</t>
  </si>
  <si>
    <t>Mme Véronique Coupanec</t>
  </si>
  <si>
    <t>À partir de l'année 2 (-5%) ou à partir de 30 pkg en exploit (-10%)</t>
  </si>
  <si>
    <t>GDO</t>
  </si>
  <si>
    <t>CCO</t>
  </si>
  <si>
    <t>MCB</t>
  </si>
  <si>
    <t>EDM</t>
  </si>
  <si>
    <t>SEU</t>
  </si>
  <si>
    <t>NOD</t>
  </si>
  <si>
    <t>MOP</t>
  </si>
  <si>
    <t>MQB</t>
  </si>
  <si>
    <t>OLP</t>
  </si>
  <si>
    <t>34 Rue Jules Verne</t>
  </si>
  <si>
    <t>92300 Levallois</t>
  </si>
  <si>
    <t>Mme Karine Duchaux</t>
  </si>
  <si>
    <t>direction.levallois@odalys.fr</t>
  </si>
  <si>
    <t>Beep Valet</t>
  </si>
  <si>
    <t>BVA</t>
  </si>
  <si>
    <t>44 rue Montmejean</t>
  </si>
  <si>
    <t>33100 Bordeaux</t>
  </si>
  <si>
    <t>M. Charlie Defresne</t>
  </si>
  <si>
    <t>voiturier@chic-events-bordeaux.fr</t>
  </si>
  <si>
    <t>IIE</t>
  </si>
  <si>
    <t>20 rue Voltaire</t>
  </si>
  <si>
    <t>94270 Le Kremlin-Bicêtre</t>
  </si>
  <si>
    <t>M. Antoine Matran</t>
  </si>
  <si>
    <t>h6031-re@accor.com</t>
  </si>
  <si>
    <t>MSO</t>
  </si>
  <si>
    <t>115 Avenue Gabriel Peri</t>
  </si>
  <si>
    <t>93400 Saint Ouen</t>
  </si>
  <si>
    <t>M. Xavier Wieczorek</t>
  </si>
  <si>
    <t>ha780-dm@accor.com</t>
  </si>
  <si>
    <t>IBS</t>
  </si>
  <si>
    <t>Chaussee De Charleroi 66</t>
  </si>
  <si>
    <t>1060 Brussels</t>
  </si>
  <si>
    <t>Mme Eva Scheerlinck</t>
  </si>
  <si>
    <t>STGE</t>
  </si>
  <si>
    <t>CIEL</t>
  </si>
  <si>
    <t>PRE1</t>
  </si>
  <si>
    <t>Villeurbanne - Gare</t>
  </si>
  <si>
    <t>782 91</t>
  </si>
  <si>
    <t>Lyon - Confluence - Sainte-Blandine</t>
  </si>
  <si>
    <t>Lyon - Lacassagne - Montchat</t>
  </si>
  <si>
    <t>Lyon - Lortet</t>
  </si>
  <si>
    <t>Lyon - Place Jean Jaurès</t>
  </si>
  <si>
    <t>Bruxelles - Saint-Gilles - Stéphanie</t>
  </si>
  <si>
    <t>Fontenay-sous-Bois - Bois Cadet - Maximilien Robespierre</t>
  </si>
  <si>
    <t>1318P</t>
  </si>
  <si>
    <t>Massy - Gare de Massy-Palaiseau - Atlantis</t>
  </si>
  <si>
    <t>1867P</t>
  </si>
  <si>
    <t>Versailles - Madame Elisabeth - Champ Lagarde</t>
  </si>
  <si>
    <t>R206P</t>
  </si>
  <si>
    <t>Rouen - Bois-Guillaume - Champ des oiseaux</t>
  </si>
  <si>
    <t>7403P</t>
  </si>
  <si>
    <t>Rouen - Saint-Sever - Lessard</t>
  </si>
  <si>
    <t>7091P</t>
  </si>
  <si>
    <t>Rouen - Saint-Sever - Pavée</t>
  </si>
  <si>
    <t>7143P</t>
  </si>
  <si>
    <t>Rueil-Malmaison - Sophie Rodrigues</t>
  </si>
  <si>
    <t>Résidence 0121 - Contrat 164888</t>
  </si>
  <si>
    <t>0682 Edouard Vaillant</t>
  </si>
  <si>
    <t>0612 FONSCOLOMBES</t>
  </si>
  <si>
    <t>Saint-Ouen - Porte de Saint-Ouen</t>
  </si>
  <si>
    <t>Bobigny - Pablo Picasso - Préfecture</t>
  </si>
  <si>
    <t>Residhome Roissy Village</t>
  </si>
  <si>
    <t>Paris - Gare de Lyon - Chalon</t>
  </si>
  <si>
    <t>MED</t>
  </si>
  <si>
    <t>Somnoo Ibis Strasbourg Aéroport le Zénith</t>
  </si>
  <si>
    <t>FR76 3006 6105 7100 0206 5380 161</t>
  </si>
  <si>
    <t>FR76 3000 4008 2700 0100 0908 242</t>
  </si>
  <si>
    <t>Roissy Invest Hotels
Allée des Vergers</t>
  </si>
  <si>
    <t xml:space="preserve"> Hotels du Pont de Suresnes
15 Bd Henri Sellier  </t>
  </si>
  <si>
    <t>FR76 1027 8089 6300 0204 3140 162</t>
  </si>
  <si>
    <t>FR76 3000 3036 4000 0202 4808 806</t>
  </si>
  <si>
    <t>FR37 3000 2029 5000 0023 0309 X39</t>
  </si>
  <si>
    <t>CRLYFRPPP</t>
  </si>
  <si>
    <t>Proxi Parking</t>
  </si>
  <si>
    <t>PPA</t>
  </si>
  <si>
    <t>Avenue Louise 475</t>
  </si>
  <si>
    <t>1050 Ixelles Belgique</t>
  </si>
  <si>
    <t>M. Jean Verheyen</t>
  </si>
  <si>
    <t>jv@proxiparking.be</t>
  </si>
  <si>
    <t>M. Frédéric Demazeau</t>
  </si>
  <si>
    <t>Frederic.DEMAZEAU@transdev.com</t>
  </si>
  <si>
    <t>EME</t>
  </si>
  <si>
    <t>12 Rue Lafayette</t>
  </si>
  <si>
    <t>57000 Metz</t>
  </si>
  <si>
    <t>Ouarda MARGHADI</t>
  </si>
  <si>
    <t>ouarda.marghadi@reside-etudes.fr</t>
  </si>
  <si>
    <t>RRV</t>
  </si>
  <si>
    <t>4 Avenue de Montmorency</t>
  </si>
  <si>
    <t>95700 Roissy-en-France</t>
  </si>
  <si>
    <t>A partir la 2eme année si 10 parkings en exploitation avec minimum 5 places</t>
  </si>
  <si>
    <t>Si résiliation anticipée avant 12 mois: remboursement 1600€HT</t>
  </si>
  <si>
    <t>ATT</t>
  </si>
  <si>
    <t>75009 Paris</t>
  </si>
  <si>
    <t>M. Clément PITTON</t>
  </si>
  <si>
    <t>clement.pitton@attentifimmo.com</t>
  </si>
  <si>
    <t>SSA</t>
  </si>
  <si>
    <t>2 rue du Maréchal Foch Route de Schirmeck</t>
  </si>
  <si>
    <t>67380 Lingolsheim</t>
  </si>
  <si>
    <t>H1588-gm@accor.com</t>
  </si>
  <si>
    <t>Pour le compte de "9 RUE DE LAGNY"
4, rue de Bellefond</t>
  </si>
  <si>
    <t>IMC</t>
  </si>
  <si>
    <t>8 Avenue Elsa Triolet</t>
  </si>
  <si>
    <t>13008 Marseille</t>
  </si>
  <si>
    <t>Mme Claire Thomas</t>
  </si>
  <si>
    <t>M. Jean Louis Cardenass</t>
  </si>
  <si>
    <t>H0932-GM@accor.com</t>
  </si>
  <si>
    <t>139 rue Grande
BP 203</t>
  </si>
  <si>
    <t>27102 Val-de-Rueil Cedex</t>
  </si>
  <si>
    <t>M. Gaël Nguyen</t>
  </si>
  <si>
    <t>gael.nguyen@groupe3f.fr</t>
  </si>
  <si>
    <t>M. Arthur DICHAMP</t>
  </si>
  <si>
    <t>H9462-AM@accor.com</t>
  </si>
  <si>
    <t>FR76 1870 7000 8030 8216 2994 356</t>
  </si>
  <si>
    <t>CCBPFRPPVER</t>
  </si>
  <si>
    <t>FR48 2004 1000 0169 8569 7E02 009</t>
  </si>
  <si>
    <t>FR76 1010 7003 2100 7302 1044 474</t>
  </si>
  <si>
    <t>FR76 3000 4007 5300 0101 4738 448</t>
  </si>
  <si>
    <t>BNPAFRPPPPG</t>
  </si>
  <si>
    <t>FR76 3000 4019 8700 0100 5305 603</t>
  </si>
  <si>
    <t>BNPAFRPPBBT</t>
  </si>
  <si>
    <t>BE49 0016 3757 0871</t>
  </si>
  <si>
    <t>FR76 3004 7141 1500 0768 3180 110</t>
  </si>
  <si>
    <t>BE36 0682 5001 3281</t>
  </si>
  <si>
    <t>GKCCBEBB</t>
  </si>
  <si>
    <t>FR13 4003 1000 0100 0017 1608 E56</t>
  </si>
  <si>
    <t>FR76 1055 8025 4714 3508 0030 035</t>
  </si>
  <si>
    <t>TARNFR2L</t>
  </si>
  <si>
    <t>Paris - Gare Montparnasse - Falguière</t>
  </si>
  <si>
    <t>Toulouse - Leclerc</t>
  </si>
  <si>
    <t>Lyon - Jean Macé</t>
  </si>
  <si>
    <t>Lyon - Sans Souci - Monplaisir-Lumière</t>
  </si>
  <si>
    <t>Lyon - Villon</t>
  </si>
  <si>
    <t>Nanterre - Palais des Sports</t>
  </si>
  <si>
    <t>Paris - Avenue d'Italie - Porte d'Italie</t>
  </si>
  <si>
    <t>2457P</t>
  </si>
  <si>
    <t>Paris - Hôpital Jean Jaurès</t>
  </si>
  <si>
    <t>2308P</t>
  </si>
  <si>
    <t>Paris - La Villette - Canal de l'Ourcq</t>
  </si>
  <si>
    <t>4769P</t>
  </si>
  <si>
    <t>Viry-Châtillon - Gare</t>
  </si>
  <si>
    <t>1745P</t>
  </si>
  <si>
    <t>Le Havre - François 1er - Coty</t>
  </si>
  <si>
    <t>7139P (7193P)</t>
  </si>
  <si>
    <t>Immobilière Nord-Artois</t>
  </si>
  <si>
    <t>Saint-Étienne - Médiathèque de Tarentaize</t>
  </si>
  <si>
    <t>Paris - Gare Saint-Lazare - Vienne</t>
  </si>
  <si>
    <t>Aix-en-Provence - Gare d'Aix-en-Provence Ville</t>
  </si>
  <si>
    <t>Aix-en-Provence - Le Tholonet</t>
  </si>
  <si>
    <t>FR76 3000 3006 5800 0215 7739 462</t>
  </si>
  <si>
    <t>Mme Muriel Favre</t>
  </si>
  <si>
    <t>muriel.favre@citadines.com</t>
  </si>
  <si>
    <t>Mme Fabienne Higelé</t>
  </si>
  <si>
    <t>M. Anael Martiny</t>
  </si>
  <si>
    <t>OAF</t>
  </si>
  <si>
    <t>24 boulevard Albert Charrier</t>
  </si>
  <si>
    <t>13090 Aix en Provence</t>
  </si>
  <si>
    <t>Mme Aurelia Allart</t>
  </si>
  <si>
    <t>direction.floridianes@odalys.fr</t>
  </si>
  <si>
    <t>OTA</t>
  </si>
  <si>
    <t>445 l'Allée François Aubrun</t>
  </si>
  <si>
    <t>13100 Le Tholonet</t>
  </si>
  <si>
    <t>Mme Fanny Manzanera</t>
  </si>
  <si>
    <t>direction.tholonet@odalys.fr</t>
  </si>
  <si>
    <t>OCL</t>
  </si>
  <si>
    <t>7 cours Bayard</t>
  </si>
  <si>
    <t>69002 Lyon</t>
  </si>
  <si>
    <t>RALPFR2G</t>
  </si>
  <si>
    <t>FR76 1046 8044 2610 4643 0020 038</t>
  </si>
  <si>
    <t>FR76 1027 8012 0000 0207 6750 125</t>
  </si>
  <si>
    <t>COCGFRPP</t>
  </si>
  <si>
    <t>FR06 4003 1000 0100 0016 4565 Z68</t>
  </si>
  <si>
    <t>FR39 4003 1000 0100 0017 4224 Y40</t>
  </si>
  <si>
    <t>FR76 3000 4006 8900 0280 9766 506</t>
  </si>
  <si>
    <t>BNPAFRPPVBE</t>
  </si>
  <si>
    <t>FR76 3000 3031 7500 0203 8961 291</t>
  </si>
  <si>
    <t>FR76 1010 7003 2100 5108 0513 109</t>
  </si>
  <si>
    <t>FR76 3000 4028 9000 0106 6298 753</t>
  </si>
  <si>
    <t>BE40 0689 0657 5363</t>
  </si>
  <si>
    <t>FR76 3148 9000 1000 2135 3968 047</t>
  </si>
  <si>
    <t>BSUIFRPP</t>
  </si>
  <si>
    <t>BE28 0017 8498 6320</t>
  </si>
  <si>
    <t>FR76 3000 3017 5000 0200 8997 929</t>
  </si>
  <si>
    <t>SOGEFRPPP</t>
  </si>
  <si>
    <t>FR91 3000 2029 5000 0046 0661 X50</t>
  </si>
  <si>
    <t>FR29 2004 1010 1601 7137 4T03 776</t>
  </si>
  <si>
    <t>PSSTFRPPTOU</t>
  </si>
  <si>
    <t>BE49 3630 9864 2471</t>
  </si>
  <si>
    <t>FR76 3000 3033 9200 0203 1436 947</t>
  </si>
  <si>
    <t>Best Park CDG</t>
  </si>
  <si>
    <t>BPC</t>
  </si>
  <si>
    <t>FR29 3000 2011 5400 0007 0664 R79</t>
  </si>
  <si>
    <t>Appart'City La Rochelle</t>
  </si>
  <si>
    <t>Appart'City Nice</t>
  </si>
  <si>
    <t>Best Western Clermont Ferrand</t>
  </si>
  <si>
    <t>Boxx'In</t>
  </si>
  <si>
    <t>Cactus Group I-Parking</t>
  </si>
  <si>
    <t>Campanile Lille</t>
  </si>
  <si>
    <t>Holiday Inn Marne La Vallée</t>
  </si>
  <si>
    <t>Holiday Inn Roissy CDG</t>
  </si>
  <si>
    <t>Hôtel Ariana</t>
  </si>
  <si>
    <t>Mercure Roissy CDG</t>
  </si>
  <si>
    <t>Ibis Styles Brussels Stephanie</t>
  </si>
  <si>
    <t>Ibis Styles Roissy CDG</t>
  </si>
  <si>
    <t>Ibis Styles Saint-Malo Port</t>
  </si>
  <si>
    <t>Odalys Levallois-Perret</t>
  </si>
  <si>
    <t>Odalys Lyon Bioparc</t>
  </si>
  <si>
    <t>Odalys Lyon Confluence</t>
  </si>
  <si>
    <t>Concorde Montparnasse</t>
  </si>
  <si>
    <t>CME</t>
  </si>
  <si>
    <t>Auvergne Habitat</t>
  </si>
  <si>
    <t>AHA</t>
  </si>
  <si>
    <t>16 boulevard Charles de Gaulle</t>
  </si>
  <si>
    <t>63000 Clermont-Ferrand</t>
  </si>
  <si>
    <t>Mme Nadège Colin</t>
  </si>
  <si>
    <t>n.colin@auvergne-habitat.fr</t>
  </si>
  <si>
    <t>CND</t>
  </si>
  <si>
    <t>M. Camus</t>
  </si>
  <si>
    <t>manager.nanterre@campanile.fr</t>
  </si>
  <si>
    <t>Foyer Laekenois</t>
  </si>
  <si>
    <t>FLA</t>
  </si>
  <si>
    <t>M. Vincent Renier</t>
  </si>
  <si>
    <t>vre@flh.irisnet.be</t>
  </si>
  <si>
    <t>Habitat 76</t>
  </si>
  <si>
    <t>H76</t>
  </si>
  <si>
    <t>17 rue de Malherbe
CS 72042</t>
  </si>
  <si>
    <t>76040 Rouen Cedex 1</t>
  </si>
  <si>
    <t>Mme Aurore Desoite</t>
  </si>
  <si>
    <t>adesoite@habitat76.fr</t>
  </si>
  <si>
    <t>Hérault Habitat</t>
  </si>
  <si>
    <t>HHA</t>
  </si>
  <si>
    <t>100 rue de l'Oasis</t>
  </si>
  <si>
    <t>34080 Montpellier</t>
  </si>
  <si>
    <t>Mme Karine ANDREU-LACROIX</t>
  </si>
  <si>
    <t>K.ANDREU-LACROIX@herault-habitat.fr</t>
  </si>
  <si>
    <t>20, avenue Pablo Picasso</t>
  </si>
  <si>
    <t>Avenue de l'Arbre Ballon, 5A</t>
  </si>
  <si>
    <t>Bruxelles 1020</t>
  </si>
  <si>
    <t>Hôtel de Brienne</t>
  </si>
  <si>
    <t>HBR</t>
  </si>
  <si>
    <t>20, boulevard Maréchal Leclerc</t>
  </si>
  <si>
    <t>M. Nicolas Vinuales</t>
  </si>
  <si>
    <t>brienne@hoteldebrienne.com</t>
  </si>
  <si>
    <t>FR76 1690 6001 2051 0705 0588 087</t>
  </si>
  <si>
    <t>AGRIFRPP869</t>
  </si>
  <si>
    <t>IMB</t>
  </si>
  <si>
    <t>1, avenue de l'Europe</t>
  </si>
  <si>
    <t>94360 Bry-sur-Marne</t>
  </si>
  <si>
    <t>M. Olivier Favre</t>
  </si>
  <si>
    <t>H2538-RE@accor.com</t>
  </si>
  <si>
    <t>MRP</t>
  </si>
  <si>
    <t>1, rue Paul Louis Courier</t>
  </si>
  <si>
    <t>35106 Rennes</t>
  </si>
  <si>
    <t>Mme Marjorie Ferrua</t>
  </si>
  <si>
    <t>marjorie.ferrua@accor.com</t>
  </si>
  <si>
    <t>MNS</t>
  </si>
  <si>
    <t>5, rue des Carmes</t>
  </si>
  <si>
    <t>Mme Aurélie Nouvel</t>
  </si>
  <si>
    <t>H1068-GM@accor.com</t>
  </si>
  <si>
    <t>NMV</t>
  </si>
  <si>
    <t>290-302, rue Étienne Marcel
ZAC Eugène Barlain</t>
  </si>
  <si>
    <t>93170 Bagnolet</t>
  </si>
  <si>
    <t>Mme Cathy Doehr</t>
  </si>
  <si>
    <t>h3239-gm@accor.com</t>
  </si>
  <si>
    <t>Paris - Aéroport Orly - Chevilly-Larue</t>
  </si>
  <si>
    <t>Paris - Aéroport Orly-Marché de Rungis</t>
  </si>
  <si>
    <t>Clermont-Ferrand - Gare de Clermont - Morny</t>
  </si>
  <si>
    <t>Clermont-Ferrand - Gare de Clermont - Oradou</t>
  </si>
  <si>
    <t>Bordeaux - Proche Aéroport Mérignac - Z1</t>
  </si>
  <si>
    <t>Toulouse - Aéroport Blagnac-Z1</t>
  </si>
  <si>
    <t>Paris - Aéroport Roissy-Campanile</t>
  </si>
  <si>
    <t>CCI Paris Ile-de-France</t>
  </si>
  <si>
    <t>Paris - La Motte-Picquet Grenelle</t>
  </si>
  <si>
    <t>Coopérer Pour Habiter</t>
  </si>
  <si>
    <t>Strasbourg - Haguenau - Rue des Magasins</t>
  </si>
  <si>
    <t>731</t>
  </si>
  <si>
    <t>072</t>
  </si>
  <si>
    <t>073</t>
  </si>
  <si>
    <t>Paris - Aéroport Beauvais-Tillé-Z2</t>
  </si>
  <si>
    <t>Le Havre - Gare du Havre - Université</t>
  </si>
  <si>
    <t>Paris - Aéroport Roissy-Z4</t>
  </si>
  <si>
    <t>Holiday Inn Vélizy</t>
  </si>
  <si>
    <t>Hôtel B&amp;B Group</t>
  </si>
  <si>
    <t>Marseille - Bonneveine</t>
  </si>
  <si>
    <t>Paris - Aéroport Roissy-Ibis Styles</t>
  </si>
  <si>
    <t>Saint-Malo - Saint-Servan Nord</t>
  </si>
  <si>
    <t>Saint Malo Port</t>
  </si>
  <si>
    <t>Conflans-Sainte-Honorine - Gare</t>
  </si>
  <si>
    <t>3707P</t>
  </si>
  <si>
    <t>Paris - Bastille - Roquette Extérieur</t>
  </si>
  <si>
    <t>Paris - Bastille - Roquette Intérieur</t>
  </si>
  <si>
    <t>Paris - Buttes-Chaumont - Ourcq</t>
  </si>
  <si>
    <t>4930P</t>
  </si>
  <si>
    <t>Paris - Palais des Glaces - Rue Bichat</t>
  </si>
  <si>
    <t>Paris - Père Lachaise - Bagnolet</t>
  </si>
  <si>
    <t>2602P</t>
  </si>
  <si>
    <t>Viroflay - La Ville au Bois</t>
  </si>
  <si>
    <t>1370P</t>
  </si>
  <si>
    <t>Le Havre - Université - Labédoyère</t>
  </si>
  <si>
    <t>7021P</t>
  </si>
  <si>
    <t>Villeneuve-d'Ascq - Place Van Gogh</t>
  </si>
  <si>
    <t>0700</t>
  </si>
  <si>
    <t>Rennes - République - Vasselot</t>
  </si>
  <si>
    <t>Nancy - La Cour des Arts</t>
  </si>
  <si>
    <t>Bagnolet - Porte de Montreuil - Robespierre</t>
  </si>
  <si>
    <t>Paris - Aéroport Orly-Kéfir</t>
  </si>
  <si>
    <t>Paris - Aéroport Orly-Wissous-Gare de Rungis</t>
  </si>
  <si>
    <t>Toulouse - Aéroport de Blagnac-Andromède</t>
  </si>
  <si>
    <t>Reims - Croix du Sud</t>
  </si>
  <si>
    <t>Reims - Gare de Reims - Clairmarais</t>
  </si>
  <si>
    <t>Bordeaux - Proche Aéroport Mérignac - Quality Suites Extérieur</t>
  </si>
  <si>
    <t>Bordeaux - Proche Aéroport Mérignac - Quality Suites Intérieur</t>
  </si>
  <si>
    <t>Radisson Blu Nice</t>
  </si>
  <si>
    <t>Colmar - Centre ville - Stanislas</t>
  </si>
  <si>
    <t>Nantes - Aéroport Atlantique-Z1 Extérieur</t>
  </si>
  <si>
    <t>Grenoble - Les Choucas</t>
  </si>
  <si>
    <t>Clermont-Ferrand - Place de Jaude</t>
  </si>
  <si>
    <t>BUGEAUD &amp; FILLE</t>
  </si>
  <si>
    <t>Cagnes-Sur-Mer - Saint Jean</t>
  </si>
  <si>
    <t>Campanile Gennevilliers</t>
  </si>
  <si>
    <t>Bobigny - Tribunal</t>
  </si>
  <si>
    <t>Rueil-Malmaison - Hôpital Stell - Danton</t>
  </si>
  <si>
    <t>Ambérieu-en-Bugey - Mairie</t>
  </si>
  <si>
    <t>1723</t>
  </si>
  <si>
    <t>Nanterre - Place de la Boule</t>
  </si>
  <si>
    <t>4006</t>
  </si>
  <si>
    <t>Fly Away Car Park</t>
  </si>
  <si>
    <t>Bruxelles - Stade Roi Baudouin - Océade</t>
  </si>
  <si>
    <t>Lyon - Gare de Vaise - Studio Valmy</t>
  </si>
  <si>
    <t>Lyon - Gorge de Loup - Deux Amants</t>
  </si>
  <si>
    <t>Lyon - Montchat - Reconnaissance Balzac</t>
  </si>
  <si>
    <t>Le Havre - Gustave Brindeau</t>
  </si>
  <si>
    <t>Le Havre - Saint Nicolas - Docks</t>
  </si>
  <si>
    <t>Rouen - Mont Riboudet - Kindarena</t>
  </si>
  <si>
    <t>Le Kremlin-Bicêtre - Porte d'Italie Est</t>
  </si>
  <si>
    <t>Fontenay-sous-Bois - Bois Cadet - Salengro</t>
  </si>
  <si>
    <t>2104P</t>
  </si>
  <si>
    <t>Saint-Germain-en-Laye - Bel-Air - Fourqueux Extérieur</t>
  </si>
  <si>
    <t>Saint-Germain-en-Laye - Bel-Air - Fourqueux Intérieur</t>
  </si>
  <si>
    <t>Le Havre - Gare du Havre - Kléber</t>
  </si>
  <si>
    <t>1181P</t>
  </si>
  <si>
    <t>Rouen - Europe - Elbeuf</t>
  </si>
  <si>
    <t>7148P</t>
  </si>
  <si>
    <t>Paris - Aéroport Roissy CDG-Z5</t>
  </si>
  <si>
    <t>Genève Aéroport Genève - Odalys</t>
  </si>
  <si>
    <t>118GU</t>
  </si>
  <si>
    <t>193WI</t>
  </si>
  <si>
    <t>Parking Cheap</t>
  </si>
  <si>
    <t>Bruxelles - Hippodrome de Boitsfort</t>
  </si>
  <si>
    <t>Bruxelles - Woluwe - Parc Schuman</t>
  </si>
  <si>
    <t>Paris - Aéroport Roissy-Residhome Roissy Village</t>
  </si>
  <si>
    <t>SARL DT 6 NANTES</t>
  </si>
  <si>
    <t>Nantes - île Beaulieu - Mangin</t>
  </si>
  <si>
    <t>Société Hotelière Saint Germain</t>
  </si>
  <si>
    <t>Saint Germain en Laye - Gare RER - Centre</t>
  </si>
  <si>
    <t>Nancy - Maxéville - Médipole</t>
  </si>
  <si>
    <t>Nantes - Aéroport Atlantique-Z1 Intérieur</t>
  </si>
  <si>
    <t>FR45 3000 1009 34E9 3500 0000 055</t>
  </si>
  <si>
    <t>BDFEFRPPCCT</t>
  </si>
  <si>
    <t>FR76 3000 3002 4100 0200 0083 663</t>
  </si>
  <si>
    <t>FR76 1882 9754 1603 9251 1604 019</t>
  </si>
  <si>
    <t>FR76 3000 3004 2800 0201 2569 026</t>
  </si>
  <si>
    <t>SOGEFRPPXXX</t>
  </si>
  <si>
    <t>FR76 3000 4004 2600 0260 8158 085</t>
  </si>
  <si>
    <t>M. Roshan HOSENALLY</t>
  </si>
  <si>
    <t>rhosenally@oph-bobigny.fr</t>
  </si>
  <si>
    <t>M. Alessandro Accardi</t>
  </si>
  <si>
    <t>Alessandro.accardi@reside-etudes.fr</t>
  </si>
  <si>
    <t>SSG</t>
  </si>
  <si>
    <t>10 bis rue des Joueries</t>
  </si>
  <si>
    <t>M. Benoit Fremont</t>
  </si>
  <si>
    <t>ha1r5@accor.com</t>
  </si>
  <si>
    <t>Allée des Bas Tillers</t>
  </si>
  <si>
    <t>92230 Gennevilliers</t>
  </si>
  <si>
    <t>M. Quentin Gilbert</t>
  </si>
  <si>
    <t>manager.gennevilliers.barbanniers@campanile.fr</t>
  </si>
  <si>
    <t>HBB</t>
  </si>
  <si>
    <t>271 rue du Général Paulet
CS 91975</t>
  </si>
  <si>
    <t>29219 Brest Cedex 2</t>
  </si>
  <si>
    <t>M.Hugues Deffenain et Mme Sarah Hamed</t>
  </si>
  <si>
    <t>PCH</t>
  </si>
  <si>
    <t>Chemin de Colovrex</t>
  </si>
  <si>
    <t>M. Freddy Kamatchy</t>
  </si>
  <si>
    <t>parkingcheap.geneve@gmail.com</t>
  </si>
  <si>
    <t>BFI</t>
  </si>
  <si>
    <t>44 avenue des Alpes</t>
  </si>
  <si>
    <t>06800 Cagnes-sur-Mer</t>
  </si>
  <si>
    <t>M. Thérence Bugeaud</t>
  </si>
  <si>
    <t>therence.planet@gmail.com</t>
  </si>
  <si>
    <t>D6N</t>
  </si>
  <si>
    <t>32 rue Lanoue Bras de Fer</t>
  </si>
  <si>
    <t>44000 Nantes</t>
  </si>
  <si>
    <t>IND</t>
  </si>
  <si>
    <t>38 avenue Georges Clémenceau</t>
  </si>
  <si>
    <t>Mme Nina Son</t>
  </si>
  <si>
    <t>h7265-re@accor.com</t>
  </si>
  <si>
    <t>FAC</t>
  </si>
  <si>
    <t>72 bd François Grosso</t>
  </si>
  <si>
    <t>06000 Nice</t>
  </si>
  <si>
    <t>M. Romain Mistilopoulos</t>
  </si>
  <si>
    <t>flyandcar06@gmail.com</t>
  </si>
  <si>
    <t>Aquitania SAS</t>
  </si>
  <si>
    <t>S020P (parking extérieur)</t>
  </si>
  <si>
    <t>S020P (parking intérieur)</t>
  </si>
  <si>
    <t>3897P et R114P</t>
  </si>
  <si>
    <t>78100 Saint-Germain-en-Laye</t>
  </si>
  <si>
    <t>M. M. Yanneck KRYWOCZEK</t>
  </si>
  <si>
    <t>M. Christophe Gerbenne</t>
  </si>
  <si>
    <t>Clermont-Ferrand - Gaultier de Biauzat</t>
  </si>
  <si>
    <t>Paris - Campo-Formio</t>
  </si>
  <si>
    <t>Feyzin - Gare Feyzin - Claudius Bery</t>
  </si>
  <si>
    <t>Oullins - Gare d'Oullins - Lortet</t>
  </si>
  <si>
    <t>Dieppe - Gare de Dieppe - Centre-Ville</t>
  </si>
  <si>
    <t>3513401</t>
  </si>
  <si>
    <t>3514201</t>
  </si>
  <si>
    <t>3515001</t>
  </si>
  <si>
    <t>5402702</t>
  </si>
  <si>
    <t>Sotteville-lès-Rouen - Hôtel de Ville</t>
  </si>
  <si>
    <t>Paris - La Défense - Pullman</t>
  </si>
  <si>
    <t>Le Kremlin-Bicêtre - Porte d'Italie Ouest</t>
  </si>
  <si>
    <t>ICF Habitat Nord-Est</t>
  </si>
  <si>
    <t>Vigneux-sur-Seine - Gare</t>
  </si>
  <si>
    <t>1992P</t>
  </si>
  <si>
    <t>Lille - Moulins - Trévise</t>
  </si>
  <si>
    <t>Lille - Wazemmes - Victor-Hugo</t>
  </si>
  <si>
    <t>Bruxelles - Palais de Justice - CHU</t>
  </si>
  <si>
    <t>Montreuil - Marché de Montreuil</t>
  </si>
  <si>
    <t>5146</t>
  </si>
  <si>
    <t>Montreuil - Parc Montreau</t>
  </si>
  <si>
    <t>55</t>
  </si>
  <si>
    <t>Toulouse - Gare de Toulouse Matabiau - Centre</t>
  </si>
  <si>
    <t>Paris - Bagnolet Pyrénées</t>
  </si>
  <si>
    <t>014271</t>
  </si>
  <si>
    <t>Vilogia</t>
  </si>
  <si>
    <t>Lille - Moulins - Victor Hugo</t>
  </si>
  <si>
    <t>2080</t>
  </si>
  <si>
    <t>Logement Bruxellois</t>
  </si>
  <si>
    <t>MC63 3000 2032 6000 0007 0681 Q89</t>
  </si>
  <si>
    <t>CRLYMCM1</t>
  </si>
  <si>
    <t>FR76 3000 4018 9600 0221 4080 713</t>
  </si>
  <si>
    <t>FR20 4003 1000 0100 0017 3748 F67</t>
  </si>
  <si>
    <t>BE54 3101 3350 2297</t>
  </si>
  <si>
    <t> FR76 3000 3043 1700 0200 6022 846</t>
  </si>
  <si>
    <t>CEPAFRPP142</t>
  </si>
  <si>
    <t>FR76 1142 5009 0008 0006 8943 301</t>
  </si>
  <si>
    <t>FR76 3000 3036 4000 0202 5403 707</t>
  </si>
  <si>
    <t>FR76 1380 7006 9830 4176 2882 774</t>
  </si>
  <si>
    <t>CCBPFRPPNAN</t>
  </si>
  <si>
    <t>FR84 2004 1010 0824 3398 2X02 944</t>
  </si>
  <si>
    <t>FR76 3006 6103 0100 0200 2990 125</t>
  </si>
  <si>
    <t>FR76 1751 5006 0008 0007 9451 763</t>
  </si>
  <si>
    <t>HGA</t>
  </si>
  <si>
    <t>IIO</t>
  </si>
  <si>
    <t>LBR</t>
  </si>
  <si>
    <t>PTC</t>
  </si>
  <si>
    <t>VIL</t>
  </si>
  <si>
    <t>92081 Courbevoie</t>
  </si>
  <si>
    <t>11 avenue de l'Arche
La Défense Cedex 6</t>
  </si>
  <si>
    <t>Dominique Marrot</t>
  </si>
  <si>
    <t>H3013-GL1@ACCOR.COM</t>
  </si>
  <si>
    <t>6/15 Rue Elisée Reclus</t>
  </si>
  <si>
    <t>Mme Emmanuelle Voisin</t>
  </si>
  <si>
    <t>directeur.ib-italie@f-e-a.fr</t>
  </si>
  <si>
    <t>M. Lionel Godrié</t>
  </si>
  <si>
    <t>LGODRIE@lbw.brussels</t>
  </si>
  <si>
    <t>Rue du Cardinal Mercier 37</t>
  </si>
  <si>
    <t>Bruxelles</t>
  </si>
  <si>
    <t>84, allées Jean Jaurès</t>
  </si>
  <si>
    <t>Mme Estelle Diaz</t>
  </si>
  <si>
    <t>74 Rue Jean Jaurès</t>
  </si>
  <si>
    <t>59664 Villeneuve d'Ascq</t>
  </si>
  <si>
    <t>M. Jean-Francois Calais</t>
  </si>
  <si>
    <t>jean-francois.calais@vilogia.fr</t>
  </si>
  <si>
    <t xml:space="preserve">laurent.richiero@actis.fr </t>
  </si>
  <si>
    <t>AC</t>
  </si>
  <si>
    <t>15 Rue Barbacane</t>
  </si>
  <si>
    <t>Stéphane Compas</t>
  </si>
  <si>
    <t>FR76 1009 6185 7400 0673 8620 108</t>
  </si>
  <si>
    <t>Inter-Hotel Parc des Expositions Marseille</t>
  </si>
  <si>
    <t>Valopark</t>
  </si>
  <si>
    <t>70 rue Cortambert</t>
  </si>
  <si>
    <t>Laurence Baudin</t>
  </si>
  <si>
    <t>laurence.baudin@finapark.fr</t>
  </si>
  <si>
    <t>VLP</t>
  </si>
  <si>
    <t>shl.compta@hotmail.fr</t>
  </si>
  <si>
    <t>Manon Laloge</t>
  </si>
  <si>
    <t>Carcassonne - Cité Médiévale - Théâtre Jean-Deschamps</t>
  </si>
  <si>
    <t>Clermont-Ferrand - Palais de Justice</t>
  </si>
  <si>
    <t>Mulhouse - Aéroport de Bâle-Bartenheim</t>
  </si>
  <si>
    <t>Gennevilliers - Gare - Barbanniers</t>
  </si>
  <si>
    <t>Bourg-en-Bresse - Champ de Foire - 1</t>
  </si>
  <si>
    <t>1578</t>
  </si>
  <si>
    <t>Bois-Colombes - Gare de Bois Colombes - Amiral Courbet</t>
  </si>
  <si>
    <t>4046</t>
  </si>
  <si>
    <t>Montpellier - Alco - Guy de Montpellier</t>
  </si>
  <si>
    <t>Montpellier - Les Cévennes - SupAgro</t>
  </si>
  <si>
    <t>Hotel Prince de Liege</t>
  </si>
  <si>
    <t>Evry - Les Epinettes</t>
  </si>
  <si>
    <t>1795P</t>
  </si>
  <si>
    <t>Gennevilliers - Gare de Gennevilliers</t>
  </si>
  <si>
    <t>T704P</t>
  </si>
  <si>
    <t>Le Havre - Université - Michel Dubosc</t>
  </si>
  <si>
    <t>7017P</t>
  </si>
  <si>
    <t>Marseille - Stade Vélodrome - Prado</t>
  </si>
  <si>
    <t>Lille - Cormontaigne - Béranger</t>
  </si>
  <si>
    <t>3820</t>
  </si>
  <si>
    <t>Lille - Gare de Lille Flandres - Mairie de Lille</t>
  </si>
  <si>
    <t>0320</t>
  </si>
  <si>
    <t>Lille - Grand Palais - Madeleine Rebérioux</t>
  </si>
  <si>
    <t>4360</t>
  </si>
  <si>
    <t>Lille - Moulins - Université</t>
  </si>
  <si>
    <t>2570</t>
  </si>
  <si>
    <t>Bruxelles - Quartier des Squares - Noyer</t>
  </si>
  <si>
    <t>Somnoo Première Classe Annecy</t>
  </si>
  <si>
    <t>Annecy - Cran-Gevrier</t>
  </si>
  <si>
    <t>Aubervilliers - Fort d'Aubervilliers - Rechossière</t>
  </si>
  <si>
    <t>Clichy - Général Leclerc - Floréal</t>
  </si>
  <si>
    <t>Levallois-Perret - Hôpital Américain</t>
  </si>
  <si>
    <t>Roubaix - Roubaix Grand Place - Grand Rue</t>
  </si>
  <si>
    <t>0556 / 0565</t>
  </si>
  <si>
    <t>IPE</t>
  </si>
  <si>
    <t>Liste des partenaires Trimestriel</t>
  </si>
  <si>
    <t>,</t>
  </si>
  <si>
    <t>Facturation test</t>
  </si>
  <si>
    <t xml:space="preserve">La facture doit être envoyée par courrier électronique uniquement à l'adresse email : </t>
  </si>
  <si>
    <t>Paris - Gare Rosa Parks - Crimée</t>
  </si>
  <si>
    <t>S021P - 2</t>
  </si>
  <si>
    <t>Lille - Grand Palais - Président Hoover</t>
  </si>
  <si>
    <t>0090</t>
  </si>
  <si>
    <t>Avignon - Gare d'Avignon centre - Novotel</t>
  </si>
  <si>
    <t xml:space="preserve"> Facturation Mensuelle (M) / Trimestriel (T) ?</t>
  </si>
  <si>
    <t>a.morille@anjouloireterritoire.fr</t>
  </si>
  <si>
    <t>cdjemaa@aream.fr; rsengchanh@aream.fr</t>
  </si>
  <si>
    <t>airparkingdegriff@orange.fr</t>
  </si>
  <si>
    <t>manager.roissy@campanile.fr</t>
  </si>
  <si>
    <t>comptable.suresnes@campanile.fr</t>
  </si>
  <si>
    <t>anael.martiny@citadines.com; aurelie.adrover@citadines.com</t>
  </si>
  <si>
    <t>fabienne.higele@citadines.com; adrien.sardin@the-ascott.com</t>
  </si>
  <si>
    <t>JBertrand@hotel-montparnasse.com</t>
  </si>
  <si>
    <t>brigitte.petain@efidis.fr; mriquelme@efidis.fr</t>
  </si>
  <si>
    <t>csallaz@oph74.fr; CPessey@oph74.fr</t>
  </si>
  <si>
    <t>HPL</t>
  </si>
  <si>
    <t>h2602-re@accor.com</t>
  </si>
  <si>
    <t>Steve.POTREL@alliance-hospitality.com ; Igor.KITANOVIC@alliance-hospitality.com</t>
  </si>
  <si>
    <t>thierry.vandenheede@groupe3f.fr</t>
  </si>
  <si>
    <t>sylvain.capitani@groupe3f.fr ; matthieu.chassagnard@groupe3f.fr ; francois.freville@groupe3f.fr ; sandrine.texereau@groupe3f.fr</t>
  </si>
  <si>
    <t xml:space="preserve">LOGIREM </t>
  </si>
  <si>
    <t>marionbaumann@ferre-hotels.fr</t>
  </si>
  <si>
    <t>jeanfrancois.gellie@parishabitat.fr</t>
  </si>
  <si>
    <t>progaz.plombier@hotmail.fr</t>
  </si>
  <si>
    <t>Anthony.MARECAT@sia-habitat.com</t>
  </si>
  <si>
    <t>kmagnin@groupesni.fr ; BCENSE@groupesni.fr ; cboulant@groupesni.fr ; TMARIE@groupesni.fr</t>
  </si>
  <si>
    <t>h0912-gl1@sofitel.com</t>
  </si>
  <si>
    <t>julien.ganier@swisslife-reim.fr ; ralph.pany@swisslife-reim.fr : Cecile.DESCOLIS@swisslife-reim.fr</t>
  </si>
  <si>
    <t>NAC</t>
  </si>
  <si>
    <t>20 Boulevard Saint-Roch</t>
  </si>
  <si>
    <t>84000 Avignon</t>
  </si>
  <si>
    <t>Marie Lanciaux</t>
  </si>
  <si>
    <t>h7571-gl@accor.com</t>
  </si>
  <si>
    <t>infos@adonis-residence-carcassonne.com ; hebergement@adonis-paris-sud.com ; lferrari@adonis-hotel.com</t>
  </si>
  <si>
    <t>hebergement@adonis-paris-sud.com ; lferrari@adonis-hotel.com</t>
  </si>
  <si>
    <t>Alter Cités</t>
  </si>
  <si>
    <r>
      <t>gianfranco.floris@appartcity.com</t>
    </r>
    <r>
      <rPr>
        <sz val="12"/>
        <color rgb="FF333333"/>
        <rFont val="Calibri"/>
        <family val="2"/>
      </rPr>
      <t> ; </t>
    </r>
    <r>
      <rPr>
        <sz val="12"/>
        <color rgb="FF3572B0"/>
        <rFont val="Calibri"/>
        <family val="2"/>
      </rPr>
      <t>celia.garah@appartcity.com</t>
    </r>
    <r>
      <rPr>
        <sz val="12"/>
        <color rgb="FF333333"/>
        <rFont val="Calibri"/>
        <family val="2"/>
      </rPr>
      <t> ; </t>
    </r>
    <r>
      <rPr>
        <sz val="12"/>
        <color rgb="FF3572B0"/>
        <rFont val="Calibri"/>
        <family val="2"/>
      </rPr>
      <t>sanah.lakhdi@appartcity.com</t>
    </r>
  </si>
  <si>
    <t>Appart'City Lyon Perache</t>
  </si>
  <si>
    <t>Appart'City Lyon Villette</t>
  </si>
  <si>
    <t>Appart'City Perpignan</t>
  </si>
  <si>
    <t>Aralis</t>
  </si>
  <si>
    <t>Aream Property</t>
  </si>
  <si>
    <t>Attentifimmo</t>
  </si>
  <si>
    <t>Batigere Mulhouse</t>
  </si>
  <si>
    <t> Odile.STORCK@batigere.fr ; Agnes.COLLIN@batigere.fr ; marie.trottier@batigere.fr</t>
  </si>
  <si>
    <t>Batigere Nancy</t>
  </si>
  <si>
    <t>Agnes.COLLIN@batigere.fr ; marie.trottier@batigere.fr</t>
  </si>
  <si>
    <t>Batigere Strasbourg</t>
  </si>
  <si>
    <t>thierry.kuhn@batigere.fr ; Agnes.COLLIN@batigere.fr ; marie.trottier@batigere.fr</t>
  </si>
  <si>
    <t>Campanile Nanterre</t>
  </si>
  <si>
    <t>Campanile Bobigny</t>
  </si>
  <si>
    <t>Campanile La Villette</t>
  </si>
  <si>
    <t>CCN Poterie et Brossolette</t>
  </si>
  <si>
    <t>Citadines Genève</t>
  </si>
  <si>
    <t>Citadines Montpellier</t>
  </si>
  <si>
    <t>Citadines Austerlitz</t>
  </si>
  <si>
    <t>Citadines Bastille Gare de Lyon</t>
  </si>
  <si>
    <t>Citadines Montmartre</t>
  </si>
  <si>
    <t>Citadines République</t>
  </si>
  <si>
    <t>Citadines Saint-Germain</t>
  </si>
  <si>
    <t>Citadines Tour Eiffel</t>
  </si>
  <si>
    <t>Citadines Trocadéro</t>
  </si>
  <si>
    <t>Citadines Toulouse</t>
  </si>
  <si>
    <t>City Residence Nantes</t>
  </si>
  <si>
    <t>vanessa.grondin@pierreval.com ; noemie.faustinleybach@pierreval.com</t>
  </si>
  <si>
    <t>afrancomme@cogestra.fr ; sferrand@cogestra.fr</t>
  </si>
  <si>
    <t>Comfort Suite Annemasse</t>
  </si>
  <si>
    <t>Efidis Hauts de Seine</t>
  </si>
  <si>
    <t>brigitte.petain@efidis.fr ; mriquelme@efidis.fr</t>
  </si>
  <si>
    <t>PS.BORROT@elogie-siemp.paris ; L.QUESNEL@elogie-siemp.paris</t>
  </si>
  <si>
    <t>Erigere</t>
  </si>
  <si>
    <t>v.coupanec@grandlyonhabitat.fr; e.laily@grandlyonhabitat.fr</t>
  </si>
  <si>
    <t>hugues.deffenain@hotelbb.com ; bb_4590@hotelbb.com</t>
  </si>
  <si>
    <t>Hôtel Elysée Serris</t>
  </si>
  <si>
    <r>
      <t>Veronique.garnault@hotelelysee.com</t>
    </r>
    <r>
      <rPr>
        <sz val="12"/>
        <color rgb="FF333333"/>
        <rFont val="Calibri"/>
        <family val="2"/>
      </rPr>
      <t xml:space="preserve"> ; </t>
    </r>
    <r>
      <rPr>
        <sz val="12"/>
        <color rgb="FF3572B0"/>
        <rFont val="Calibri"/>
        <family val="2"/>
      </rPr>
      <t>Camilla.cuccuru@hotelelysee.com</t>
    </r>
  </si>
  <si>
    <t>salemaouami@hotelseurop.com ; info@hotelprincedeliege.be</t>
  </si>
  <si>
    <t>Ibis Budget Bry sur Marne</t>
  </si>
  <si>
    <t>Ibis Budget Nanterre</t>
  </si>
  <si>
    <t>Ibis Budget Aubervilliers</t>
  </si>
  <si>
    <t>Ibis Budget Porte d'Italie Est</t>
  </si>
  <si>
    <t>Ibis Budget Porte d'Italie Ouest</t>
  </si>
  <si>
    <t>Ibis Budget Porte de Montmartre</t>
  </si>
  <si>
    <t>Ibis Budget Porte de Pantin</t>
  </si>
  <si>
    <t>Ibis Budget Porte de Vanves</t>
  </si>
  <si>
    <t>Ibis Marseille Calanques</t>
  </si>
  <si>
    <t>Ibis Styles Porte d'Orléans</t>
  </si>
  <si>
    <t xml:space="preserve">sandrine.texereau@groupe3f.fr; </t>
  </si>
  <si>
    <t>Kyriad Le Bourget</t>
  </si>
  <si>
    <t>Les Estudines Lille</t>
  </si>
  <si>
    <t>Les Estudines Metz</t>
  </si>
  <si>
    <t>cedric.david@lmh.fr ; Mickael.SZWARC@lmh.fr</t>
  </si>
  <si>
    <t>Mercure Bordeaux</t>
  </si>
  <si>
    <t>h7385-gm@accor.com ; beatricedolley@ferre-hotels.fr</t>
  </si>
  <si>
    <t>Mercure Centre Rennes</t>
  </si>
  <si>
    <t>Mercure Nancy</t>
  </si>
  <si>
    <t>Mercure Porte de Saint-Ouen</t>
  </si>
  <si>
    <t>Mercure Porte de St Cloud</t>
  </si>
  <si>
    <t>Mercure Reims</t>
  </si>
  <si>
    <t>H1248-GM@accor.com ; h1248-rd@accor.com</t>
  </si>
  <si>
    <t>Neotoa</t>
  </si>
  <si>
    <t>Mme Vanessa Grondin</t>
  </si>
  <si>
    <t>iboishardy@nexity.fr ; sdendani@nexity.fr ; skrim@nexity.fr ; amollet@nexity.fr ; lxamblard@nexity.fr</t>
  </si>
  <si>
    <t>M. Alain Bouchat</t>
  </si>
  <si>
    <t xml:space="preserve"> a.bouchat@nh-hotels.com; j.mathelart@nh-hotels.com</t>
  </si>
  <si>
    <t>Novotel Nantes</t>
  </si>
  <si>
    <t>Novotel Avignon</t>
  </si>
  <si>
    <t>Odalys Aix Le Tholonet</t>
  </si>
  <si>
    <t>Odalys Aix Les Floridianes</t>
  </si>
  <si>
    <t>Odalys Marseille</t>
  </si>
  <si>
    <t>OPH de Bobigny</t>
  </si>
  <si>
    <t>Patrimoine SA</t>
  </si>
  <si>
    <t>Perial - PFO2 - PF1</t>
  </si>
  <si>
    <t>Mme Laetitia Rivron</t>
  </si>
  <si>
    <t>laetitia.rivron@perial.com</t>
  </si>
  <si>
    <t>Pullman La Défense</t>
  </si>
  <si>
    <t>Pullman Toulouse</t>
  </si>
  <si>
    <t>estelle.diaz@accor.com ; H1091@accor.com</t>
  </si>
  <si>
    <t>Quality Suites Bordeaux</t>
  </si>
  <si>
    <t>Hugo.Eggenschwiller@rivp.fr ; Estelle.Vidal@rivp.fr</t>
  </si>
  <si>
    <t>Mme Cécile ROMÉ</t>
  </si>
  <si>
    <t>C.ROME@saemes.fr ; S.TABUREL@saemes.fr</t>
  </si>
  <si>
    <t>as.bonamy@adi-promotion.fr ; s.guerin@adi-promotion.fr</t>
  </si>
  <si>
    <t>Société Lorraine Habitat Nancy</t>
  </si>
  <si>
    <t>SOLIME</t>
  </si>
  <si>
    <t>Somnoo Ibis Colmar</t>
  </si>
  <si>
    <t>Mme Emmanuelle Kaufoltz</t>
  </si>
  <si>
    <t>h5079-re@accor.com ; tanguy.steinmyller@somnoo.com</t>
  </si>
  <si>
    <t>Mme Sibdella Keller</t>
  </si>
  <si>
    <t>Somnoo Mercure Cergy</t>
  </si>
  <si>
    <t>M. Thierry Taleb</t>
  </si>
  <si>
    <t>Mme Océane Ducruet</t>
  </si>
  <si>
    <t>annecycrangevrier@premiereclasse.fr ; tanguy.steinmyller@somnoo.com</t>
  </si>
  <si>
    <t>Study O Bordeaux</t>
  </si>
  <si>
    <t>Faire apparaître le code de l'immeuble suivant sur la facture : MS26617</t>
  </si>
  <si>
    <t>Villa Soleil</t>
  </si>
  <si>
    <t>AB Parcs Charenton</t>
  </si>
  <si>
    <t>2018-07</t>
  </si>
  <si>
    <t>AB Parcs Sentier</t>
  </si>
  <si>
    <t>AEREL</t>
  </si>
  <si>
    <t>Paris - Aéroport Roissy - AEREL</t>
  </si>
  <si>
    <t>Limoges - Pont de la Révolution</t>
  </si>
  <si>
    <t>Appart'City Marseille</t>
  </si>
  <si>
    <t>Appart'City Montpellier</t>
  </si>
  <si>
    <t>Clarion Suites Cannes</t>
  </si>
  <si>
    <t>EFIDIS Hauts de Seine</t>
  </si>
  <si>
    <t>Saint-Denis - Basilique Saint-Denis - Commune de Paris</t>
  </si>
  <si>
    <t>4018</t>
  </si>
  <si>
    <t>Montpellier - Près d'Arènes - Mas d'Argelliers</t>
  </si>
  <si>
    <t>Guyancourt - Gymnase de l'aviation</t>
  </si>
  <si>
    <t>2154P</t>
  </si>
  <si>
    <t>Rouen - Pasteur - Madeleine</t>
  </si>
  <si>
    <t>7196P</t>
  </si>
  <si>
    <t>Le Mée-sur-Seine - Gare du Mée - Mairie</t>
  </si>
  <si>
    <t>B175P</t>
  </si>
  <si>
    <t>Novotel Montreuil Vincennes</t>
  </si>
  <si>
    <t>Parking Services</t>
  </si>
  <si>
    <t>Marseille - Aéroport Marseille Provence - PS - Service voiturier</t>
  </si>
  <si>
    <t>Marseille - Gare Saint-Charles - PS - Service Voiturier</t>
  </si>
  <si>
    <t>Lyon - Vaise - Navigation</t>
  </si>
  <si>
    <t>Alfortville - Hôtel de ville - Quai Blanqui</t>
  </si>
  <si>
    <t>Lyon - Mairie Lyon 8 - Jean Mermoz</t>
  </si>
  <si>
    <t>gianfranco.floris@appartcity.com ; celia.garah@appartcity.com ; sanah.lakhdi@appartcity.com</t>
  </si>
  <si>
    <t>FR04 3000 2081 2400 0006 10020 Z64</t>
  </si>
  <si>
    <t>facuration@zenpark.com</t>
  </si>
  <si>
    <t>Mme Camilla Cuccuru</t>
  </si>
  <si>
    <t>AER</t>
  </si>
  <si>
    <t xml:space="preserve">
Épiais-lès-Louvres 95380</t>
  </si>
  <si>
    <t xml:space="preserve">2 Chemin du Prieuré
</t>
  </si>
  <si>
    <t>M.Jean-Michel Duru</t>
  </si>
  <si>
    <t>aerel.parking@gmail.com</t>
  </si>
  <si>
    <t>steeven.sanna@gmail.com</t>
  </si>
  <si>
    <t>Steeven Sanna</t>
  </si>
  <si>
    <t>PSE</t>
  </si>
  <si>
    <t>29 Avenue Edouard Vaillant</t>
  </si>
  <si>
    <t>Marseille 13003</t>
  </si>
  <si>
    <t>FR76 1009 6182 8100 0925 1400 191</t>
  </si>
  <si>
    <t>H9401-BO@accor.com</t>
  </si>
  <si>
    <t>Mme. Anne-Sophie BONAMY</t>
  </si>
  <si>
    <t>M. Jeremie Garcia</t>
  </si>
  <si>
    <t>p.erignoux@ccn.fr</t>
  </si>
  <si>
    <t>Mr.Philippe Erignoux</t>
  </si>
  <si>
    <t>2018-08</t>
  </si>
  <si>
    <t>Grenoble - Quai Paul Louis Merlin</t>
  </si>
  <si>
    <t>ANTIN 78/92/91</t>
  </si>
  <si>
    <t>Poissy - Clos d’Arcy - Madeleine Chartier</t>
  </si>
  <si>
    <t>Cité Nouvelle</t>
  </si>
  <si>
    <t>Saint-Étienne - Centre Deux - Square Antoine Viallard</t>
  </si>
  <si>
    <t>Saint-Étienne - Gare St-Étienne Bellevue - Passementiers</t>
  </si>
  <si>
    <t>Saint-Étienne - Gare St-Étienne Carnot - Cité du Design</t>
  </si>
  <si>
    <t>Nantes - Campus de la Chantrerie</t>
  </si>
  <si>
    <t>Easypark 31</t>
  </si>
  <si>
    <t>Toulouse - Aéroport Blagnac - Easypark 31</t>
  </si>
  <si>
    <t>Paris - Gare d'Austerlitz - SAEMES</t>
  </si>
  <si>
    <t>Paris - Haussmann Berri - SAEMES</t>
  </si>
  <si>
    <t>Fimare</t>
  </si>
  <si>
    <t>Lille - Caulier - Vinaigrerie</t>
  </si>
  <si>
    <t>Courcouronnes - Square de la Borne</t>
  </si>
  <si>
    <t>2118P</t>
  </si>
  <si>
    <t>Epinay-sur-Orge - Gare</t>
  </si>
  <si>
    <t>T751P</t>
  </si>
  <si>
    <t>Issy-les-Moulineaux - Verdun - Gare d'Issy</t>
  </si>
  <si>
    <t>3525P</t>
  </si>
  <si>
    <t>Maurepas - Palais des sports d'Elancourt</t>
  </si>
  <si>
    <t>S040P</t>
  </si>
  <si>
    <t>Paris - Beaugrenelle - Charles Michels</t>
  </si>
  <si>
    <t>1174P</t>
  </si>
  <si>
    <t>Paris - Gare Vaugirard - Institut Pasteur</t>
  </si>
  <si>
    <t>1242P</t>
  </si>
  <si>
    <t>Immobilière Midi-Pyrénées</t>
  </si>
  <si>
    <t>Toulouse - Minimes - Barrière-de-Paris</t>
  </si>
  <si>
    <t>Paris - Porte d'Ivry - Olympiades</t>
  </si>
  <si>
    <t>Paris - Aéroport Beauvais-Tillé-Z1</t>
  </si>
  <si>
    <t>2040324</t>
  </si>
  <si>
    <t>Montreuil - Villiers Barbusse - Victor Beausse</t>
  </si>
  <si>
    <t>118</t>
  </si>
  <si>
    <t>Genève Aéroport - Z2</t>
  </si>
  <si>
    <t>Partenord Habitat</t>
  </si>
  <si>
    <t>Lille - Grand Palais - Rachel Lempereur</t>
  </si>
  <si>
    <t>117RueRachelLempereurLille</t>
  </si>
  <si>
    <t>Toulouse - Croix-Daurade - Général Pelet</t>
  </si>
  <si>
    <t>294</t>
  </si>
  <si>
    <t>RESAPARK</t>
  </si>
  <si>
    <t>Paris - Aéroport Beauvais - Resapark</t>
  </si>
  <si>
    <t>Société Immobilière Siberchicot</t>
  </si>
  <si>
    <t>Rueil Malmaison - Hôpital Stell - Mermoz</t>
  </si>
  <si>
    <t>Lyon - Bachut - Mairie du 8ème</t>
  </si>
  <si>
    <t>Paris - Hôpital Saint-Louis - Colonel Fabien</t>
  </si>
  <si>
    <t>Paris - Hôpital Saint-Louis - Grange aux Belles</t>
  </si>
  <si>
    <t>FIM</t>
  </si>
  <si>
    <t>Mr Marc DE MEYER</t>
  </si>
  <si>
    <t>mdemeyer@octa-architecture.fr</t>
  </si>
  <si>
    <t xml:space="preserve">2eme année et au delà </t>
  </si>
  <si>
    <t>27 boulevard Vauban</t>
  </si>
  <si>
    <t>Lille 59020</t>
  </si>
  <si>
    <t>KNG</t>
  </si>
  <si>
    <t>50 rue du disque</t>
  </si>
  <si>
    <t>Paris 75013</t>
  </si>
  <si>
    <t>M.Ghazal Brunel</t>
  </si>
  <si>
    <t>brunel.ghazal@gmail.com</t>
  </si>
  <si>
    <t>KONG</t>
  </si>
  <si>
    <t>ESK</t>
  </si>
  <si>
    <t>M.Idriss Fontaine</t>
  </si>
  <si>
    <t>bookyourtrip.toulouse@gmail.com</t>
  </si>
  <si>
    <t>7 rue Émile Dewoitine</t>
  </si>
  <si>
    <t>Cornebarrieu 31700</t>
  </si>
  <si>
    <t>FR03 2004 1010 0914 2817 2G03 097</t>
  </si>
  <si>
    <t>PSSTFRPPMON</t>
  </si>
  <si>
    <t>46 rue Princesse</t>
  </si>
  <si>
    <t>Lille 59800</t>
  </si>
  <si>
    <t>2 Rue Alcide de Gasperi</t>
  </si>
  <si>
    <t>Beauvais 60000</t>
  </si>
  <si>
    <t>hakimelaiyate@gmail.com</t>
  </si>
  <si>
    <t>M.Hakim El Aiyate</t>
  </si>
  <si>
    <t>RSP</t>
  </si>
  <si>
    <t>TVA Applicable</t>
  </si>
  <si>
    <t>2eme année d'exploitation et au-delà : 0.35 ou 0.3 si au minimum 10 parkings en exploitation</t>
  </si>
  <si>
    <t>M.Julien MICHEL</t>
  </si>
  <si>
    <t>jmichel@partenordhabitat.fr</t>
  </si>
  <si>
    <t>Liste des partenaires Mensuel et CA&gt;0</t>
  </si>
  <si>
    <t>Mettre à jour les listes --&gt; 4</t>
  </si>
  <si>
    <t>2018-09</t>
  </si>
  <si>
    <t>25 Boulevard Rabatau</t>
  </si>
  <si>
    <t>Marseille 13008</t>
  </si>
  <si>
    <t>FR05 3000 2028 3600 0023 0282 N43</t>
  </si>
  <si>
    <t xml:space="preserve">M </t>
  </si>
  <si>
    <t>resa@adonis-residence-labaule.fr ; lferrari@adonis-hotel.com</t>
  </si>
  <si>
    <t>T (Mandat de facturation)</t>
  </si>
  <si>
    <t>CA du mois</t>
  </si>
  <si>
    <t>ANTIN</t>
  </si>
  <si>
    <t>Mandat de facturation</t>
  </si>
  <si>
    <t>Mois concerné</t>
  </si>
  <si>
    <t>Service Facturation.</t>
  </si>
  <si>
    <r>
      <t xml:space="preserve">Contactez-nous sur : </t>
    </r>
    <r>
      <rPr>
        <u/>
        <sz val="12"/>
        <color rgb="FF000000"/>
        <rFont val="Calibri (Corps)"/>
      </rPr>
      <t>facturation@zenpark.com</t>
    </r>
    <r>
      <rPr>
        <sz val="12"/>
        <color indexed="8"/>
        <rFont val="Calibri"/>
        <family val="2"/>
        <scheme val="minor"/>
      </rPr>
      <t xml:space="preserve"> si vous ne disposez pas d'identifiants</t>
    </r>
  </si>
  <si>
    <t>La Baule-Escoublac - Atlantia - Palais des Congrès</t>
  </si>
  <si>
    <t>Montlhéry - Place de l'Europe - Centre</t>
  </si>
  <si>
    <t>Toulouse - Aéroport Blagnac-Z1 Service Voiturier</t>
  </si>
  <si>
    <t>Saint-Denis - Stade de France - Centre Cardiologique</t>
  </si>
  <si>
    <t>Saint-Étienne - St-Étienne Centre - Hôtel de ville</t>
  </si>
  <si>
    <t>Saint-Étienne - St-Étienne Centre - Jean Moulin</t>
  </si>
  <si>
    <t>Saint-Étienne - St-Étienne Préfecture - Place Jacquard</t>
  </si>
  <si>
    <t>Viry-Châtillon - Théâtre de l'Envol</t>
  </si>
  <si>
    <t>La Garenne-Colombes - Centre Garenne-Colombes - Jean Bonal</t>
  </si>
  <si>
    <t>7901</t>
  </si>
  <si>
    <t>Sannois - Gare de Sannois - Jules Ferry</t>
  </si>
  <si>
    <t>7850</t>
  </si>
  <si>
    <t>Déville-lès-Rouen - Mairie - Gambetta</t>
  </si>
  <si>
    <t>1778P (parking extérieur)</t>
  </si>
  <si>
    <t>1778P (parking intérieur)</t>
  </si>
  <si>
    <t>Immobilière 3F Seine et Marne</t>
  </si>
  <si>
    <t>Toulouse - Bordeblanche</t>
  </si>
  <si>
    <t>L'institut Catholique de Lille</t>
  </si>
  <si>
    <t>Capinghem - Hôpital Saint-Philibert - Luther King</t>
  </si>
  <si>
    <t>Marseille - Hôpital Européen - Désirée Clary</t>
  </si>
  <si>
    <t>Marseille - Hôpital Européen - Place de Strasbourg</t>
  </si>
  <si>
    <t>En attente Bizdev</t>
  </si>
  <si>
    <t>Le Mans - Centre-Ville - Préfecture</t>
  </si>
  <si>
    <t>Neolia</t>
  </si>
  <si>
    <t>Strasbourg - Parlement Européen - Kléber</t>
  </si>
  <si>
    <t>Montreuil - Mairie de Montreuil - Pasteur</t>
  </si>
  <si>
    <t>85</t>
  </si>
  <si>
    <t>Montreuil - Palais des Congrès Paris-Est - Robespierre</t>
  </si>
  <si>
    <t>5178</t>
  </si>
  <si>
    <t>Radisson Blue Lyon Part Dieu</t>
  </si>
  <si>
    <t>Lyon - Tour Part-Dieu - Radisson Blu</t>
  </si>
  <si>
    <t>Bergerac - Aéroport de Bergerac-Dordogne</t>
  </si>
  <si>
    <t>CNE</t>
  </si>
  <si>
    <t>13 Place Jean Jaurès</t>
  </si>
  <si>
    <t>Saint-Étienne 42000</t>
  </si>
  <si>
    <t>Mme Francoise Vincent</t>
  </si>
  <si>
    <t>francoise.vincent@citenouvelle.fr</t>
  </si>
  <si>
    <t>FR76 3000 4019 3300 0101 0787 010</t>
  </si>
  <si>
    <t>Bruxelles - Stade Roi Baudouin - Cité Modèle</t>
  </si>
  <si>
    <t>Bry-sur-Marne - Europe</t>
  </si>
  <si>
    <t>La Madeleine - Cimetière de l'Est</t>
  </si>
  <si>
    <t>La Courneuve - Stade - Général Leclerc</t>
  </si>
  <si>
    <t>Paris - Aéroport Roissy-Louvres</t>
  </si>
  <si>
    <t>Paris - Hôpital Sainte-Anne - Rue de la Santé</t>
  </si>
  <si>
    <t>HAS</t>
  </si>
  <si>
    <t>Paris - Bibliothèque François Mitterrand - Tolbiac</t>
  </si>
  <si>
    <t>Paris - Gare Saint-Lazare - Haussmann</t>
  </si>
  <si>
    <t>PARTENAIRES / MOIS</t>
  </si>
  <si>
    <t>SEPTEMBRE TTC</t>
  </si>
  <si>
    <t>Factures non reçues</t>
  </si>
  <si>
    <t>Factures reçues</t>
  </si>
  <si>
    <t>Factures trimestre</t>
  </si>
  <si>
    <t>NLA</t>
  </si>
  <si>
    <t>Mme Pauline Drobny</t>
  </si>
  <si>
    <t>pdrobny@neolia.fr</t>
  </si>
  <si>
    <t xml:space="preserve">34 rue de la Come aux Biches </t>
  </si>
  <si>
    <t>25200 Montbéliard</t>
  </si>
  <si>
    <t>taux flexible</t>
  </si>
  <si>
    <t>40% horraire et 30% Abonnements</t>
  </si>
  <si>
    <t>ERILIA</t>
  </si>
  <si>
    <t>ANT</t>
  </si>
  <si>
    <t>CHA</t>
  </si>
  <si>
    <t>DOM</t>
  </si>
  <si>
    <t>59 rue de Provence</t>
  </si>
  <si>
    <t>M. Florent Grostefan</t>
  </si>
  <si>
    <t>florent.grostefan@groupe-arcade.com</t>
  </si>
  <si>
    <t>33 rue de France</t>
  </si>
  <si>
    <t>94300 Vincennes</t>
  </si>
  <si>
    <t>Service Comptabilité
44, rue Saint Charles BP 575</t>
  </si>
  <si>
    <t>75726 Paris Cedex 15</t>
  </si>
  <si>
    <t>Alexandra DELUMEAU</t>
  </si>
  <si>
    <t>Naziha.KAID@domaxis.fr alexandra.delumeau@domaxis.fr</t>
  </si>
  <si>
    <t>72 bis rue Perrin Solliers</t>
  </si>
  <si>
    <t>13291 Marseille Cedex 6</t>
  </si>
  <si>
    <t>Mme Noémie Dompeyre</t>
  </si>
  <si>
    <t>noemie.dompeyre@erilia.fr</t>
  </si>
  <si>
    <t>N/A</t>
  </si>
  <si>
    <t xml:space="preserve">A partir de la 2ème année d'exploitation du parking </t>
  </si>
  <si>
    <t xml:space="preserve">
FR76 1751 5900 0008 2545 2832 941</t>
  </si>
  <si>
    <t>FR76 1751 5900 0008 0694 5313 742</t>
  </si>
  <si>
    <t>FR76 1010 7001 1800 5202 8334 388</t>
  </si>
  <si>
    <t>FR26 2004 1010 0806 2284 9Z02 939</t>
  </si>
  <si>
    <t>Mandat de facturation - RMG (voir contrat)</t>
  </si>
  <si>
    <t>Mandat de facturation -</t>
  </si>
  <si>
    <t xml:space="preserve">Mandat de facturation </t>
  </si>
  <si>
    <t>Mandat de facturation - Envoi mensuel d’une facture (par email + courrier) des revenus du service et un relevé détaillé par parking (le code HP doit être indiqué). A compter de la date d’envoi de la facture, Zenpark realise l’operation de mise en paiement à 30 jours par viremetn bancaire.</t>
  </si>
  <si>
    <t>Mandat de facturation - Participation à la consommation électrique. 50€ TTC/parking/an
12,50€ TTC/parking/trimestre</t>
  </si>
  <si>
    <t>Mandat de facturation - Échéancier de facturation</t>
  </si>
  <si>
    <t>Mois de Facturation</t>
  </si>
  <si>
    <t>Nom partenaire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</si>
</sst>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€&quot;_-;\-* #,##0.00\ &quot;€&quot;_-;_-* &quot;-&quot;??\ &quot;€&quot;_-;_-@_-"/>
    <numFmt numFmtId="164" formatCode="&quot;€&quot;\-\2\ 0.00"/>
    <numFmt numFmtId="165" formatCode="yymmdd"/>
    <numFmt numFmtId="166" formatCode="d\-mmm\-yyyy"/>
    <numFmt numFmtId="167" formatCode="#,##0.00&quot;€&quot;;[Red]#,##0.00&quot;€&quot;"/>
    <numFmt numFmtId="168" formatCode="#,##0.00\ &quot;€&quot;"/>
    <numFmt numFmtId="169" formatCode="#,##0.00\ &quot;€&quot;;[Red]#,##0.00\ &quot;€&quot;"/>
    <numFmt numFmtId="170" formatCode="[$-40C]mmm\-yy;@"/>
    <numFmt numFmtId="171" formatCode="yyyy\-mm\-dd;@"/>
    <numFmt numFmtId="172" formatCode="_-* #,##0.00\ [$€-40C]_-;\-* #,##0.00\ [$€-40C]_-;_-* &quot;-&quot;??\ [$€-40C]_-;_-@_-"/>
    <numFmt numFmtId="173" formatCode="[$-40C]mmmm\-yy;@"/>
  </numFmts>
  <fonts count="78">
    <font>
      <sz val="12"/>
      <color indexed="8"/>
      <name val="Verdana"/>
    </font>
    <font>
      <sz val="10"/>
      <color indexed="8"/>
      <name val="Helvetica Neue Light"/>
    </font>
    <font>
      <b/>
      <sz val="10"/>
      <color indexed="23"/>
      <name val="Helvetica Neue"/>
      <family val="2"/>
    </font>
    <font>
      <sz val="8"/>
      <color indexed="8"/>
      <name val="Verdana"/>
      <family val="2"/>
    </font>
    <font>
      <sz val="9"/>
      <color indexed="8"/>
      <name val="Helvetica Neue Medium"/>
    </font>
    <font>
      <sz val="9"/>
      <color indexed="8"/>
      <name val="Verdana"/>
      <family val="2"/>
    </font>
    <font>
      <sz val="12"/>
      <color indexed="8"/>
      <name val="Calibri"/>
      <family val="2"/>
    </font>
    <font>
      <b/>
      <sz val="12"/>
      <color indexed="8"/>
      <name val="Calibri"/>
      <family val="2"/>
    </font>
    <font>
      <sz val="11"/>
      <color indexed="54"/>
      <name val="Calibri"/>
      <family val="2"/>
    </font>
    <font>
      <sz val="11"/>
      <color indexed="8"/>
      <name val="Calibri"/>
      <family val="2"/>
    </font>
    <font>
      <sz val="10"/>
      <name val="Helvetica Neue Light"/>
    </font>
    <font>
      <sz val="12"/>
      <name val="Verdana"/>
      <family val="2"/>
    </font>
    <font>
      <u/>
      <sz val="12"/>
      <color theme="10"/>
      <name val="Verdana"/>
      <family val="2"/>
    </font>
    <font>
      <u/>
      <sz val="12"/>
      <color theme="11"/>
      <name val="Verdana"/>
      <family val="2"/>
    </font>
    <font>
      <b/>
      <sz val="11"/>
      <color rgb="FFFFFFFF"/>
      <name val="Calibri"/>
      <family val="2"/>
    </font>
    <font>
      <sz val="12"/>
      <color indexed="8"/>
      <name val="Calibri"/>
      <family val="2"/>
      <scheme val="minor"/>
    </font>
    <font>
      <b/>
      <sz val="22"/>
      <color indexed="23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sz val="14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2"/>
      <color indexed="8"/>
      <name val="Calibri (Corps)"/>
    </font>
    <font>
      <sz val="10"/>
      <color indexed="8"/>
      <name val="Calibri"/>
      <family val="2"/>
      <scheme val="minor"/>
    </font>
    <font>
      <u/>
      <sz val="10"/>
      <color rgb="FF0070C0"/>
      <name val="Calibri"/>
      <family val="2"/>
      <scheme val="minor"/>
    </font>
    <font>
      <b/>
      <sz val="11"/>
      <color indexed="8"/>
      <name val="Calibri"/>
      <family val="2"/>
    </font>
    <font>
      <sz val="8"/>
      <name val="Verdana"/>
      <family val="2"/>
    </font>
    <font>
      <b/>
      <sz val="14"/>
      <color indexed="23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b/>
      <sz val="12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name val="Calibri"/>
      <family val="2"/>
    </font>
    <font>
      <sz val="11"/>
      <name val="Verdana"/>
      <family val="2"/>
    </font>
    <font>
      <sz val="12"/>
      <color theme="0"/>
      <name val="Calibri"/>
      <family val="2"/>
    </font>
    <font>
      <sz val="12"/>
      <color theme="0"/>
      <name val="Verdana"/>
      <family val="2"/>
    </font>
    <font>
      <b/>
      <sz val="11"/>
      <color theme="0"/>
      <name val="Calibri"/>
      <family val="2"/>
    </font>
    <font>
      <sz val="12"/>
      <name val="Calibri"/>
      <family val="2"/>
      <scheme val="minor"/>
    </font>
    <font>
      <b/>
      <sz val="12"/>
      <color theme="0"/>
      <name val="Calibri"/>
      <family val="2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</font>
    <font>
      <u/>
      <sz val="11"/>
      <color indexed="8"/>
      <name val="Calibri (Corps)"/>
    </font>
    <font>
      <sz val="11"/>
      <color indexed="8"/>
      <name val="Verdana"/>
      <family val="2"/>
    </font>
    <font>
      <sz val="11"/>
      <color theme="0"/>
      <name val="Calibri"/>
      <family val="2"/>
    </font>
    <font>
      <sz val="12"/>
      <color theme="0"/>
      <name val="Calibri"/>
      <family val="2"/>
      <scheme val="minor"/>
    </font>
    <font>
      <b/>
      <sz val="14"/>
      <color indexed="8"/>
      <name val="Calibri"/>
      <family val="2"/>
    </font>
    <font>
      <i/>
      <sz val="12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indexed="8"/>
      <name val="Calibri"/>
      <family val="2"/>
    </font>
    <font>
      <sz val="10"/>
      <color theme="1"/>
      <name val="Calibri"/>
      <family val="2"/>
    </font>
    <font>
      <b/>
      <sz val="12"/>
      <name val="Verdana"/>
      <family val="2"/>
    </font>
    <font>
      <sz val="11"/>
      <name val="Calibri"/>
      <family val="2"/>
      <scheme val="minor"/>
    </font>
    <font>
      <sz val="12"/>
      <name val="Calibri (Corps)_x0000_"/>
    </font>
    <font>
      <sz val="11"/>
      <name val="Calibri (Corps)_x0000_"/>
    </font>
    <font>
      <sz val="12"/>
      <color rgb="FF000000"/>
      <name val="Verdana"/>
      <family val="2"/>
    </font>
    <font>
      <sz val="12"/>
      <color rgb="FF333333"/>
      <name val="Calibri"/>
      <family val="2"/>
    </font>
    <font>
      <sz val="12"/>
      <color rgb="FF3572B0"/>
      <name val="Calibri"/>
      <family val="2"/>
    </font>
    <font>
      <b/>
      <sz val="12"/>
      <color theme="4"/>
      <name val="Calibri"/>
      <family val="2"/>
      <scheme val="minor"/>
    </font>
    <font>
      <b/>
      <sz val="12"/>
      <color theme="4"/>
      <name val="Calibri"/>
      <family val="2"/>
    </font>
    <font>
      <sz val="12"/>
      <color indexed="8"/>
      <name val="Verdana"/>
      <family val="2"/>
    </font>
    <font>
      <b/>
      <sz val="10"/>
      <name val="Helvetica Neue Light"/>
    </font>
    <font>
      <u/>
      <sz val="12"/>
      <color rgb="FF000000"/>
      <name val="Calibri (Corps)"/>
    </font>
    <font>
      <sz val="12"/>
      <color indexed="8"/>
      <name val="Verdana"/>
      <family val="2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rgb="FFFF0000"/>
      <name val="Helvetica Neue Light"/>
    </font>
    <font>
      <sz val="10"/>
      <color rgb="FF0070C0"/>
      <name val="Helvetica Neue Light"/>
    </font>
    <font>
      <sz val="12"/>
      <color indexed="11"/>
      <name val="Verdana"/>
      <family val="2"/>
    </font>
    <font>
      <sz val="12"/>
      <color indexed="11"/>
      <name val="Calibri"/>
      <family val="2"/>
      <scheme val="minor"/>
    </font>
    <font>
      <sz val="12"/>
      <color theme="1"/>
      <name val="Verdana"/>
      <family val="2"/>
    </font>
    <font>
      <sz val="12"/>
      <color rgb="FFFF0000"/>
      <name val="Verdana"/>
      <family val="2"/>
    </font>
    <font>
      <sz val="12"/>
      <color indexed="13"/>
      <name val="Calibri"/>
      <family val="2"/>
      <scheme val="minor"/>
    </font>
    <font>
      <sz val="12"/>
      <color indexed="13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rgb="FF00008B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dotted">
        <color indexed="55"/>
      </bottom>
      <diagonal/>
    </border>
    <border>
      <left/>
      <right/>
      <top style="dotted">
        <color indexed="55"/>
      </top>
      <bottom style="dotted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5">
    <xf numFmtId="0" fontId="0" fillId="0" borderId="0">
      <alignment vertical="top" wrapText="1"/>
    </xf>
    <xf numFmtId="0" fontId="8" fillId="2" borderId="0"/>
    <xf numFmtId="0" fontId="9" fillId="0" borderId="0"/>
    <xf numFmtId="0" fontId="12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0" fontId="13" fillId="0" borderId="0" applyNumberFormat="0" applyFill="0" applyBorder="0" applyAlignment="0" applyProtection="0">
      <alignment vertical="top" wrapText="1"/>
    </xf>
    <xf numFmtId="9" fontId="64" fillId="0" borderId="0" applyFont="0" applyFill="0" applyBorder="0" applyAlignment="0" applyProtection="0"/>
    <xf numFmtId="44" fontId="67" fillId="0" borderId="0" applyFont="0" applyFill="0" applyBorder="0" applyAlignment="0" applyProtection="0"/>
  </cellStyleXfs>
  <cellXfs count="234">
    <xf numFmtId="0" fontId="0" fillId="0" borderId="0" xfId="0" applyAlignment="1">
      <alignment vertical="top" wrapText="1"/>
    </xf>
    <xf numFmtId="0" fontId="2" fillId="2" borderId="1" xfId="0" applyFont="1" applyFill="1" applyBorder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3" fontId="1" fillId="0" borderId="2" xfId="0" applyNumberFormat="1" applyFont="1" applyBorder="1" applyAlignment="1">
      <alignment horizontal="center" vertical="top" wrapText="1"/>
    </xf>
    <xf numFmtId="0" fontId="1" fillId="3" borderId="3" xfId="0" applyFont="1" applyFill="1" applyBorder="1" applyAlignment="1">
      <alignment horizontal="center" vertical="top" wrapText="1"/>
    </xf>
    <xf numFmtId="3" fontId="1" fillId="3" borderId="3" xfId="0" applyNumberFormat="1" applyFont="1" applyFill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top" wrapText="1"/>
    </xf>
    <xf numFmtId="3" fontId="1" fillId="0" borderId="3" xfId="0" applyNumberFormat="1" applyFont="1" applyBorder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64" fontId="1" fillId="0" borderId="2" xfId="0" applyNumberFormat="1" applyFont="1" applyBorder="1" applyAlignment="1">
      <alignment horizontal="center" vertical="top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1" fillId="0" borderId="0" xfId="0" applyFont="1" applyAlignment="1">
      <alignment vertical="top" wrapText="1"/>
    </xf>
    <xf numFmtId="0" fontId="0" fillId="0" borderId="0" xfId="0" applyNumberFormat="1" applyFont="1" applyAlignment="1"/>
    <xf numFmtId="0" fontId="14" fillId="4" borderId="0" xfId="0" applyNumberFormat="1" applyFont="1" applyFill="1" applyAlignment="1"/>
    <xf numFmtId="0" fontId="0" fillId="0" borderId="0" xfId="0" pivotButton="1" applyAlignment="1">
      <alignment vertical="top" wrapText="1"/>
    </xf>
    <xf numFmtId="0" fontId="17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49" fontId="17" fillId="0" borderId="0" xfId="0" applyNumberFormat="1" applyFont="1" applyAlignment="1">
      <alignment vertical="top"/>
    </xf>
    <xf numFmtId="0" fontId="18" fillId="0" borderId="0" xfId="0" applyFont="1" applyAlignment="1">
      <alignment vertical="top"/>
    </xf>
    <xf numFmtId="0" fontId="19" fillId="0" borderId="0" xfId="0" applyFont="1" applyAlignment="1">
      <alignment vertical="top"/>
    </xf>
    <xf numFmtId="0" fontId="20" fillId="0" borderId="0" xfId="3" applyFont="1" applyAlignment="1">
      <alignment vertical="top"/>
    </xf>
    <xf numFmtId="0" fontId="21" fillId="0" borderId="0" xfId="0" applyFont="1" applyAlignment="1">
      <alignment vertical="top"/>
    </xf>
    <xf numFmtId="0" fontId="22" fillId="0" borderId="0" xfId="0" applyFont="1" applyAlignment="1">
      <alignment vertical="top"/>
    </xf>
    <xf numFmtId="0" fontId="23" fillId="0" borderId="0" xfId="3" applyFont="1" applyAlignment="1">
      <alignment vertical="top"/>
    </xf>
    <xf numFmtId="0" fontId="22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25" fillId="0" borderId="0" xfId="0" applyFont="1" applyAlignment="1">
      <alignment vertical="center"/>
    </xf>
    <xf numFmtId="0" fontId="26" fillId="0" borderId="0" xfId="3" applyFont="1" applyAlignment="1">
      <alignment vertical="center"/>
    </xf>
    <xf numFmtId="0" fontId="9" fillId="0" borderId="0" xfId="0" applyFont="1" applyAlignment="1">
      <alignment vertical="top"/>
    </xf>
    <xf numFmtId="0" fontId="27" fillId="0" borderId="0" xfId="0" applyFont="1" applyAlignment="1">
      <alignment vertical="top"/>
    </xf>
    <xf numFmtId="0" fontId="0" fillId="0" borderId="0" xfId="0" applyAlignment="1">
      <alignment vertical="top" wrapText="1"/>
    </xf>
    <xf numFmtId="0" fontId="6" fillId="0" borderId="0" xfId="0" applyFont="1" applyAlignment="1">
      <alignment vertical="top"/>
    </xf>
    <xf numFmtId="0" fontId="7" fillId="0" borderId="0" xfId="0" applyFont="1" applyAlignment="1">
      <alignment horizontal="left" vertical="top"/>
    </xf>
    <xf numFmtId="0" fontId="30" fillId="0" borderId="0" xfId="0" applyFont="1" applyFill="1" applyAlignment="1">
      <alignment horizontal="left" vertical="top"/>
    </xf>
    <xf numFmtId="0" fontId="10" fillId="0" borderId="0" xfId="0" applyFont="1" applyAlignment="1">
      <alignment horizontal="center" vertical="center" wrapText="1"/>
    </xf>
    <xf numFmtId="0" fontId="11" fillId="0" borderId="0" xfId="0" applyFont="1" applyAlignment="1">
      <alignment vertical="center" wrapText="1"/>
    </xf>
    <xf numFmtId="49" fontId="1" fillId="0" borderId="0" xfId="0" applyNumberFormat="1" applyFont="1" applyAlignment="1">
      <alignment horizontal="center" vertical="center" wrapText="1"/>
    </xf>
    <xf numFmtId="10" fontId="1" fillId="0" borderId="0" xfId="0" applyNumberFormat="1" applyFont="1" applyAlignment="1">
      <alignment horizontal="center" vertical="center" wrapText="1"/>
    </xf>
    <xf numFmtId="0" fontId="6" fillId="0" borderId="0" xfId="0" applyFont="1" applyBorder="1" applyAlignment="1">
      <alignment vertical="top"/>
    </xf>
    <xf numFmtId="0" fontId="9" fillId="0" borderId="0" xfId="0" applyFont="1" applyBorder="1" applyAlignment="1">
      <alignment vertical="top"/>
    </xf>
    <xf numFmtId="0" fontId="15" fillId="0" borderId="0" xfId="0" applyFont="1" applyBorder="1" applyAlignment="1">
      <alignment vertical="top"/>
    </xf>
    <xf numFmtId="0" fontId="18" fillId="0" borderId="0" xfId="0" applyFont="1" applyBorder="1" applyAlignment="1">
      <alignment vertical="top"/>
    </xf>
    <xf numFmtId="0" fontId="15" fillId="0" borderId="0" xfId="0" applyNumberFormat="1" applyFont="1" applyBorder="1" applyAlignment="1"/>
    <xf numFmtId="0" fontId="33" fillId="0" borderId="0" xfId="0" applyFont="1" applyBorder="1" applyAlignment="1">
      <alignment vertical="top"/>
    </xf>
    <xf numFmtId="0" fontId="6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vertical="top"/>
    </xf>
    <xf numFmtId="0" fontId="7" fillId="0" borderId="0" xfId="0" applyFont="1" applyAlignment="1">
      <alignment vertical="top"/>
    </xf>
    <xf numFmtId="0" fontId="15" fillId="0" borderId="0" xfId="0" applyFont="1" applyAlignment="1">
      <alignment vertical="top"/>
    </xf>
    <xf numFmtId="167" fontId="15" fillId="0" borderId="0" xfId="0" applyNumberFormat="1" applyFont="1" applyAlignment="1">
      <alignment horizontal="left" vertical="top"/>
    </xf>
    <xf numFmtId="0" fontId="0" fillId="0" borderId="0" xfId="0" applyAlignment="1">
      <alignment vertical="top" wrapText="1"/>
    </xf>
    <xf numFmtId="3" fontId="6" fillId="0" borderId="0" xfId="0" applyNumberFormat="1" applyFont="1" applyAlignment="1">
      <alignment vertical="top"/>
    </xf>
    <xf numFmtId="168" fontId="6" fillId="0" borderId="0" xfId="0" applyNumberFormat="1" applyFont="1" applyAlignment="1">
      <alignment vertical="top"/>
    </xf>
    <xf numFmtId="0" fontId="6" fillId="0" borderId="0" xfId="0" applyFont="1" applyAlignment="1">
      <alignment vertical="top"/>
    </xf>
    <xf numFmtId="0" fontId="34" fillId="0" borderId="0" xfId="0" applyFont="1" applyFill="1" applyBorder="1" applyAlignment="1">
      <alignment vertical="top"/>
    </xf>
    <xf numFmtId="0" fontId="35" fillId="0" borderId="0" xfId="0" applyFont="1" applyBorder="1" applyAlignment="1">
      <alignment vertical="top" wrapText="1"/>
    </xf>
    <xf numFmtId="0" fontId="36" fillId="0" borderId="0" xfId="0" applyFont="1" applyFill="1" applyAlignment="1">
      <alignment vertical="top"/>
    </xf>
    <xf numFmtId="0" fontId="37" fillId="0" borderId="0" xfId="0" applyNumberFormat="1" applyFont="1" applyFill="1" applyAlignment="1"/>
    <xf numFmtId="0" fontId="38" fillId="0" borderId="0" xfId="0" applyNumberFormat="1" applyFont="1" applyFill="1" applyAlignment="1"/>
    <xf numFmtId="0" fontId="15" fillId="0" borderId="4" xfId="0" applyNumberFormat="1" applyFont="1" applyBorder="1" applyAlignment="1"/>
    <xf numFmtId="0" fontId="15" fillId="0" borderId="4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68" fontId="15" fillId="0" borderId="0" xfId="0" applyNumberFormat="1" applyFont="1" applyBorder="1" applyAlignment="1">
      <alignment vertical="top"/>
    </xf>
    <xf numFmtId="0" fontId="40" fillId="0" borderId="0" xfId="0" applyFont="1" applyFill="1" applyAlignment="1">
      <alignment horizontal="left" vertical="top"/>
    </xf>
    <xf numFmtId="0" fontId="30" fillId="0" borderId="0" xfId="0" applyFont="1" applyAlignment="1">
      <alignment vertical="top"/>
    </xf>
    <xf numFmtId="0" fontId="42" fillId="0" borderId="4" xfId="0" applyNumberFormat="1" applyFont="1" applyBorder="1" applyAlignment="1"/>
    <xf numFmtId="0" fontId="15" fillId="0" borderId="5" xfId="0" applyFont="1" applyBorder="1" applyAlignment="1">
      <alignment vertical="top"/>
    </xf>
    <xf numFmtId="0" fontId="15" fillId="0" borderId="7" xfId="0" applyFont="1" applyBorder="1" applyAlignment="1">
      <alignment vertical="top"/>
    </xf>
    <xf numFmtId="0" fontId="15" fillId="0" borderId="8" xfId="0" applyFont="1" applyBorder="1" applyAlignment="1">
      <alignment vertical="top"/>
    </xf>
    <xf numFmtId="0" fontId="42" fillId="0" borderId="8" xfId="0" applyNumberFormat="1" applyFont="1" applyBorder="1" applyAlignment="1"/>
    <xf numFmtId="0" fontId="15" fillId="0" borderId="8" xfId="0" applyNumberFormat="1" applyFont="1" applyBorder="1" applyAlignment="1"/>
    <xf numFmtId="0" fontId="15" fillId="0" borderId="6" xfId="0" applyFont="1" applyBorder="1" applyAlignment="1">
      <alignment vertical="top"/>
    </xf>
    <xf numFmtId="0" fontId="36" fillId="0" borderId="0" xfId="0" applyFont="1" applyAlignment="1">
      <alignment vertical="top"/>
    </xf>
    <xf numFmtId="0" fontId="43" fillId="0" borderId="0" xfId="0" applyFont="1" applyBorder="1" applyAlignment="1">
      <alignment horizontal="center" vertical="center" wrapText="1"/>
    </xf>
    <xf numFmtId="3" fontId="43" fillId="0" borderId="0" xfId="0" applyNumberFormat="1" applyFont="1" applyBorder="1" applyAlignment="1">
      <alignment horizontal="center" vertical="center" wrapText="1"/>
    </xf>
    <xf numFmtId="10" fontId="43" fillId="0" borderId="0" xfId="0" applyNumberFormat="1" applyFont="1" applyBorder="1" applyAlignment="1">
      <alignment horizontal="center" vertical="center" wrapText="1"/>
    </xf>
    <xf numFmtId="49" fontId="43" fillId="0" borderId="0" xfId="0" applyNumberFormat="1" applyFont="1" applyBorder="1" applyAlignment="1">
      <alignment horizontal="center" vertical="center" wrapText="1"/>
    </xf>
    <xf numFmtId="0" fontId="30" fillId="0" borderId="0" xfId="0" applyFont="1" applyBorder="1" applyAlignment="1">
      <alignment vertical="top"/>
    </xf>
    <xf numFmtId="0" fontId="31" fillId="0" borderId="0" xfId="0" applyFont="1" applyBorder="1" applyAlignment="1">
      <alignment vertical="top"/>
    </xf>
    <xf numFmtId="0" fontId="6" fillId="0" borderId="0" xfId="0" applyFont="1" applyAlignment="1">
      <alignment vertical="top"/>
    </xf>
    <xf numFmtId="0" fontId="41" fillId="0" borderId="5" xfId="0" applyNumberFormat="1" applyFont="1" applyBorder="1" applyAlignment="1"/>
    <xf numFmtId="0" fontId="41" fillId="0" borderId="6" xfId="0" applyNumberFormat="1" applyFont="1" applyBorder="1" applyAlignment="1"/>
    <xf numFmtId="0" fontId="41" fillId="0" borderId="7" xfId="0" applyNumberFormat="1" applyFont="1" applyBorder="1" applyAlignment="1"/>
    <xf numFmtId="0" fontId="42" fillId="0" borderId="5" xfId="0" applyNumberFormat="1" applyFont="1" applyBorder="1" applyAlignment="1"/>
    <xf numFmtId="0" fontId="42" fillId="0" borderId="6" xfId="0" applyNumberFormat="1" applyFont="1" applyBorder="1" applyAlignment="1"/>
    <xf numFmtId="0" fontId="42" fillId="0" borderId="7" xfId="0" applyNumberFormat="1" applyFont="1" applyBorder="1" applyAlignment="1"/>
    <xf numFmtId="0" fontId="15" fillId="0" borderId="0" xfId="0" applyFont="1" applyAlignment="1">
      <alignment vertical="top"/>
    </xf>
    <xf numFmtId="0" fontId="15" fillId="0" borderId="0" xfId="0" applyFont="1" applyAlignment="1">
      <alignment horizontal="left" vertical="top"/>
    </xf>
    <xf numFmtId="0" fontId="7" fillId="0" borderId="0" xfId="0" applyFont="1" applyAlignment="1">
      <alignment vertical="top"/>
    </xf>
    <xf numFmtId="0" fontId="18" fillId="0" borderId="0" xfId="0" applyFont="1" applyAlignment="1">
      <alignment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46" fillId="0" borderId="0" xfId="0" applyFont="1" applyAlignment="1">
      <alignment horizontal="center" vertical="top" wrapText="1"/>
    </xf>
    <xf numFmtId="166" fontId="15" fillId="0" borderId="0" xfId="0" applyNumberFormat="1" applyFont="1" applyAlignment="1">
      <alignment vertical="top"/>
    </xf>
    <xf numFmtId="168" fontId="48" fillId="0" borderId="0" xfId="0" applyNumberFormat="1" applyFont="1" applyBorder="1" applyAlignment="1"/>
    <xf numFmtId="0" fontId="37" fillId="0" borderId="0" xfId="0" applyFont="1" applyAlignment="1"/>
    <xf numFmtId="0" fontId="37" fillId="0" borderId="0" xfId="0" applyNumberFormat="1" applyFont="1" applyAlignment="1"/>
    <xf numFmtId="0" fontId="6" fillId="0" borderId="0" xfId="0" applyFont="1" applyAlignment="1">
      <alignment vertical="top" wrapText="1"/>
    </xf>
    <xf numFmtId="0" fontId="1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36" fillId="0" borderId="0" xfId="0" applyFont="1" applyBorder="1" applyAlignment="1">
      <alignment vertical="top"/>
    </xf>
    <xf numFmtId="0" fontId="49" fillId="0" borderId="0" xfId="0" applyFont="1" applyAlignment="1">
      <alignment vertical="top"/>
    </xf>
    <xf numFmtId="0" fontId="50" fillId="0" borderId="0" xfId="0" applyFont="1" applyAlignment="1">
      <alignment vertical="top"/>
    </xf>
    <xf numFmtId="0" fontId="39" fillId="0" borderId="0" xfId="0" applyFont="1" applyAlignment="1">
      <alignment vertical="top"/>
    </xf>
    <xf numFmtId="0" fontId="0" fillId="6" borderId="0" xfId="0" applyFill="1" applyAlignment="1">
      <alignment vertical="top" wrapText="1"/>
    </xf>
    <xf numFmtId="0" fontId="6" fillId="0" borderId="0" xfId="0" applyFont="1" applyAlignment="1">
      <alignment vertical="top" wrapText="1"/>
    </xf>
    <xf numFmtId="0" fontId="1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12" fillId="0" borderId="0" xfId="3" applyAlignment="1">
      <alignment vertical="top"/>
    </xf>
    <xf numFmtId="0" fontId="51" fillId="0" borderId="0" xfId="3" applyFont="1" applyAlignment="1">
      <alignment vertical="center"/>
    </xf>
    <xf numFmtId="0" fontId="6" fillId="0" borderId="0" xfId="0" applyFont="1" applyAlignment="1">
      <alignment vertical="top" wrapText="1"/>
    </xf>
    <xf numFmtId="0" fontId="1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44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47" fillId="0" borderId="0" xfId="0" applyFont="1" applyFill="1" applyAlignment="1">
      <alignment vertical="top"/>
    </xf>
    <xf numFmtId="0" fontId="53" fillId="0" borderId="0" xfId="0" applyFont="1" applyAlignment="1">
      <alignment vertical="top"/>
    </xf>
    <xf numFmtId="0" fontId="54" fillId="0" borderId="0" xfId="0" applyFont="1" applyAlignment="1">
      <alignment vertical="center"/>
    </xf>
    <xf numFmtId="3" fontId="39" fillId="0" borderId="0" xfId="0" applyNumberFormat="1" applyFont="1" applyBorder="1" applyAlignment="1">
      <alignment horizontal="center" vertical="center" wrapText="1"/>
    </xf>
    <xf numFmtId="0" fontId="56" fillId="0" borderId="0" xfId="0" applyFont="1" applyBorder="1" applyAlignment="1">
      <alignment vertical="top"/>
    </xf>
    <xf numFmtId="0" fontId="57" fillId="0" borderId="0" xfId="0" applyFont="1" applyAlignment="1">
      <alignment vertical="top"/>
    </xf>
    <xf numFmtId="0" fontId="57" fillId="0" borderId="0" xfId="0" applyFont="1" applyBorder="1" applyAlignment="1">
      <alignment vertical="top"/>
    </xf>
    <xf numFmtId="0" fontId="58" fillId="0" borderId="0" xfId="0" applyFont="1" applyBorder="1" applyAlignment="1">
      <alignment vertical="top"/>
    </xf>
    <xf numFmtId="0" fontId="15" fillId="0" borderId="0" xfId="0" applyNumberFormat="1" applyFont="1" applyAlignment="1">
      <alignment vertical="top"/>
    </xf>
    <xf numFmtId="0" fontId="46" fillId="5" borderId="0" xfId="0" applyFont="1" applyFill="1" applyAlignment="1">
      <alignment horizontal="center" vertical="top"/>
    </xf>
    <xf numFmtId="0" fontId="0" fillId="5" borderId="0" xfId="0" applyFill="1" applyAlignment="1">
      <alignment vertical="top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15" fillId="0" borderId="0" xfId="0" applyFont="1" applyAlignment="1">
      <alignment vertical="top"/>
    </xf>
    <xf numFmtId="0" fontId="6" fillId="0" borderId="0" xfId="0" applyFont="1" applyFill="1" applyAlignment="1">
      <alignment horizontal="center" vertical="center" wrapText="1"/>
    </xf>
    <xf numFmtId="49" fontId="6" fillId="0" borderId="0" xfId="0" applyNumberFormat="1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0" fontId="6" fillId="0" borderId="0" xfId="0" applyFont="1" applyAlignment="1">
      <alignment vertical="top" wrapText="1"/>
    </xf>
    <xf numFmtId="0" fontId="62" fillId="2" borderId="0" xfId="0" applyFont="1" applyFill="1" applyBorder="1" applyAlignment="1">
      <alignment horizontal="center" vertical="center" wrapText="1"/>
    </xf>
    <xf numFmtId="49" fontId="63" fillId="2" borderId="0" xfId="0" applyNumberFormat="1" applyFont="1" applyFill="1" applyBorder="1" applyAlignment="1">
      <alignment horizontal="center" vertical="center" wrapText="1"/>
    </xf>
    <xf numFmtId="10" fontId="62" fillId="2" borderId="0" xfId="0" applyNumberFormat="1" applyFont="1" applyFill="1" applyBorder="1" applyAlignment="1">
      <alignment horizontal="center" vertical="center" wrapText="1"/>
    </xf>
    <xf numFmtId="9" fontId="1" fillId="0" borderId="0" xfId="33" applyFont="1" applyAlignment="1">
      <alignment horizontal="center" vertical="center" wrapText="1"/>
    </xf>
    <xf numFmtId="0" fontId="7" fillId="0" borderId="9" xfId="0" applyFont="1" applyBorder="1" applyAlignment="1">
      <alignment horizontal="center" vertical="top"/>
    </xf>
    <xf numFmtId="0" fontId="6" fillId="0" borderId="0" xfId="0" applyFont="1" applyAlignment="1">
      <alignment vertical="top" wrapText="1"/>
    </xf>
    <xf numFmtId="0" fontId="7" fillId="0" borderId="11" xfId="0" applyFont="1" applyBorder="1" applyAlignment="1">
      <alignment horizontal="center" vertical="top"/>
    </xf>
    <xf numFmtId="0" fontId="22" fillId="0" borderId="0" xfId="0" applyFont="1" applyAlignment="1">
      <alignment horizontal="center" vertical="center" wrapText="1"/>
    </xf>
    <xf numFmtId="0" fontId="6" fillId="0" borderId="10" xfId="0" applyFont="1" applyBorder="1" applyAlignment="1">
      <alignment vertical="top"/>
    </xf>
    <xf numFmtId="3" fontId="6" fillId="0" borderId="12" xfId="0" applyNumberFormat="1" applyFont="1" applyBorder="1" applyAlignment="1">
      <alignment vertical="top"/>
    </xf>
    <xf numFmtId="0" fontId="6" fillId="0" borderId="0" xfId="0" applyFont="1" applyAlignment="1">
      <alignment vertical="top" wrapText="1"/>
    </xf>
    <xf numFmtId="0" fontId="22" fillId="0" borderId="0" xfId="0" applyFont="1" applyAlignment="1">
      <alignment vertical="center" wrapText="1"/>
    </xf>
    <xf numFmtId="0" fontId="65" fillId="0" borderId="0" xfId="0" applyFont="1" applyAlignment="1">
      <alignment horizontal="center" vertical="center" wrapText="1"/>
    </xf>
    <xf numFmtId="167" fontId="39" fillId="0" borderId="0" xfId="0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64" fillId="0" borderId="0" xfId="0" applyNumberFormat="1" applyFont="1" applyAlignment="1"/>
    <xf numFmtId="0" fontId="32" fillId="7" borderId="13" xfId="0" applyFont="1" applyFill="1" applyBorder="1" applyAlignment="1">
      <alignment horizontal="left" vertical="center" wrapText="1"/>
    </xf>
    <xf numFmtId="172" fontId="0" fillId="8" borderId="14" xfId="0" applyNumberFormat="1" applyFill="1" applyBorder="1" applyAlignment="1">
      <alignment horizontal="center"/>
    </xf>
    <xf numFmtId="172" fontId="68" fillId="8" borderId="0" xfId="34" applyNumberFormat="1" applyFont="1" applyFill="1" applyAlignment="1">
      <alignment horizontal="center"/>
    </xf>
    <xf numFmtId="0" fontId="10" fillId="0" borderId="0" xfId="0" applyFont="1" applyBorder="1" applyAlignment="1">
      <alignment horizontal="left" vertical="center" wrapText="1"/>
    </xf>
    <xf numFmtId="172" fontId="69" fillId="0" borderId="0" xfId="34" applyNumberFormat="1" applyFont="1" applyAlignment="1"/>
    <xf numFmtId="0" fontId="70" fillId="0" borderId="0" xfId="0" applyFont="1" applyBorder="1" applyAlignment="1">
      <alignment horizontal="left" vertical="center" wrapText="1"/>
    </xf>
    <xf numFmtId="44" fontId="69" fillId="0" borderId="0" xfId="34" applyFont="1" applyAlignment="1">
      <alignment horizontal="center"/>
    </xf>
    <xf numFmtId="0" fontId="71" fillId="0" borderId="0" xfId="0" applyFont="1" applyBorder="1" applyAlignment="1">
      <alignment horizontal="left" vertical="center" wrapText="1"/>
    </xf>
    <xf numFmtId="172" fontId="0" fillId="0" borderId="0" xfId="0" applyNumberFormat="1" applyAlignment="1"/>
    <xf numFmtId="172" fontId="43" fillId="0" borderId="0" xfId="34" applyNumberFormat="1" applyFont="1" applyAlignment="1"/>
    <xf numFmtId="0" fontId="7" fillId="0" borderId="15" xfId="0" applyFont="1" applyBorder="1" applyAlignment="1">
      <alignment vertical="top"/>
    </xf>
    <xf numFmtId="3" fontId="6" fillId="0" borderId="15" xfId="0" applyNumberFormat="1" applyFont="1" applyBorder="1" applyAlignment="1">
      <alignment vertical="top"/>
    </xf>
    <xf numFmtId="2" fontId="0" fillId="0" borderId="0" xfId="0" applyNumberFormat="1" applyFont="1" applyAlignment="1"/>
    <xf numFmtId="0" fontId="6" fillId="0" borderId="0" xfId="0" applyFont="1" applyAlignment="1">
      <alignment vertical="top" wrapText="1"/>
    </xf>
    <xf numFmtId="0" fontId="0" fillId="0" borderId="0" xfId="0" applyAlignment="1">
      <alignment horizontal="center" vertical="top" wrapText="1"/>
    </xf>
    <xf numFmtId="172" fontId="64" fillId="9" borderId="14" xfId="0" applyNumberFormat="1" applyFont="1" applyFill="1" applyBorder="1" applyAlignment="1">
      <alignment horizontal="center"/>
    </xf>
    <xf numFmtId="0" fontId="72" fillId="0" borderId="0" xfId="0" applyFont="1" applyAlignment="1">
      <alignment vertical="top" wrapText="1"/>
    </xf>
    <xf numFmtId="3" fontId="73" fillId="0" borderId="0" xfId="0" applyNumberFormat="1" applyFont="1" applyBorder="1" applyAlignment="1">
      <alignment horizontal="center" vertical="center" wrapText="1"/>
    </xf>
    <xf numFmtId="172" fontId="75" fillId="0" borderId="0" xfId="0" applyNumberFormat="1" applyFont="1" applyAlignment="1"/>
    <xf numFmtId="172" fontId="68" fillId="0" borderId="0" xfId="34" applyNumberFormat="1" applyFont="1" applyAlignment="1"/>
    <xf numFmtId="0" fontId="75" fillId="0" borderId="0" xfId="0" applyFont="1" applyAlignment="1">
      <alignment vertical="top" wrapText="1"/>
    </xf>
    <xf numFmtId="172" fontId="76" fillId="8" borderId="0" xfId="34" applyNumberFormat="1" applyFont="1" applyFill="1" applyAlignment="1">
      <alignment horizontal="center"/>
    </xf>
    <xf numFmtId="0" fontId="77" fillId="0" borderId="0" xfId="0" applyFont="1" applyAlignment="1">
      <alignment vertical="top" wrapText="1"/>
    </xf>
    <xf numFmtId="173" fontId="74" fillId="8" borderId="14" xfId="0" applyNumberFormat="1" applyFont="1" applyFill="1" applyBorder="1" applyAlignment="1">
      <alignment horizontal="center"/>
    </xf>
    <xf numFmtId="0" fontId="64" fillId="0" borderId="0" xfId="0" applyFont="1" applyAlignment="1">
      <alignment vertical="top" wrapText="1"/>
    </xf>
    <xf numFmtId="0" fontId="6" fillId="0" borderId="0" xfId="0" applyFont="1" applyAlignment="1">
      <alignment horizontal="left" vertical="top" wrapText="1"/>
    </xf>
    <xf numFmtId="166" fontId="1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10" fontId="39" fillId="0" borderId="0" xfId="0" applyNumberFormat="1" applyFont="1" applyAlignment="1">
      <alignment horizontal="left" vertical="top"/>
    </xf>
    <xf numFmtId="0" fontId="39" fillId="0" borderId="0" xfId="0" applyFont="1" applyAlignment="1">
      <alignment horizontal="left" vertical="top"/>
    </xf>
    <xf numFmtId="167" fontId="32" fillId="0" borderId="0" xfId="0" applyNumberFormat="1" applyFont="1" applyAlignment="1">
      <alignment horizontal="left" vertical="top"/>
    </xf>
    <xf numFmtId="167" fontId="39" fillId="0" borderId="0" xfId="0" applyNumberFormat="1" applyFont="1" applyAlignment="1">
      <alignment horizontal="left" vertical="top"/>
    </xf>
    <xf numFmtId="0" fontId="16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0" borderId="0" xfId="0" applyFont="1" applyAlignment="1">
      <alignment vertical="top" wrapText="1"/>
    </xf>
    <xf numFmtId="0" fontId="17" fillId="0" borderId="0" xfId="0" applyFont="1" applyAlignment="1">
      <alignment horizontal="left" vertical="top" wrapText="1"/>
    </xf>
    <xf numFmtId="165" fontId="15" fillId="0" borderId="0" xfId="0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0" fontId="7" fillId="0" borderId="0" xfId="0" applyFont="1" applyAlignment="1">
      <alignment horizontal="center" vertical="top"/>
    </xf>
    <xf numFmtId="168" fontId="9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left" vertical="center" wrapText="1"/>
    </xf>
    <xf numFmtId="0" fontId="29" fillId="0" borderId="0" xfId="0" applyFont="1" applyAlignment="1">
      <alignment horizontal="center" vertical="center" wrapText="1"/>
    </xf>
    <xf numFmtId="0" fontId="15" fillId="0" borderId="0" xfId="0" applyFont="1" applyAlignment="1">
      <alignment vertical="top"/>
    </xf>
    <xf numFmtId="168" fontId="15" fillId="0" borderId="0" xfId="0" applyNumberFormat="1" applyFont="1" applyAlignment="1">
      <alignment horizontal="left" vertical="top"/>
    </xf>
    <xf numFmtId="168" fontId="39" fillId="0" borderId="0" xfId="0" applyNumberFormat="1" applyFont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171" fontId="15" fillId="0" borderId="0" xfId="0" applyNumberFormat="1" applyFont="1" applyAlignment="1">
      <alignment horizontal="left" vertical="top"/>
    </xf>
    <xf numFmtId="170" fontId="15" fillId="0" borderId="0" xfId="0" applyNumberFormat="1" applyFont="1" applyAlignment="1">
      <alignment horizontal="left" vertical="top"/>
    </xf>
    <xf numFmtId="10" fontId="32" fillId="0" borderId="0" xfId="0" applyNumberFormat="1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1" fillId="0" borderId="0" xfId="0" applyFont="1" applyBorder="1" applyAlignment="1">
      <alignment horizontal="center" vertical="top"/>
    </xf>
    <xf numFmtId="168" fontId="32" fillId="0" borderId="0" xfId="0" applyNumberFormat="1" applyFont="1" applyAlignment="1">
      <alignment horizontal="left" vertical="top"/>
    </xf>
    <xf numFmtId="168" fontId="55" fillId="0" borderId="0" xfId="0" applyNumberFormat="1" applyFont="1" applyAlignment="1">
      <alignment horizontal="left" vertical="top"/>
    </xf>
    <xf numFmtId="0" fontId="30" fillId="0" borderId="0" xfId="0" applyFont="1" applyBorder="1" applyAlignment="1">
      <alignment horizontal="center" vertical="top"/>
    </xf>
    <xf numFmtId="2" fontId="31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169" fontId="15" fillId="0" borderId="0" xfId="0" applyNumberFormat="1" applyFont="1" applyAlignment="1">
      <alignment horizontal="left" vertical="top"/>
    </xf>
    <xf numFmtId="167" fontId="15" fillId="0" borderId="0" xfId="0" applyNumberFormat="1" applyFont="1" applyAlignment="1">
      <alignment horizontal="left" vertical="top"/>
    </xf>
    <xf numFmtId="10" fontId="15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68" fontId="15" fillId="0" borderId="5" xfId="0" applyNumberFormat="1" applyFont="1" applyBorder="1" applyAlignment="1">
      <alignment horizontal="center" vertical="top"/>
    </xf>
    <xf numFmtId="168" fontId="15" fillId="0" borderId="6" xfId="0" applyNumberFormat="1" applyFont="1" applyBorder="1" applyAlignment="1">
      <alignment horizontal="center" vertical="top"/>
    </xf>
    <xf numFmtId="168" fontId="15" fillId="0" borderId="7" xfId="0" applyNumberFormat="1" applyFont="1" applyBorder="1" applyAlignment="1">
      <alignment horizontal="center" vertical="top"/>
    </xf>
    <xf numFmtId="168" fontId="39" fillId="0" borderId="4" xfId="0" applyNumberFormat="1" applyFont="1" applyBorder="1" applyAlignment="1">
      <alignment horizontal="center"/>
    </xf>
    <xf numFmtId="0" fontId="15" fillId="0" borderId="5" xfId="0" applyFont="1" applyBorder="1" applyAlignment="1">
      <alignment horizontal="center" vertical="top"/>
    </xf>
    <xf numFmtId="0" fontId="15" fillId="0" borderId="6" xfId="0" applyFont="1" applyBorder="1" applyAlignment="1">
      <alignment horizontal="center" vertical="top"/>
    </xf>
    <xf numFmtId="0" fontId="15" fillId="0" borderId="7" xfId="0" applyFont="1" applyBorder="1" applyAlignment="1">
      <alignment horizontal="center" vertical="top"/>
    </xf>
    <xf numFmtId="0" fontId="39" fillId="0" borderId="4" xfId="0" applyNumberFormat="1" applyFont="1" applyBorder="1" applyAlignment="1">
      <alignment horizontal="center"/>
    </xf>
    <xf numFmtId="0" fontId="22" fillId="0" borderId="0" xfId="0" applyFont="1" applyAlignment="1">
      <alignment horizontal="center" vertical="center" wrapText="1"/>
    </xf>
    <xf numFmtId="168" fontId="15" fillId="0" borderId="4" xfId="0" applyNumberFormat="1" applyFont="1" applyBorder="1" applyAlignment="1">
      <alignment horizontal="center" vertical="top"/>
    </xf>
    <xf numFmtId="0" fontId="34" fillId="0" borderId="4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34" fillId="0" borderId="4" xfId="0" applyFont="1" applyFill="1" applyBorder="1" applyAlignment="1">
      <alignment horizontal="center" vertical="center" wrapText="1"/>
    </xf>
    <xf numFmtId="0" fontId="39" fillId="0" borderId="5" xfId="0" applyNumberFormat="1" applyFont="1" applyBorder="1" applyAlignment="1">
      <alignment horizontal="center"/>
    </xf>
    <xf numFmtId="0" fontId="39" fillId="0" borderId="6" xfId="0" applyNumberFormat="1" applyFont="1" applyBorder="1" applyAlignment="1">
      <alignment horizontal="center"/>
    </xf>
    <xf numFmtId="0" fontId="39" fillId="0" borderId="7" xfId="0" applyNumberFormat="1" applyFont="1" applyBorder="1" applyAlignment="1">
      <alignment horizontal="center"/>
    </xf>
    <xf numFmtId="168" fontId="39" fillId="0" borderId="4" xfId="0" applyNumberFormat="1" applyFont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0" fillId="0" borderId="0" xfId="0" applyNumberFormat="1" applyAlignment="1">
      <alignment vertical="top" wrapText="1"/>
    </xf>
  </cellXfs>
  <cellStyles count="35">
    <cellStyle name="Good" xfId="1" xr:uid="{00000000-0005-0000-0000-000000000000}"/>
    <cellStyle name="Lien hypertexte" xfId="3" builtinId="8"/>
    <cellStyle name="Lien hypertexte visité" xfId="4" builtinId="9" hidden="1"/>
    <cellStyle name="Lien hypertexte visité" xfId="5" builtinId="9" hidden="1"/>
    <cellStyle name="Lien hypertexte visité" xfId="6" builtinId="9" hidden="1"/>
    <cellStyle name="Lien hypertexte visité" xfId="7" builtinId="9" hidden="1"/>
    <cellStyle name="Lien hypertexte visité" xfId="8" builtinId="9" hidden="1"/>
    <cellStyle name="Lien hypertexte visité" xfId="9" builtinId="9" hidden="1"/>
    <cellStyle name="Lien hypertexte visité" xfId="10" builtinId="9" hidden="1"/>
    <cellStyle name="Lien hypertexte visité" xfId="11" builtinId="9" hidden="1"/>
    <cellStyle name="Lien hypertexte visité" xfId="12" builtinId="9" hidden="1"/>
    <cellStyle name="Lien hypertexte visité" xfId="13" builtinId="9" hidden="1"/>
    <cellStyle name="Lien hypertexte visité" xfId="14" builtinId="9" hidden="1"/>
    <cellStyle name="Lien hypertexte visité" xfId="15" builtinId="9" hidden="1"/>
    <cellStyle name="Lien hypertexte visité" xfId="16" builtinId="9" hidden="1"/>
    <cellStyle name="Lien hypertexte visité" xfId="17" builtinId="9" hidden="1"/>
    <cellStyle name="Lien hypertexte visité" xfId="18" builtinId="9" hidden="1"/>
    <cellStyle name="Lien hypertexte visité" xfId="19" builtinId="9" hidden="1"/>
    <cellStyle name="Lien hypertexte visité" xfId="20" builtinId="9" hidden="1"/>
    <cellStyle name="Lien hypertexte visité" xfId="21" builtinId="9" hidden="1"/>
    <cellStyle name="Lien hypertexte visité" xfId="22" builtinId="9" hidden="1"/>
    <cellStyle name="Lien hypertexte visité" xfId="23" builtinId="9" hidden="1"/>
    <cellStyle name="Lien hypertexte visité" xfId="24" builtinId="9" hidden="1"/>
    <cellStyle name="Lien hypertexte visité" xfId="25" builtinId="9" hidden="1"/>
    <cellStyle name="Lien hypertexte visité" xfId="26" builtinId="9" hidden="1"/>
    <cellStyle name="Lien hypertexte visité" xfId="27" builtinId="9" hidden="1"/>
    <cellStyle name="Lien hypertexte visité" xfId="28" builtinId="9" hidden="1"/>
    <cellStyle name="Lien hypertexte visité" xfId="29" builtinId="9" hidden="1"/>
    <cellStyle name="Lien hypertexte visité" xfId="30" builtinId="9" hidden="1"/>
    <cellStyle name="Lien hypertexte visité" xfId="31" builtinId="9" hidden="1"/>
    <cellStyle name="Lien hypertexte visité" xfId="32" builtinId="9" hidden="1"/>
    <cellStyle name="Monétaire" xfId="34" builtinId="4"/>
    <cellStyle name="Normal" xfId="0" builtinId="0"/>
    <cellStyle name="Normal 2" xfId="2" xr:uid="{00000000-0005-0000-0000-000020000000}"/>
    <cellStyle name="Pourcentage" xfId="33" builtinId="5"/>
  </cellStyles>
  <dxfs count="90"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  <dxf>
      <font>
        <color indexed="20"/>
      </font>
    </dxf>
    <dxf>
      <font>
        <color indexed="19"/>
      </font>
    </dxf>
    <dxf>
      <font>
        <color indexed="18"/>
      </font>
    </dxf>
  </dxfs>
  <tableStyles count="0" defaultTableStyle="TableStyleMedium9" defaultPivotStyle="PivotStyleMedium7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5E88B1"/>
      <rgbColor rgb="00EEF3F4"/>
      <rgbColor rgb="000000FF"/>
      <rgbColor rgb="00FDEAF3"/>
      <rgbColor rgb="00919191"/>
      <rgbColor rgb="00EEEEEE"/>
      <rgbColor rgb="00858A90"/>
      <rgbColor rgb="00FCEBF3"/>
      <rgbColor rgb="00357CA2"/>
      <rgbColor rgb="00AB1807"/>
      <rgbColor rgb="001D6281"/>
      <rgbColor rgb="00698B4C"/>
      <rgbColor rgb="00E6F2DF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10680</xdr:rowOff>
    </xdr:from>
    <xdr:to>
      <xdr:col>5</xdr:col>
      <xdr:colOff>254000</xdr:colOff>
      <xdr:row>3</xdr:row>
      <xdr:rowOff>48780</xdr:rowOff>
    </xdr:to>
    <xdr:pic>
      <xdr:nvPicPr>
        <xdr:cNvPr id="2" name="Image 1" descr="Macintosh HD:Users:William:Downloads:ZENPARK_Logo_large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680"/>
          <a:ext cx="196850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51</xdr:row>
      <xdr:rowOff>79955</xdr:rowOff>
    </xdr:from>
    <xdr:to>
      <xdr:col>5</xdr:col>
      <xdr:colOff>254000</xdr:colOff>
      <xdr:row>54</xdr:row>
      <xdr:rowOff>1301</xdr:rowOff>
    </xdr:to>
    <xdr:pic>
      <xdr:nvPicPr>
        <xdr:cNvPr id="3" name="Image 2" descr="Macintosh HD:Users:William:Downloads:ZENPARK_Logo_large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795455"/>
          <a:ext cx="1968500" cy="5880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8</xdr:row>
          <xdr:rowOff>30480</xdr:rowOff>
        </xdr:from>
        <xdr:to>
          <xdr:col>20</xdr:col>
          <xdr:colOff>2141220</xdr:colOff>
          <xdr:row>11</xdr:row>
          <xdr:rowOff>121920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Facturation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106680</xdr:colOff>
          <xdr:row>8</xdr:row>
          <xdr:rowOff>76200</xdr:rowOff>
        </xdr:from>
        <xdr:to>
          <xdr:col>21</xdr:col>
          <xdr:colOff>1493520</xdr:colOff>
          <xdr:row>11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Mails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66826</xdr:rowOff>
    </xdr:from>
    <xdr:to>
      <xdr:col>6</xdr:col>
      <xdr:colOff>145663</xdr:colOff>
      <xdr:row>3</xdr:row>
      <xdr:rowOff>104926</xdr:rowOff>
    </xdr:to>
    <xdr:pic>
      <xdr:nvPicPr>
        <xdr:cNvPr id="4" name="Image 3" descr="Macintosh HD:Users:William:Downloads:ZENPARK_Logo_large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826"/>
          <a:ext cx="1936931" cy="609600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518160</xdr:colOff>
          <xdr:row>9</xdr:row>
          <xdr:rowOff>99060</xdr:rowOff>
        </xdr:from>
        <xdr:to>
          <xdr:col>22</xdr:col>
          <xdr:colOff>525780</xdr:colOff>
          <xdr:row>12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Facturation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1155</xdr:colOff>
      <xdr:row>0</xdr:row>
      <xdr:rowOff>1155</xdr:rowOff>
    </xdr:from>
    <xdr:to>
      <xdr:col>6</xdr:col>
      <xdr:colOff>26555</xdr:colOff>
      <xdr:row>3</xdr:row>
      <xdr:rowOff>39255</xdr:rowOff>
    </xdr:to>
    <xdr:pic>
      <xdr:nvPicPr>
        <xdr:cNvPr id="2" name="Image 1" descr="Macintosh HD:Users:William:Downloads:ZENPARK_Logo_large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5" y="1155"/>
          <a:ext cx="200660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51</xdr:row>
      <xdr:rowOff>40533</xdr:rowOff>
    </xdr:from>
    <xdr:to>
      <xdr:col>6</xdr:col>
      <xdr:colOff>121244</xdr:colOff>
      <xdr:row>54</xdr:row>
      <xdr:rowOff>97277</xdr:rowOff>
    </xdr:to>
    <xdr:pic>
      <xdr:nvPicPr>
        <xdr:cNvPr id="3" name="Image 2" descr="Macintosh HD:Users:William:Downloads:ZENPARK_Logo_large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962746"/>
          <a:ext cx="2018138" cy="6647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274320</xdr:colOff>
          <xdr:row>10</xdr:row>
          <xdr:rowOff>38100</xdr:rowOff>
        </xdr:from>
        <xdr:to>
          <xdr:col>12</xdr:col>
          <xdr:colOff>259080</xdr:colOff>
          <xdr:row>11</xdr:row>
          <xdr:rowOff>7620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Détail de conso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1089660</xdr:colOff>
          <xdr:row>2</xdr:row>
          <xdr:rowOff>167640</xdr:rowOff>
        </xdr:from>
        <xdr:to>
          <xdr:col>7</xdr:col>
          <xdr:colOff>533400</xdr:colOff>
          <xdr:row>4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Reporting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6</xdr:row>
          <xdr:rowOff>22860</xdr:rowOff>
        </xdr:from>
        <xdr:to>
          <xdr:col>7</xdr:col>
          <xdr:colOff>518160</xdr:colOff>
          <xdr:row>7</xdr:row>
          <xdr:rowOff>190500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rkhane" refreshedDate="41920.755199884261" createdVersion="6" refreshedVersion="6" minRefreshableVersion="3" recordCount="638" xr:uid="{8F3CBFA2-24EE-6C46-82A8-30D4F4F7E3B5}">
  <cacheSource type="worksheet">
    <worksheetSource ref="B2:J640" sheet="Data_P"/>
  </cacheSource>
  <cacheFields count="9">
    <cacheField name="Landlord" numFmtId="0">
      <sharedItems containsBlank="1" count="279">
        <s v="AB Parcs Charenton"/>
        <s v="AB Parcs Sentier"/>
        <s v="Actis"/>
        <s v="Adoma"/>
        <s v="Adonis Carcassonne"/>
        <s v="Adonis La Baule"/>
        <s v="Adonis Paris Sud"/>
        <s v="AEREL"/>
        <s v="All Suites Orly"/>
        <s v="Alter Cités"/>
        <s v="ANTIN 75/77/94"/>
        <s v="ANTIN 78/92/91"/>
        <s v="Appart'City La Rochelle"/>
        <s v="Appart'City Limoges"/>
        <s v="Appart'City Lyon Perache"/>
        <s v="Appart'City Lyon Villette"/>
        <s v="Appart'City Lyon Villeurbanne"/>
        <s v="Appart'City Marseille"/>
        <s v="Appart'City Montpellier"/>
        <s v="Appart'City Nice"/>
        <s v="Appart'City Perpignan"/>
        <s v="Aquitania SAS"/>
        <s v="Aralis"/>
        <s v="Aream Property"/>
        <s v="ASL Smartseille"/>
        <s v="Attentifimmo"/>
        <s v="Auvergne Habitat"/>
        <s v="Aximo"/>
        <s v="Batigere Mulhouse"/>
        <s v="Batigere Nancy"/>
        <s v="Batigere Strasbourg"/>
        <s v="Beep Valet"/>
        <s v="Belalaan Meir Leasehold"/>
        <s v="Best Western Clermont Ferrand"/>
        <s v="Blue Park"/>
        <s v="Boxx'In"/>
        <s v="BUGEAUD &amp; FILLE"/>
        <s v="Campanile Bobigny"/>
        <s v="Campanile Gennevilliers"/>
        <s v="Campanile La Villette"/>
        <s v="Campanile Lille"/>
        <s v="Campanile Nanterre"/>
        <s v="Campanile Roissy"/>
        <s v="Campanile Suresnes"/>
        <s v="CCI Paris Ile-de-France"/>
        <s v="CCN Poterie et Brossolette"/>
        <s v="Citadines Austerlitz"/>
        <s v="Citadines Bastille Gare de Lyon"/>
        <s v="Citadines Montmartre"/>
        <s v="Citadines Montpellier"/>
        <s v="Citadines République"/>
        <s v="Citadines Saint-Germain"/>
        <s v="Citadines Toulouse"/>
        <s v="Citadines Tour Eiffel"/>
        <s v="Citadines Trocadéro"/>
        <s v="Cité Nouvelle"/>
        <s v="City Residence Nantes"/>
        <s v="Clarion Suites Cannes"/>
        <s v="COGESTRA"/>
        <s v="Comfort Suite Annemasse"/>
        <s v="Concorde Montparnasse"/>
        <s v="Coopérer Pour Habiter"/>
        <s v="Crowne Plaza Montpellier"/>
        <s v="CT Exploitation"/>
        <s v="CUS Habitat"/>
        <s v="Discount Parking Beauvais"/>
        <s v="Domaxis"/>
        <s v="Dynacité"/>
        <s v="Easypark 31"/>
        <s v="EFIDIS Hauts de Seine"/>
        <s v="EFIDIS Paris"/>
        <s v="ELOGIE-SIEMP"/>
        <s v="Elysée Palace SNC"/>
        <s v="Erigere"/>
        <s v="Fimare"/>
        <s v="Foyer Laekenois"/>
        <s v="Global Exploitation"/>
        <s v="Grand Garage de Clignancourt"/>
        <s v="Grand Lyon Habitat"/>
        <s v="Grenoble Habitat"/>
        <s v="GSA Résidences"/>
        <s v="Habitat 76"/>
        <s v="Haute-Savoie Habitat"/>
        <s v="Hérault Habitat"/>
        <s v="Holiday Inn Marne La Vallée"/>
        <s v="Holiday Inn Roissy CDG"/>
        <s v="Holiday Inn Vélizy"/>
        <s v="Hôtel Ariana"/>
        <s v="Hôtel de Brienne"/>
        <s v="Hôtel Elysée Serris"/>
        <s v="Hotel Prince de Liege"/>
        <s v="Ibis Budget Aubervilliers"/>
        <s v="Ibis Budget Bry sur Marne"/>
        <s v="Ibis Budget Nanterre"/>
        <s v="Ibis Budget Porte de Montmartre"/>
        <s v="Ibis Budget Porte de Vanves"/>
        <s v="Ibis Budget Porte d'Italie Est"/>
        <s v="Ibis Budget Porte d'Italie Ouest"/>
        <s v="Ibis Marseille Calanques"/>
        <s v="Ibis Saint Quentin en Yvelines"/>
        <s v="Ibis Styles Brussels Louise"/>
        <s v="Ibis Styles Brussels Stephanie"/>
        <s v="Ibis Styles Porte d'Orléans"/>
        <s v="Ibis Styles Roissy CDG"/>
        <s v="Ibis Styles Saint-Malo Port"/>
        <s v="Icade"/>
        <s v="ICF Habitat La Sablière"/>
        <s v="ICF Habitat Nord-Est"/>
        <s v="ICF NOVEDIS"/>
        <s v="Immobilière 3F"/>
        <m u="1"/>
        <s v="Patrimoine SA Languedocienne" u="1"/>
        <s v="Somnoo Mercure Cergy Pontoise" u="1"/>
        <s v="Ibis Budget Paris Porte de Montmartre" u="1"/>
        <s v="SOLIME" u="1"/>
        <s v="Traducteo" u="1"/>
        <s v="Perial - PFO2 / PF1" u="1"/>
        <s v="BATIGERE (Agence de Nancy)" u="1"/>
        <s v="Fly Away Car Park" u="1"/>
        <s v="Somnoo Mercure Cergy" u="1"/>
        <s v="Pullman La Défense" u="1"/>
        <s v="Ibis Marseille Bonneveine Calanques" u="1"/>
        <s v="LOGIREM" u="1"/>
        <s v="Ramada Brussels Woluwe" u="1"/>
        <s v="Best Park CDG" u="1"/>
        <s v="La Résidence Urbaine de France" u="1"/>
        <s v="Radisson Blu Nice" u="1"/>
        <s v="Paris Hotel Louis Blanc" u="1"/>
        <s v="Appart'City Perpignan Gare" u="1"/>
        <s v="Lille Métropole Habitat" u="1"/>
        <s v="Ibis Budget Marne la Vallée - Bry sur Marne" u="1"/>
        <s v="Laurent Parking" u="1"/>
        <s v="Les Estudines Metz Lafayette" u="1"/>
        <s v="Novotel Nantes Centre Bord de Loire" u="1"/>
        <s v="Proxi Parking" u="1"/>
        <s v="Mercure Porte de St Cloud" u="1"/>
        <s v="Immobilière Basse Seine" u="1"/>
        <s v="Mercure Reims" u="1"/>
        <s v="Pullman Bordeaux Lac" u="1"/>
        <s v="Odalys Genève" u="1"/>
        <s v="Pullman Toulouse Centre" u="1"/>
        <s v="Comfort Suite Porte de Genève Annemasse" u="1"/>
        <s v="Odalys Marseille" u="1"/>
        <s v="Campanile Paris Est Bobigny" u="1"/>
        <s v="Nexity Groupe" u="1"/>
        <s v="Novotel Nantes" u="1"/>
        <s v="Somnoo Ibis Strasbourg Aéroport le Zénith" u="1"/>
        <s v="BATIGERE (Agence de Strasbourg)" u="1"/>
        <s v="Plurial Novilia" u="1"/>
        <s v="Odalys Aix-en-Provence Le Tholonet" u="1"/>
        <s v="AB Parcs - Charenton" u="1"/>
        <s v="Citadines Toulouse Wilson" u="1"/>
        <s v="SCI Hotel de Valfons" u="1"/>
        <s v="Mercure Porte de Saint-Ouen" u="1"/>
        <s v="Ténéo Apparthotel Bordeaux" u="1"/>
        <s v="Paris Habitat" u="1"/>
        <s v="Société Lorraine d'Imagerie Médicale - SOLIME" u="1"/>
        <s v="Mercure Paris Porte de Saint-Ouen" u="1"/>
        <s v="Novotel Avignon Centre" u="1"/>
        <s v="Ibis Budget Paris Porte d'Italie Ouest" u="1"/>
        <s v="Nantes Habitat" u="1"/>
        <s v="Société Hotelière Saint Germain" u="1"/>
        <s v="Appart'City Lyon Part-Dieu Villette" u="1"/>
        <s v="CCN Parkings Poterie et Brossolette" u="1"/>
        <s v="Citadines Paris Bastille Gare de Lyon" u="1"/>
        <s v="Citadines Paris Austerlitz" u="1"/>
        <s v="Citadines Paris Saint-Germain-des-Prés" u="1"/>
        <s v="Ibis Budget Paris Porte de Vanves" u="1"/>
        <s v="Citadines Paris Tour Eiffel" u="1"/>
        <s v="Hôtel B&amp;B Group" u="1"/>
        <s v="Parcorly" u="1"/>
        <s v="Newco Appart Bry" u="1"/>
        <s v="Patrimoine SA" u="1"/>
        <s v="City Residence - Nantes Campus" u="1"/>
        <s v="Citadines Montpellier Antigone" u="1"/>
        <s v="Mercure Le Mans Centre" u="1"/>
        <s v="RIVP" u="1"/>
        <s v="Marseille Habitat" u="1"/>
        <s v="Ibis Budget Paris Aubervilliers" u="1"/>
        <s v="Quality Suites Bordeaux" u="1"/>
        <s v="Citadines Paris République" u="1"/>
        <s v="EFIDIS Hauts-de-Seine" u="1"/>
        <s v="En attente Bizdev" u="1"/>
        <s v="Odalys Aix Le Tholonet" u="1"/>
        <s v="Appart'City Lyon Part-Dieu Perache" u="1"/>
        <s v="SCI Isabou" u="1"/>
        <s v="Centre Hospitalier Intercommunal de Créteil" u="1"/>
        <s v="Transports Baudron" u="1"/>
        <s v="Mercure Nancy Place Stanislas" u="1"/>
        <s v="Kyriad Le Bourget" u="1"/>
        <s v="Ibis Styles Paris Porte d'Orléans" u="1"/>
        <s v="La Cité Jardins" u="1"/>
        <s v="Tagerim Résidences Étudiantes" u="1"/>
        <s v="Novotel Suites Paris Montreuil Vincennes" u="1"/>
        <s v="Société Lorraine d'Habitat - Nancy" u="1"/>
        <s v="BATIGERE (Agence de Mulhouse)" u="1"/>
        <s v="Study O Bordeaux Garonne" u="1"/>
        <s v="Hôtel Elysée Val d'Europe" u="1"/>
        <s v="New Prince de Liege" u="1"/>
        <s v="SACVL" u="1"/>
        <s v="Mercure Bordeaux" u="1"/>
        <s v="Pullman Toulouse" u="1"/>
        <s v="Mercure Roissy CDG" u="1"/>
        <s v="Société Lorraine Habitat Nancy" u="1"/>
        <s v="Sia Habitat" u="1"/>
        <s v="Odalys Levallois-Perret" u="1"/>
        <s v="Odalys Aix-en-Provence Les Floridianes" u="1"/>
        <s v="Sofitel Paris La Défense" u="1"/>
        <s v="SNI" u="1"/>
        <s v="Odalys Lyon Confluence" u="1"/>
        <s v="Somnoo Première Classe Annecy" u="1"/>
        <s v="Odalys Aix Les Floridianes" u="1"/>
        <s v="Appart'City Montpellier Saint Roch" u="1"/>
        <s v="Novotel Avignon" u="1"/>
        <s v="Campanile Nanterre La Défense" u="1"/>
        <s v="Parking La Courneuve" u="1"/>
        <s v="Notre Logis" u="1"/>
        <s v="Quality Suites Bordeaux Aéroport &amp; Spa" u="1"/>
        <s v="Somnoo Ibis Budget Colmar" u="1"/>
        <s v="Mercure Nancy" u="1"/>
        <s v="Odalys Marseille Blancarde" u="1"/>
        <s v="SAEMES" u="1"/>
        <s v="Sofitel La Défense" u="1"/>
        <s v="Les Estudines Lille" u="1"/>
        <s v="Parking Roissy Tarif" u="1"/>
        <s v="Mercure Centre Rennes - Paul Louis Courier" u="1"/>
        <s v="Urbis Park" u="1"/>
        <s v="Somnoo Ibis Colmar" u="1"/>
        <s v="KLEY CAEN" u="1"/>
        <s v="Les Estudines Lille d'Artois" u="1"/>
        <s v="Parking Services" u="1"/>
        <s v="Residhome Roissy Village" u="1"/>
        <s v="Valopark" u="1"/>
        <s v="AB Parcs - Sentier" u="1"/>
        <s v="Parking Soleil Orly" u="1"/>
        <s v="Mercure Centre Rennes" u="1"/>
        <s v="Société Immobilière Siberchicot" u="1"/>
        <s v="Mercure Reims Centre Cathédrale" u="1"/>
        <s v="Novotel Montreuil Vincennes" u="1"/>
        <s v="Clarion Suites Cannes Croisette" u="1"/>
        <s v="Novotel Rennes Gare SNCF" u="1"/>
        <s v="Vilogia" u="1"/>
        <s v="SARL DT 6 NANTES" u="1"/>
        <s v="Villa Soleil" u="1"/>
        <s v="Reims Habitat" u="1"/>
        <s v="OPH de Bobigny" u="1"/>
        <s v="Métropole Habitat" u="1"/>
        <s v="Swiss-Life REIM" u="1"/>
        <s v="Mercure Bordeaux Gare Saint Jean" u="1"/>
        <s v="Citadines Paris Montmartre Clichy" u="1"/>
        <s v="ICF HABITAT NORD-EST SA D'HLM" u="1"/>
        <s v="Ibis Budget Nanterre La Défense" u="1"/>
        <s v="Kyriad Le Bourget - Parc des Expositions" u="1"/>
        <s v="NH Hotel du Grand Sablon" u="1"/>
        <s v="Inter-Hotel Parc des Expositions Marseille" u="1"/>
        <s v="Les Estudines Metz" u="1"/>
        <s v="NEOTOA" u="1"/>
        <s v="Logement Francilien" u="1"/>
        <s v="Citadines Paris Trocadéro" u="1"/>
        <s v="Odalys Lyon Bioparc" u="1"/>
        <s v="Ibis Budget Paris Porte de Pantin" u="1"/>
        <s v="Ibis Budget Paris Porte d'Italie Est" u="1"/>
        <s v="Study O Bordeaux" u="1"/>
        <s v="Louise Village SA" u="1"/>
        <s v="Cactus Group I-Parking" u="1"/>
        <s v="Campanile Paris La Villette" u="1"/>
        <s v="Perial - PFO2 - PF1" u="1"/>
        <s v="Parking Cheap" u="1"/>
        <s v="Logement Bruxellois" u="1"/>
        <s v="Immobilière Nord-Artois" u="1"/>
        <s v="B2K Park" u="1"/>
        <s v="Pullman Paris La Défense" u="1"/>
        <s v="Villa Soleil chambre d'Hotes" u="1"/>
        <s v="Appart'City Marseille Euromed" u="1"/>
        <s v="OPH Montreuillois" u="1"/>
        <s v="Hotellerie Defense Grande Arche" u="1"/>
        <s v="BAI Business" u="1"/>
        <s v="Syndicat Résidence Studea Maisons-Alfort" u="1"/>
        <s v="Mercure Paris Porte de St Cloud" u="1"/>
      </sharedItems>
    </cacheField>
    <cacheField name="Parking" numFmtId="0">
      <sharedItems containsBlank="1" count="527">
        <s v="Charenton-le-Pont - Liberté"/>
        <s v="Paris - Grands Boulevards"/>
        <s v="Grenoble - Hôpital Perreau"/>
        <s v="Grenoble - Les Choucas"/>
        <s v="Grenoble - Parc Paul Mistral - M. Joffre"/>
        <s v="Grenoble - Quai de la Graille - Élie Vernet"/>
        <s v="Grenoble - Quai Paul Louis Merlin"/>
        <s v="Grenoble - Rue Duguesclin"/>
        <s v="Bordeaux - Chartrons"/>
        <s v="Carcassonne - Cité Médiévale - Théâtre Jean-Deschamps"/>
        <s v="La Baule-Escoublac - Atlantia - Palais des Congrès"/>
        <s v="Paris - Aéroport Orly - Chevilly-Larue"/>
        <s v="Paris - Aéroport Roissy - AEREL"/>
        <s v="Paris - Aéroport Orly-Marché de Rungis"/>
        <s v="Angers - Gare SNCF Angers"/>
        <s v="Bussy-Saint-Georges - Gare de Bussy-Saint-Georges"/>
        <s v="Ivry sur Seine - Gare d'Ivry sur Seine - Lénine"/>
        <s v="Montlhéry - Place de l'Europe - Centre"/>
        <s v="Poissy - Clos d’Arcy - Madeleine Chartier"/>
        <s v="La Rochelle - Centre Hospitalier la Rochelle"/>
        <s v="Limoges - Pont de la Révolution"/>
        <s v="Lyon - Part-Dieu - Montluc"/>
        <s v="Lyon - Gare Part-Dieu - Villette"/>
        <s v="Villeurbanne - Victor Subit - Cusset"/>
        <s v="Marseille - Arenc - National"/>
        <s v="Montpellier - Gambetta - Berthelot"/>
        <s v="Nice - Acropolis - Palais des Congrès"/>
        <s v="Perpignan - Gare de Perpignan"/>
        <s v="Bordeaux - Palais des Congrès"/>
        <s v="Lyon - Gare Part-Dieu - Bourse du travail"/>
        <s v="Lyon - Grange Blanche - Montchat"/>
        <s v="Suresnes - Hôpital Foch"/>
        <s v="Marseille - Smartseille-Allar"/>
        <s v="Paris - Nation - Avron"/>
        <s v="Clermont-Ferrand - Gare de Clermont - Morny"/>
        <s v="Clermont-Ferrand - Gare de Clermont - Oradou"/>
        <s v="Clermont-Ferrand - Gaultier de Biauzat"/>
        <s v="Clermont-Ferrand - Palais de Justice"/>
        <s v="Clermont-Ferrand - Place de Jaude"/>
        <s v="Massy - Gare de Massy - Verrières"/>
        <s v="Paris - Hôpital Sainte-Anne - René Coty"/>
        <s v="Paris - Porte de Champerret"/>
        <s v="Mulhouse - Caserne Lefebvre"/>
        <s v="Mulhouse - Porte Jeune - Office de Tourisme"/>
        <s v="Nancy - Drouot"/>
        <s v="Strasbourg - Gare de Strasbourg - Centrale"/>
        <s v="Strasbourg - Gare de Strasbourg - Kageneck"/>
        <s v="Strasbourg - Gare de Strasbourg - Wilson"/>
        <s v="Bordeaux - Proche Aéroport Mérignac - Z1"/>
        <s v="Anvers - Meir"/>
        <s v="Clermont-Ferrand - Gare de Clermont-Ferrand"/>
        <s v="Mulhouse - Aéroport de Bâle-Bartenheim"/>
        <s v="Toulouse - Aéroport Blagnac-Z1"/>
        <s v="Toulouse - Aéroport Blagnac-Z1 Service Voiturier"/>
        <s v="Cagnes-Sur-Mer - Saint Jean"/>
        <s v="Bobigny - Tribunal"/>
        <s v="Gennevilliers - Gare - Barbanniers"/>
        <s v="Paris - Zénith - Crimée"/>
        <s v="La Madeleine - Place Vauban"/>
        <s v="Nanterre - Palais des Sports"/>
        <s v="Paris - Aéroport Roissy-Campanile"/>
        <s v="Suresnes - Pont de Suresnes"/>
        <s v="Paris - Gare Montparnasse - Falguière"/>
        <s v="Saint-Denis - Stade de France - Centre Cardiologique"/>
        <s v="Paris - Campo-Formio"/>
        <s v="Paris - Reuilly Diderot"/>
        <s v="Paris - Montmartre - Clichy"/>
        <s v="Montpellier - Antigone"/>
        <s v="Paris - Parmentier"/>
        <s v="Paris - Saint-Michel"/>
        <s v="Toulouse - Centre ville - Jean Jaurès"/>
        <s v="Paris - La Motte-Picquet Grenelle"/>
        <s v="Paris - Trocadéro - Raymond Poincaré"/>
        <s v="Saint-Étienne - Centre Deux - Square Antoine Viallard"/>
        <s v="Saint-Étienne - Gare St-Étienne Bellevue - Passementiers"/>
        <s v="Saint-Étienne - Gare St-Étienne Carnot - Cité du Design"/>
        <s v="Saint-Étienne - St-Étienne Centre - Hôtel de ville"/>
        <s v="Saint-Étienne - St-Étienne Centre - Jean Moulin"/>
        <s v="Saint-Étienne - St-Étienne Préfecture - Place Jacquard"/>
        <s v="Nantes - Campus de la Chantrerie"/>
        <s v="Cannes - Croisette"/>
        <s v="Paris - Haussmann - La Fayette"/>
        <s v="Annemasse - Gare d'Annemasse"/>
        <s v="Paris - Gare Montparnasse"/>
        <s v="Champigny sur Marne - Gare de Champigny - Pré de l'Etang"/>
        <s v="Montpellier - Comédie - Corum"/>
        <s v="Lyon - Félix Brun - Crépet"/>
        <s v="Strasbourg - Haguenau - Rue des Magasins"/>
        <s v="Strasbourg - Landsberg - Bâle"/>
        <s v="Strasbourg - Landsberg - Benfeld"/>
        <s v="Paris - Aéroport Beauvais-Tillé-Z2"/>
        <s v="Cergy - Gare de Cergy RER - Belle Heaumière"/>
        <s v="Evry - Gare d'Evry Courcouronnes"/>
        <s v="Montrouge - Cimetière de Bagneux"/>
        <s v="Paris - Avron - Terre Neuve"/>
        <s v="Paris - Hôtel de Ville"/>
        <s v="Paris - Nation - Montgallet"/>
        <s v="Paris - Olympiades - Tolbiac"/>
        <s v="Rueil-Malmaison - Hôpital Stell - Danton"/>
        <s v="Viry-Châtillon - Théâtre de l'Envol"/>
        <s v="Ambérieu-en-Bugey - Mairie"/>
        <s v="Bourg-en-Bresse - Champ de Foire - 1"/>
        <s v="Bourg-en-Bresse - Gare de Bourg-en-Bresse"/>
        <s v="Villeurbanne - Gare"/>
        <s v="Villeurbanne - Université Claude Bernard Lyon 1"/>
        <s v="Toulouse - Aéroport Blagnac - Easypark 31"/>
        <s v="Asnières-sur-Seine - Mairie - Gabriel Péri"/>
        <s v="Clichy - Castérès - Henri Barbusse"/>
        <s v="Issy-les-Moulineaux - Île Saint-Germain - Stade"/>
        <s v="Le Kremlin-Bicêtre - Yitzhak Rabin"/>
        <s v="Meudon - Gare de Meudon - Hôpital Percy"/>
        <s v="Créteil - Abymes"/>
        <s v="Paris - Porte de Vanves"/>
        <s v="Saint-Maurice - Maréchal Leclerc"/>
        <s v="Paris - Alexandre Dumas"/>
        <s v="Paris - Bercy - Gare de Lyon"/>
        <s v="Paris - Chevaleret"/>
        <s v="Paris - Cité Universitaire"/>
        <s v="Paris - Daumesnil"/>
        <s v="Paris - Jaurès"/>
        <s v="Paris - Père Lachaise - La Bellevilloise"/>
        <s v="Paris - Porte d'Italie - Bourget Kellermann"/>
        <s v="Paris - Quai de la Seine"/>
        <s v="Paris - Stalingrad"/>
        <s v="Nice - Promenade des Anglais - Villa Masséna"/>
        <s v="Bois-Colombes - Gare de Bois Colombes - Amiral Courbet"/>
        <s v="Cergy - Saint-Christophe"/>
        <s v="La Garenne-Colombes - Centre Garenne-Colombes - Jean Bonal"/>
        <s v="Paris - Père Lachaise - Duris"/>
        <s v="Puteaux - La Défense - Arago"/>
        <s v="Saint-Denis - Basilique Saint-Denis - Commune de Paris"/>
        <s v="Sannois - Gare de Sannois - Jules Ferry"/>
        <s v="Lille - Caulier - Vinaigrerie"/>
        <s v="Bruxelles - Stade Roi Baudouin - Cité Modèle"/>
        <s v="Bruxelles - Stade Roi Baudouin - Océade"/>
        <s v="Bègles - La Belle Rose"/>
        <s v="La Rochelle - Université - Désirée"/>
        <s v="Lyon - Grange Blanche"/>
        <s v="Montpellier - Celleneuve"/>
        <s v="Toulouse - Gare de Montaudran"/>
        <s v="Paris - Clignancourt Simplon"/>
        <s v="Feyzin - Gare Feyzin - Claudius Bery"/>
        <s v="Lyon - Gare de Vaise - Studio Valmy"/>
        <s v="Lyon - Garibaldi - Gambetta"/>
        <s v="Lyon - Gorge de Loup - Deux Amants"/>
        <s v="Lyon - Jean Macé"/>
        <s v="Lyon - Lacassagne - Montchat"/>
        <s v="Lyon - Lortet"/>
        <s v="Lyon - Montchat - Reconnaissance Balzac"/>
        <s v="Lyon - Place Jean Jaurès"/>
        <s v="Lyon - Sans Souci - Monplaisir-Lumière"/>
        <s v="Lyon - Villon"/>
        <s v="Oullins - Gare d'Oullins - Lortet"/>
        <s v="Grenoble - Clinique Mutualiste - Charrel"/>
        <s v="Grenoble - Gare de Grenoble - Estoc"/>
        <s v="Grenoble - Île Verte"/>
        <s v="Lille - CHRU - Oscar Lambret"/>
        <s v="Déville-lès-Rouen - Mairie - Gambetta"/>
        <s v="Dieppe - Gare de Dieppe - Centre-Ville"/>
        <s v="Le Havre - Gare du Havre - Université"/>
        <s v="Le Havre - Gustave Brindeau"/>
        <s v="Le Havre - Saint Nicolas - Docks"/>
        <s v="Rouen - Mont Riboudet - Kindarena"/>
        <s v="Sotteville-lès-Rouen - Hôtel de Ville"/>
        <s v="Ambilly - Croix d'Ambilly - Genève"/>
        <s v="Annecy - Gare SNCF - André Gide"/>
        <s v="Annemasse - Centre ville - Centre Aquatique"/>
        <s v="Montpellier - Alco - Guy de Montpellier"/>
        <s v="Montpellier - Les Cévennes - SupAgro"/>
        <s v="Montpellier - Près d'Arènes - Mas d'Argelliers"/>
        <s v="Noisy-le-Grand - Gare Mont d'Est"/>
        <s v="Paris - Aéroport Roissy-Z4"/>
        <s v="Velizy Villacoublay - Velizy 2 - Europe Sud"/>
        <s v="Villeurbanne - Emile Zola - Gratte-Ciel"/>
        <s v="Toulouse - Leclerc"/>
        <s v="Serris - Val d'Europe"/>
        <s v="Anderlecht - Bruxelles - Ninove"/>
        <s v="Aubervilliers - Théâtre de la Commune"/>
        <s v="Bry-sur-Marne - Europe"/>
        <s v="Nanterre - Place de la Boule"/>
        <s v="Paris - Porte de Montmartre - Puces de Saint-Ouen"/>
        <s v="Malakoff - Plateau de Vanves - Jean Bleuzen"/>
        <s v="Le Kremlin-Bicêtre - Porte d'Italie Est"/>
        <s v="Le Kremlin-Bicêtre - Porte d'Italie Ouest"/>
        <s v="Marseille - Bonneveine"/>
        <s v="Montigny-le-Bretonneux - Vélodrome National"/>
        <s v="Bruxelles - Bailli - Lesbroussart"/>
        <s v="Bruxelles - Saint-Gilles - Stéphanie"/>
        <s v="Montrouge - Porte d'Orléans - Aristide Briand"/>
        <s v="Paris - Aéroport Roissy-Ibis Styles"/>
        <s v="Saint-Malo - Saint-Servan Nord"/>
        <s v="Paris - Porte d'Aubervilliers - Millénaire"/>
        <s v="Bois-Colombes - Gare de Bécon les Bruyères"/>
        <s v="Le Blanc-Mesnil - Pasteur"/>
        <s v="Les Pavillons-sous-Bois - Victor Hugo"/>
        <s v="Paris - Bel-Air - Trousseau"/>
        <s v="Paris - La Chapelle - Cugnot"/>
        <s v="Paris - Marx Dormoy"/>
        <s v="Paris - Place des Fêtes"/>
        <s v="Villetaneuse - Grandcoing"/>
        <s v="Lille - Gare Saint Sauveur"/>
        <s v="Loos - Mairie de Loos"/>
        <s v="Reims - Gare de Reims - Courcelles"/>
        <s v="Paris - Bercy Arena - Gare de Bercy"/>
        <s v="Boulogne - Gallieni Silly"/>
        <s v="Boulogne - Point-du-Jour"/>
        <s v="Clamart - Mairie de Clamart"/>
        <s v="Clichy - Fournier - Pasteur"/>
        <s v="Clichy - Hôpital Beaujon"/>
        <s v="Colombes - Hôpital Louis-Mourier"/>
        <s v="Conflans-Sainte-Honorine - Gare"/>
        <s v="Courbevoie - La Défense - Hôtel de Ville"/>
        <s v="Courbevoie - La Défense - Pléiades"/>
        <s v="Courcouronnes - Square de la Borne"/>
        <s v="Epinay-sur-Orge - Gare"/>
        <s v="Evry - Les Epinettes"/>
        <s v="Fontenay-sous-Bois - Bois Cadet - Maximilien Robespierre"/>
        <s v="Fontenay-sous-Bois - Bois Cadet - Salengro"/>
        <s v="Garches - Golf de Paris - Hippodrome"/>
        <s v="Gennevilliers - Gare de Gennevilliers"/>
        <s v="Guyancourt - Gymnase de l'aviation"/>
        <s v="Issy-les-Moulineaux - Ile Saint-Germain - Centre"/>
        <s v="Issy-les-Moulineaux - Verdun - Gare d'Issy"/>
        <s v="Ivry-sur-Seine - Pierre et Marie Curie - Barbès"/>
        <s v="La Garenne-Colombes - Charlebourg"/>
        <s v="Le Kremlin-Bicêtre - Mairie - Salengro"/>
        <s v="Massy - Gare de Massy-Palaiseau - Atlantis"/>
        <s v="Maurepas - Palais des sports d'Elancourt"/>
        <m u="1"/>
        <s v="Grenoble - Palais des sports" u="1"/>
        <s v="Paris - Gare Saint-Lazare - Haussmann" u="1"/>
        <s v="Genève Aéroport Genève - Odalys" u="1"/>
        <s v="Lille - Gare de Lille-Europe - Prague" u="1"/>
        <s v="Metz - Gare de Metz" u="1"/>
        <s v="Bordeaux - Gare Saint-Jean - Tauzia" u="1"/>
        <s v="Remboursement incident client 2018-05" u="1"/>
        <s v="Aulnay-sous-Bois - Gare d'Aulnay-sous-Bois" u="1"/>
        <s v="Nantes - Aéroport Atlantique-Z1 Extérieur" u="1"/>
        <s v="Le Havre - Université - Labédoyère" u="1"/>
        <s v="Marseille - Villette - Roger Salengro" u="1"/>
        <s v="Nice - Gare de Nice - Thiers - Service Voiturier" u="1"/>
        <s v="Lyon - Yves Farge - Marcel Mérieux" u="1"/>
        <s v="Remboursement incidents clients 2018-05" u="1"/>
        <s v="Paris - Bastille - Roquette Intérieur" u="1"/>
        <s v="Saint-Ouen - Porte de Saint-Ouen" u="1"/>
        <s v="Boulogne - Porte de Saint-Cloud - Coubertin" u="1"/>
        <s v="Lille - Saint-Maurice Pellevoisin" u="1"/>
        <s v="Toulouse - Zénith - Hippodrome" u="1"/>
        <s v="Paris - Danube" u="1"/>
        <s v="Bry-sur-Marne" u="1"/>
        <s v="Lyon - Halle Tony Garnier" u="1"/>
        <s v="Alfortville - Hôtel de ville - Quai Blanqui" u="1"/>
        <s v="Paris - Aéroport Orly-Kéfir" u="1"/>
        <s v="Paris - Bercy Village" u="1"/>
        <s v="Saint-Étienne - Parc des sports" u="1"/>
        <s v="Paris - Barbès - Château Rouge" u="1"/>
        <s v="Lille - Grand Palais - Madeleine Rebérioux" u="1"/>
        <s v="Rouen - Bois-Guillaume - Champ des oiseaux" u="1"/>
        <s v="Lille - Bastion - Saint-André" u="1"/>
        <s v="Reims - Gare SNCF - Romains" u="1"/>
        <s v="Nantes - Ile de Nantes - Vincent Gâche - CHU" u="1"/>
        <s v="Lyon - Galland" u="1"/>
        <s v="Lille - Vieux Lille - IAE" u="1"/>
        <s v="Viry-Châtillon - Gare" u="1"/>
        <s v="Roubaix - McArthurGlen -  Grand Place Roubaix" u="1"/>
        <s v="Saint-Étienne - Comédie de Saint-Étienne" u="1"/>
        <s v="Nantes - Gare Sud - Bouscarle" u="1"/>
        <s v="Paris - Aéroport Roissy CDG-Z5" u="1"/>
        <s v="Paris - Beaugrenelle - Quai André Citroën" u="1"/>
        <s v="Paris - Porte de la Chapelle" u="1"/>
        <s v="Lille - Cormontaigne - Béranger" u="1"/>
        <s v="Neuilly-sur-Seine - Les Sablons" u="1"/>
        <s v="Reims - Courlancy - Comédie" u="1"/>
        <s v="Le Mée-sur-Seine - Gare du Mée - Mairie" u="1"/>
        <s v="Nice - Promenade des Anglais" u="1"/>
        <s v="Paris - Bastille - Roquette Extérieur" u="1"/>
        <s v="Lille - Gare de Lille Flandres - Tournai" u="1"/>
        <s v="Bordeaux - Proche Aéroport Mérignac - Quality Suites Intérieur" u="1"/>
        <s v="Aix-en-Provence - Le Tholonet" u="1"/>
        <s v="Lille - Grand Palais - Président Hoover" u="1"/>
        <s v="Paris - Hôpital Sainte-Anne - Rue de la Santé" u="1"/>
        <s v="Lille - Lille Europe - Cimetière de l'Est" u="1"/>
        <s v="Marseille - Gare Saint Charles - Crimée" u="1"/>
        <s v="Paris - Ecole de Médecine" u="1"/>
        <s v="Lyon - Confluence" u="1"/>
        <s v="Colombes - Hôpital Max Fourestier" u="1"/>
        <s v="Paris - Avenue d'Italie - Porte d'Italie" u="1"/>
        <s v="Saint-Denis - La Plaine - Chaudron" u="1"/>
        <s v="Paris - Avenue d'Italie - Maison Blanche" u="1"/>
        <s v="Paris - Buttes-Chaumont - Ourcq" u="1"/>
        <s v="Nantes - Gare Nord - Jardin des plantes" u="1"/>
        <s v="Pantin - Mairie" u="1"/>
        <s v="Lille - Dr Jenner" u="1"/>
        <s v="Lyon - Gare Part-Dieu - Massena" u="1"/>
        <s v="Paris - Gare Vaugirard - Falguière" u="1"/>
        <s v="Rueil Malmaison - Hôpital Stell - Mermoz" u="1"/>
        <s v="Lille - Gare de Lille Flandres - Mairie de Lille" u="1"/>
        <s v="Marseille - Stade Vélodrome - Prado" u="1"/>
        <s v="Paris - Le Peletier" u="1"/>
        <s v="Paris - Cité Blanche" u="1"/>
        <s v="Paris - Montgallet - Daumesnil" u="1"/>
        <s v="Paris - Porte d'Auteuil" u="1"/>
        <s v="Lyon - Vaise - Navigation" u="1"/>
        <s v="Montreuil - Tribunal d'Instance" u="1"/>
        <s v="Paris - Château" u="1"/>
        <s v="Lille - Hôpital Saint-Vincent de Paul" u="1"/>
        <s v="Nîmes - Gare SNCF - Sainte-Félicité" u="1"/>
        <s v="Blagnac - Mairie de Blagnac - Maxime Laconde" u="1"/>
        <s v="Régul taux commission (depuis novembre 2017)" u="1"/>
        <s v="Saint-Étienne - Quartier du Soleil" u="1"/>
        <s v="Rouen - Pasteur - Madeleine" u="1"/>
        <s v="Reims - Gare de Reims - Baussonnet" u="1"/>
        <s v="Toulouse - IUFM - Théâtre du Pavé" u="1"/>
        <s v="Paris - Colonel Fabien" u="1"/>
        <s v="Ville-d'Avray - Hôtel de ville" u="1"/>
        <s v="Châtenay-Malabry - Du Bois - Robespierre" u="1"/>
        <s v="Toulouse - Université Jean Jaurès" u="1"/>
        <s v="Reims - Gare de Reims - Clairmarais" u="1"/>
        <s v="Saint-Étienne - Stade Geoffroy-Guichard" u="1"/>
        <s v="Bruxelles - Woluwe - Parc Schuman" u="1"/>
        <s v="Nancy - CHU - Hôpital Saint-Julien" u="1"/>
        <s v="Courbevoie - La Défense - Place des Vosges" u="1"/>
        <s v="Paris - Porte de Saint-Cloud - Michel Ange" u="1"/>
        <s v="Caen - CHU" u="1"/>
        <s v="Strasbourg - Aéroport Entzheim-Roethig" u="1"/>
        <s v="Marseille - Belle de Mai - Toursky" u="1"/>
        <s v="La Madeleine - Cimetière de l'Est" u="1"/>
        <s v="Lyon - Sans Souci" u="1"/>
        <s v="Paris - Aéroport Roissy-Villeron" u="1"/>
        <s v="Lille - Vieux Lille - Église Sainte Marie" u="1"/>
        <s v="Montreuil - Mairie de Montreuil" u="1"/>
        <s v="Montreuil - Marché de Montreuil" u="1"/>
        <s v="Cergy - Université de Cergy-Pontoise" u="1"/>
        <s v="Reims - Cathédrale - Paul Doumer" u="1"/>
        <s v="Le Havre - Université - Michel Dubosc" u="1"/>
        <s v="Paris - Buttes-Chaumont - Crimée" u="1"/>
        <s v="Paris - Gare Rosa Parks - Crimée" u="1"/>
        <s v="Bruxelles - Quartier des Squares - Noyer" u="1"/>
        <s v="Paris - Montgallet" u="1"/>
        <s v="Toulouse - Gare de Toulouse Matabiau - Centre" u="1"/>
        <s v="Paris - Gare Saint-Lazare - Vienne" u="1"/>
        <s v="Paris - Olympiades - Rentiers" u="1"/>
        <s v="Paris - La Villette - Canal de l'Ourcq" u="1"/>
        <s v="Paris - La Défense" u="1"/>
        <s v="Montreuil - Palais des Congrès Paris-Est" u="1"/>
        <s v="Paris - Pigalle - Casino de Paris" u="1"/>
        <s v="Bordeaux - Proche Aéroport Mérignac - Quality Suites Extérieur" u="1"/>
        <s v="Bagnolet - Porte de Montreuil - Robespierre" u="1"/>
        <s v="Lyon - Mairie Lyon 8 - Jean Mermoz" u="1"/>
        <s v="Toulouse - Gare de Montaudran - Laurent Guerrero" u="1"/>
        <s v="Paris - Bastille - Thiéré" u="1"/>
        <s v="Toulouse - Bonnefoy - Lapujade" u="1"/>
        <s v="Paris - Beaugrenelle - Charles Michels" u="1"/>
        <s v="Paris - Aéroport Roissy-Z2 Extérieur" u="1"/>
        <s v="Saint-Germain-en-Laye - Bel-Air - Fourqueux Extérieur" u="1"/>
        <s v="Paris - Bibliothèque François Mitterrand" u="1"/>
        <s v="Paris - Gare de Lyon" u="1"/>
        <s v="Paris - Hôpital Necker" u="1"/>
        <s v="Paris - Vaugirard" u="1"/>
        <s v="Villeneuve-d'Ascq - Hôtel de Ville" u="1"/>
        <s v="Lille - Gambetta - Wazemmes" u="1"/>
        <s v="Paris - Bercy - Quai de la Gare" u="1"/>
        <s v="Rouen - Saint-Sever - Lessard" u="1"/>
        <s v="Marseille - Hôpital Européen" u="1"/>
        <s v="Nantes - Gare Sud - Berlin" u="1"/>
        <s v="Versailles - Madame Elisabeth - Champ Lagarde" u="1"/>
        <s v="Paris - Aéroport Beauvais-Tillé-Z1" u="1"/>
        <s v="Paris - Opéra" u="1"/>
        <s v="Viry Chatillon - Théâtre de l'Envol" u="1"/>
        <s v="Lille - Porte de Douai" u="1"/>
        <s v="Marseille - Gare de la Blancarde" u="1"/>
        <s v="Montévrain - Val d'Europe - Hôpital" u="1"/>
        <s v="Lyon - Barthélémy - Buyer" u="1"/>
        <s v="Lyon - Laennec - Hôpital Desgenettes" u="1"/>
        <s v="Paris - Gare de Lyon - Chalon" u="1"/>
        <s v="Le Havre - François 1er - Eyries" u="1"/>
        <s v="Paris - Aéroport Roissy-Residhome Roissy Village" u="1"/>
        <s v="Aix-en-Provence - Gare d'Aix-en-Provence Ville" u="1"/>
        <s v="Clichy - Général Leclerc - Floréal" u="1"/>
        <s v="Lyon - Croix Rousse - Denfert Rochereau" u="1"/>
        <s v="Lille - Victor-Hugo" u="1"/>
        <s v="Blagnac - Chemin d'Aussone" u="1"/>
        <s v="Saint Germain en Laye - Gare RER - Centre" u="1"/>
        <s v="Nice - Aéroport de Nice-Côte D'Azur-Service voiturier" u="1"/>
        <s v="Levallois-Perret - Gare de Clichy-Levallois" u="1"/>
        <s v="Reims - Stade Auguste Delaune" u="1"/>
        <s v="Saint-Étienne - Gare de Saint-Étienne Le Clapier" u="1"/>
        <s v="Lille - Moulins - Victor Hugo" u="1"/>
        <s v="Lyon - Champvert - Les Massues" u="1"/>
        <s v="Paris - Nationale" u="1"/>
        <s v="Le Havre - Gare du Havre - Kléber" u="1"/>
        <s v="Nantes - île Beaulieu - Mangin" u="1"/>
        <s v="Suresnes - Gare de Suresnes - Ratrait" u="1"/>
        <s v="Pantin - Hoche" u="1"/>
        <s v="Villeneuve-d'Ascq - Stade Pierre Mauroy Lille" u="1"/>
        <s v="Bruxelles - Hippodrome de Boitsfort" u="1"/>
        <s v="Colmar - Centre ville - Stanislas" u="1"/>
        <s v="Lille - Fives - Pierre Legrand" u="1"/>
        <s v="Lyon - Professeur Beauvisage" u="1"/>
        <s v="Montrouge - Stade Jean Lezer" u="1"/>
        <s v="Paris - Aéroport Roissy-Louvres" u="1"/>
        <s v="Reims - Sciences Po - Campus" u="1"/>
        <s v="Paris - Guy Môquet" u="1"/>
        <s v="Paris - Louis Blanc" u="1"/>
        <s v="Lille - Moulins - Trévise" u="1"/>
        <s v="Rennes - Gare SNCF" u="1"/>
        <s v="Levallois-Perret - Hôpital Américain" u="1"/>
        <s v="Saint-Cloud - Maréchal Foch - Porte Jaune" u="1"/>
        <s v="Lille - Moulins - Université" u="1"/>
        <s v="Rouen - Saint-Sever - Pavée" u="1"/>
        <s v="Villeneuve-d'Ascq - Place Van Gogh" u="1"/>
        <s v="Le Mans - Centre-Ville - Préfecture" u="1"/>
        <s v="Paris - Bagnolet Réunion" u="1"/>
        <s v="Bordeaux - Gare Saint-Jean - Barbey" u="1"/>
        <s v="Vigneux-sur-Seine - Gare" u="1"/>
        <s v="Forfait Sécuritas" u="1"/>
        <s v="Tourcoing - Gare de Tourcoing - Luther King" u="1"/>
        <s v="Vanves - Porte de Versailles - Victor Hugo" u="1"/>
        <s v="Paris - Charléty - Porte de Gentilly" u="1"/>
        <s v="Paris - Collège des Bernardins" u="1"/>
        <s v="Nantes - Chénaie" u="1"/>
        <s v="Toulouse - Patte d'Oie - Zénith" u="1"/>
        <s v="Saint-Étienne - Gare Le Clapier - F. Krumnow" u="1"/>
        <s v="Paris - Barbès - Goutte d'Or" u="1"/>
        <s v="Lille - Bois blancs - Mairie" u="1"/>
        <s v="Tourcoing - Gare de Tourcoing - Victoire" u="1"/>
        <s v="Saint-Étienne - Médiathèque de Tarentaize" u="1"/>
        <s v="Bruxelles - Louise - Ixelles" u="1"/>
        <s v="Rennes - République - Vasselot" u="1"/>
        <s v="Paris - Porte de Clichy" u="1"/>
        <s v="Bobigny - MC93 - Conservatoire Jean Wiener" u="1"/>
        <s v="Toulouse - Côte Pavée - Roger Arnaud" u="1"/>
        <s v="Paris - Aéroport Roissy-Z2 Intérieur" u="1"/>
        <s v="Lille - Moulin - Trévise" u="1"/>
        <s v="Reims - Laon - Zola" u="1"/>
        <s v="Reims - Croix du Sud" u="1"/>
        <s v="Versailles - Gare de Montreuil" u="1"/>
        <s v="Nantes - Ile de Nantes - Cherche-Midi" u="1"/>
        <s v="Nantes - Égalité - Bois de Hercé" u="1"/>
        <s v="Mouvaux - Guy Môquet" u="1"/>
        <s v="Paris - Palais des Glaces - Rue Bichat" u="1"/>
        <s v="Paris - La Défense - Pullman" u="1"/>
        <s v="Paris - Aéroport Orly-Wissous-Gare de Rungis" u="1"/>
        <s v="Le Bourget - Parc des Expositions" u="1"/>
        <s v="Lille - Wazemmes - Victor-Hugo" u="1"/>
        <s v="Correction commission appliquée (45% à 30%) - rev. Février 2018" u="1"/>
        <s v="Paris - Aéroport Roissy-Z3" u="1"/>
        <s v="Paris - Jardin du Luxembourg" u="1"/>
        <s v="Levallois-Perret - Louise Michel" u="1"/>
        <s v="Lyon - Collège Bellecombe" u="1"/>
        <s v="Marseille - Aéroport Marseille Provence - PS - Service voiturier" u="1"/>
        <s v="Lyon - Bachut - Mairie du 8ème" u="1"/>
        <s v="Lyon - Gare Part-Dieu - Brotteaux" u="1"/>
        <s v="Aubervilliers - Fort d'Aubervilliers - Rechossière" u="1"/>
        <s v="Lyon - Gare Part-Dieu - Barrier" u="1"/>
        <s v="Paris - Porte de Villiers" u="1"/>
        <s v="Paris - Notre-Dame" u="1"/>
        <s v="Lyon - Confluence - Sainte-Blandine" u="1"/>
        <s v="Bordeaux - Rue Achard - Cité du Vin" u="1"/>
        <s v="Marseille - Smartseille - B&amp;B Les Ports" u="1"/>
        <s v="Paris - Gare de Bercy" u="1"/>
        <s v="Avignon - Gare d'Avignon centre - Novotel" u="1"/>
        <s v="Paris - Les Halles Saint-Eustache" u="1"/>
        <s v="Saint-Germain-en-Laye - Bel-Air - Fourqueux Intérieur" u="1"/>
        <s v="Lille - Faculté de Médecine" u="1"/>
        <s v="Rueil-Malmaison - Sophie Rodrigues" u="1"/>
        <s v="Lyon - Debourg - Georges Gouy" u="1"/>
        <s v="Paris - Bagnolet Pyrénées" u="1"/>
        <s v="Blagnac - Verdun" u="1"/>
        <s v="Toulouse - Aéroport de Blagnac-Andromède" u="1"/>
        <s v="Paris - Porte d’Aubervilliers" u="1"/>
        <s v="Lille - Gare de Lille-Europe - Athènes" u="1"/>
        <s v="Nantes - Souillarderie" u="1"/>
        <s v="Roubaix - Roubaix Grand Place - Grand Rue" u="1"/>
        <s v="Coulommiers - Gare de Coulommiers - Jean Moulin" u="1"/>
        <s v="Bruxelles - Sablon" u="1"/>
        <s v="Reims - Campus Croix Rouge" u="1"/>
        <s v="Créteil - Hôpital intercommunal" u="1"/>
        <s v="Nantes - Aéroport Atlantique-Z1 Intérieur" u="1"/>
        <s v="Annecy - Cran-Gevrier" u="1"/>
        <s v="Paris - Bibliothèque François Mitterrand - Tolbiac" u="1"/>
        <s v="Montreuil - Parc Montreau" u="1"/>
        <s v="Saint-Maurice - Le Pont" u="1"/>
        <s v="Lille - Moulins - Douai" u="1"/>
        <s v="Marseille - Gare Saint-Charles - PS - Service Voiturier" u="1"/>
        <s v="Levallois-Perret - Georges Pompidou" u="1"/>
        <s v="Lyon - Quartier Général Frère" u="1"/>
        <s v="Tourcoing - Gare de Tourcoing - Soufflot" u="1"/>
        <s v="Nancy - Gare - Mon Désert" u="1"/>
        <s v="Paris - Quai Branly - Tour Eiffel" u="1"/>
        <s v="Paris - Bibliothèque François Mitterrand - Loiret" u="1"/>
        <s v="Rennes - Hautes Ourmes" u="1"/>
        <s v="Nancy - La Cour des Arts" u="1"/>
        <s v="Bruxelles - Palais de Justice - CHU" u="1"/>
        <s v="Lyon - Champvert" u="1"/>
        <s v="Reims - Coutures - Henry Vasnier" u="1"/>
        <s v="Lyon - Garibaldi 2" u="1"/>
        <s v="Le Havre - François 1er - Coty" u="1"/>
        <s v="Paris - Aquaboulevard - Porte d'Issy" u="1"/>
        <s v="Bergerac - Aéroport de Bergerac-Dordogne" u="1"/>
        <s v="Nancy - Maxéville - Médipole" u="1"/>
        <s v="Clichy - Hôpital Goüin" u="1"/>
        <s v="Reims - Hôpital Robert Debré" u="1"/>
        <s v="Bobigny - Mairie de Bobigny" u="1"/>
        <s v="Lyon - Hôpital de la Croix-Rousse" u="1"/>
        <s v="Viroflay - La Ville au Bois" u="1"/>
        <s v="Genève Aéroport - Z2" u="1"/>
        <s v="Paris - Père Lachaise - Bagnolet" u="1"/>
        <s v="Montrouge - Porte d'Orléans - Gabriel Péri" u="1"/>
        <s v="Réparation barrière" u="1"/>
        <s v="La Courneuve - Stade - Général Leclerc" u="1"/>
        <s v="Paris - Porte des Lilas" u="1"/>
        <s v="Vanves - Porte de Versailles - Jean Jaurès" u="1"/>
        <s v="Bobigny - Pablo Picasso - Préfecture" u="1"/>
        <s v="Paris - Hôpital Jean Jaurès" u="1"/>
        <s v="Paris - Eure" u="1"/>
        <s v="Montereau-Fault-Yonne - Gare de Montereau" u="1"/>
        <s v="Montreuil - Rabelais" u="1"/>
        <s v="Maisons-Alfort - École Vétérinaire" u="1"/>
        <s v="Lyon - Gare Part-Dieu - Riboud" u="1"/>
        <s v="Lille - CHR Calmette - Université" u="1"/>
        <s v="Paris - Porte d'Asnières" u="1"/>
        <s v="Rouen - Europe - Elbeuf" u="1"/>
        <s v="Paris - La Villette - Porte de Pantin" u="1"/>
        <s v="Paris - Pernety - Didot" u="1"/>
        <s v="Paris - Gare de l'Est - Quai de Valmy" u="1"/>
        <s v="Toulouse - Croix-Daurade - Général Pelet" u="1"/>
      </sharedItems>
    </cacheField>
    <cacheField name="Ref Parking" numFmtId="0">
      <sharedItems/>
    </cacheField>
    <cacheField name="Mois" numFmtId="0">
      <sharedItems containsBlank="1" count="10">
        <s v="2018-07"/>
        <s v="2018-08"/>
        <s v="2018-09"/>
        <m u="1"/>
        <s v="2018-03" u="1"/>
        <s v="2018-04" u="1"/>
        <s v="2018-05" u="1"/>
        <s v="2018-01" u="1"/>
        <s v="2018-06" u="1"/>
        <s v="2018-02" u="1"/>
      </sharedItems>
    </cacheField>
    <cacheField name="Nb Places moyen" numFmtId="0">
      <sharedItems containsSemiMixedTypes="0" containsString="0" containsNumber="1" minValue="0" maxValue="173"/>
    </cacheField>
    <cacheField name="CA TTC" numFmtId="0">
      <sharedItems containsSemiMixedTypes="0" containsString="0" containsNumber="1" minValue="-757.9" maxValue="9589.7999999999993"/>
    </cacheField>
    <cacheField name="CA par place" numFmtId="0">
      <sharedItems containsMixedTypes="1" containsNumber="1" minValue="-5.25" maxValue="756.64"/>
    </cacheField>
    <cacheField name="Commission Zenpark" numFmtId="0">
      <sharedItems containsSemiMixedTypes="0" containsString="0" containsNumber="1" containsInteger="1" minValue="20" maxValue="80"/>
    </cacheField>
    <cacheField name="Montant Reversé" numFmtId="0">
      <sharedItems containsSemiMixedTypes="0" containsString="0" containsNumber="1" minValue="-151.58000000000001" maxValue="6712.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8">
  <r>
    <x v="0"/>
    <x v="0"/>
    <s v=""/>
    <x v="0"/>
    <n v="15"/>
    <n v="504.5"/>
    <n v="33.630000000000003"/>
    <n v="20"/>
    <n v="403.6"/>
  </r>
  <r>
    <x v="0"/>
    <x v="0"/>
    <s v=""/>
    <x v="1"/>
    <n v="15"/>
    <n v="237.77"/>
    <n v="15.85"/>
    <n v="20"/>
    <n v="190.22"/>
  </r>
  <r>
    <x v="0"/>
    <x v="0"/>
    <s v=""/>
    <x v="2"/>
    <n v="15"/>
    <n v="359"/>
    <n v="23.93"/>
    <n v="20"/>
    <n v="287.2"/>
  </r>
  <r>
    <x v="1"/>
    <x v="1"/>
    <s v=""/>
    <x v="0"/>
    <n v="10"/>
    <n v="2476.8200000000002"/>
    <n v="247.68"/>
    <n v="20"/>
    <n v="1981.46"/>
  </r>
  <r>
    <x v="1"/>
    <x v="1"/>
    <s v=""/>
    <x v="1"/>
    <n v="10"/>
    <n v="2400.5500000000002"/>
    <n v="240.06"/>
    <n v="20"/>
    <n v="1920.44"/>
  </r>
  <r>
    <x v="1"/>
    <x v="1"/>
    <s v=""/>
    <x v="2"/>
    <n v="10"/>
    <n v="2492.5700000000002"/>
    <n v="249.26"/>
    <n v="20"/>
    <n v="1994.06"/>
  </r>
  <r>
    <x v="2"/>
    <x v="2"/>
    <s v=""/>
    <x v="0"/>
    <n v="3"/>
    <n v="67.28"/>
    <n v="22.43"/>
    <n v="50"/>
    <n v="33.64"/>
  </r>
  <r>
    <x v="2"/>
    <x v="2"/>
    <s v=""/>
    <x v="2"/>
    <n v="2"/>
    <n v="97.75"/>
    <n v="48.88"/>
    <n v="40"/>
    <n v="58.65"/>
  </r>
  <r>
    <x v="2"/>
    <x v="3"/>
    <s v=""/>
    <x v="0"/>
    <n v="7"/>
    <n v="80.67"/>
    <n v="11.52"/>
    <n v="50"/>
    <n v="40.340000000000003"/>
  </r>
  <r>
    <x v="2"/>
    <x v="3"/>
    <s v=""/>
    <x v="1"/>
    <n v="7"/>
    <n v="45"/>
    <n v="6.43"/>
    <n v="40"/>
    <n v="27"/>
  </r>
  <r>
    <x v="2"/>
    <x v="3"/>
    <s v=""/>
    <x v="2"/>
    <n v="7"/>
    <n v="229.34"/>
    <n v="32.76"/>
    <n v="40"/>
    <n v="137.6"/>
  </r>
  <r>
    <x v="2"/>
    <x v="4"/>
    <s v=""/>
    <x v="0"/>
    <n v="13"/>
    <n v="408.52"/>
    <n v="31.42"/>
    <n v="40"/>
    <n v="245.11"/>
  </r>
  <r>
    <x v="2"/>
    <x v="4"/>
    <s v=""/>
    <x v="1"/>
    <n v="13"/>
    <n v="389.57"/>
    <n v="29.97"/>
    <n v="40"/>
    <n v="233.74"/>
  </r>
  <r>
    <x v="2"/>
    <x v="4"/>
    <s v=""/>
    <x v="2"/>
    <n v="13"/>
    <n v="895.45"/>
    <n v="68.88"/>
    <n v="40"/>
    <n v="537.27"/>
  </r>
  <r>
    <x v="2"/>
    <x v="5"/>
    <s v=""/>
    <x v="0"/>
    <n v="8"/>
    <n v="73"/>
    <n v="9.1300000000000008"/>
    <n v="40"/>
    <n v="43.8"/>
  </r>
  <r>
    <x v="2"/>
    <x v="5"/>
    <s v=""/>
    <x v="1"/>
    <n v="8"/>
    <n v="98.5"/>
    <n v="12.31"/>
    <n v="40"/>
    <n v="59.1"/>
  </r>
  <r>
    <x v="2"/>
    <x v="5"/>
    <s v=""/>
    <x v="2"/>
    <n v="8"/>
    <n v="66"/>
    <n v="8.25"/>
    <n v="40"/>
    <n v="39.6"/>
  </r>
  <r>
    <x v="2"/>
    <x v="6"/>
    <s v=""/>
    <x v="1"/>
    <n v="4"/>
    <n v="5"/>
    <n v="1.25"/>
    <n v="40"/>
    <n v="3"/>
  </r>
  <r>
    <x v="2"/>
    <x v="7"/>
    <s v=""/>
    <x v="0"/>
    <n v="3"/>
    <n v="80.260000000000005"/>
    <n v="26.75"/>
    <n v="40"/>
    <n v="48.16"/>
  </r>
  <r>
    <x v="2"/>
    <x v="7"/>
    <s v=""/>
    <x v="1"/>
    <n v="3"/>
    <n v="44"/>
    <n v="14.67"/>
    <n v="40"/>
    <n v="26.4"/>
  </r>
  <r>
    <x v="2"/>
    <x v="7"/>
    <s v=""/>
    <x v="2"/>
    <n v="3"/>
    <n v="40"/>
    <n v="13.33"/>
    <n v="40"/>
    <n v="24"/>
  </r>
  <r>
    <x v="3"/>
    <x v="8"/>
    <s v="Résidence Medoc"/>
    <x v="0"/>
    <n v="39"/>
    <n v="886.19"/>
    <n v="22.72"/>
    <n v="30"/>
    <n v="620.33000000000004"/>
  </r>
  <r>
    <x v="3"/>
    <x v="8"/>
    <s v="Résidence Medoc"/>
    <x v="1"/>
    <n v="39"/>
    <n v="1003.24"/>
    <n v="25.72"/>
    <n v="30"/>
    <n v="702.27"/>
  </r>
  <r>
    <x v="3"/>
    <x v="8"/>
    <s v="Résidence Medoc"/>
    <x v="2"/>
    <n v="39"/>
    <n v="1085.5999999999999"/>
    <n v="27.84"/>
    <n v="30"/>
    <n v="759.92"/>
  </r>
  <r>
    <x v="4"/>
    <x v="9"/>
    <s v=""/>
    <x v="0"/>
    <n v="4.5199999999999996"/>
    <n v="51.5"/>
    <n v="11.39"/>
    <n v="25"/>
    <n v="38.630000000000003"/>
  </r>
  <r>
    <x v="4"/>
    <x v="9"/>
    <s v=""/>
    <x v="1"/>
    <n v="5"/>
    <n v="40.5"/>
    <n v="8.1"/>
    <n v="25"/>
    <n v="30.38"/>
  </r>
  <r>
    <x v="4"/>
    <x v="9"/>
    <s v=""/>
    <x v="2"/>
    <n v="5"/>
    <n v="28.17"/>
    <n v="5.63"/>
    <n v="25"/>
    <n v="21.13"/>
  </r>
  <r>
    <x v="5"/>
    <x v="10"/>
    <s v=""/>
    <x v="2"/>
    <n v="5"/>
    <n v="8"/>
    <n v="1.6"/>
    <n v="25"/>
    <n v="6"/>
  </r>
  <r>
    <x v="6"/>
    <x v="11"/>
    <s v=""/>
    <x v="0"/>
    <n v="5"/>
    <n v="285"/>
    <n v="57"/>
    <n v="25"/>
    <n v="213.75"/>
  </r>
  <r>
    <x v="6"/>
    <x v="11"/>
    <s v=""/>
    <x v="1"/>
    <n v="5"/>
    <n v="496"/>
    <n v="99.2"/>
    <n v="25"/>
    <n v="372"/>
  </r>
  <r>
    <x v="6"/>
    <x v="11"/>
    <s v=""/>
    <x v="2"/>
    <n v="5"/>
    <n v="198"/>
    <n v="39.6"/>
    <n v="25"/>
    <n v="148.5"/>
  </r>
  <r>
    <x v="7"/>
    <x v="12"/>
    <s v=""/>
    <x v="0"/>
    <n v="20"/>
    <n v="271"/>
    <n v="13.55"/>
    <n v="23"/>
    <n v="208.67"/>
  </r>
  <r>
    <x v="7"/>
    <x v="12"/>
    <s v=""/>
    <x v="1"/>
    <n v="20"/>
    <n v="429"/>
    <n v="21.45"/>
    <n v="23"/>
    <n v="330.33"/>
  </r>
  <r>
    <x v="7"/>
    <x v="12"/>
    <s v=""/>
    <x v="2"/>
    <n v="20"/>
    <n v="142"/>
    <n v="7.1"/>
    <n v="23"/>
    <n v="109.34"/>
  </r>
  <r>
    <x v="8"/>
    <x v="13"/>
    <s v=""/>
    <x v="0"/>
    <n v="36"/>
    <n v="2909"/>
    <n v="80.81"/>
    <n v="40"/>
    <n v="1745.4"/>
  </r>
  <r>
    <x v="8"/>
    <x v="13"/>
    <s v=""/>
    <x v="1"/>
    <n v="36"/>
    <n v="2909"/>
    <n v="80.81"/>
    <n v="40"/>
    <n v="1745.4"/>
  </r>
  <r>
    <x v="8"/>
    <x v="13"/>
    <s v=""/>
    <x v="2"/>
    <n v="36"/>
    <n v="2909"/>
    <n v="80.81"/>
    <n v="40"/>
    <n v="1745.4"/>
  </r>
  <r>
    <x v="9"/>
    <x v="14"/>
    <s v=""/>
    <x v="0"/>
    <n v="127"/>
    <n v="4255.83"/>
    <n v="33.51"/>
    <n v="30"/>
    <n v="2979.08"/>
  </r>
  <r>
    <x v="9"/>
    <x v="14"/>
    <s v=""/>
    <x v="1"/>
    <n v="127"/>
    <n v="3300.56"/>
    <n v="25.99"/>
    <n v="30"/>
    <n v="2310.39"/>
  </r>
  <r>
    <x v="9"/>
    <x v="14"/>
    <s v=""/>
    <x v="2"/>
    <n v="127"/>
    <n v="3324.81"/>
    <n v="26.18"/>
    <n v="30"/>
    <n v="2327.37"/>
  </r>
  <r>
    <x v="10"/>
    <x v="15"/>
    <s v="STGE"/>
    <x v="0"/>
    <n v="7"/>
    <n v="351.41"/>
    <n v="50.2"/>
    <n v="35"/>
    <n v="228.42"/>
  </r>
  <r>
    <x v="10"/>
    <x v="15"/>
    <s v="STGE"/>
    <x v="1"/>
    <n v="7"/>
    <n v="355.01"/>
    <n v="50.72"/>
    <n v="35"/>
    <n v="230.76"/>
  </r>
  <r>
    <x v="10"/>
    <x v="15"/>
    <s v="STGE"/>
    <x v="2"/>
    <n v="7"/>
    <n v="366.14"/>
    <n v="52.31"/>
    <n v="35"/>
    <n v="237.99"/>
  </r>
  <r>
    <x v="10"/>
    <x v="16"/>
    <s v="CIEL"/>
    <x v="0"/>
    <n v="7"/>
    <n v="550"/>
    <n v="78.569999999999993"/>
    <n v="40"/>
    <n v="330"/>
  </r>
  <r>
    <x v="10"/>
    <x v="16"/>
    <s v="CIEL"/>
    <x v="1"/>
    <n v="7"/>
    <n v="550"/>
    <n v="78.569999999999993"/>
    <n v="35"/>
    <n v="357.5"/>
  </r>
  <r>
    <x v="10"/>
    <x v="16"/>
    <s v="CIEL"/>
    <x v="2"/>
    <n v="7"/>
    <n v="550"/>
    <n v="78.569999999999993"/>
    <n v="35"/>
    <n v="357.5"/>
  </r>
  <r>
    <x v="11"/>
    <x v="17"/>
    <s v=""/>
    <x v="2"/>
    <n v="4"/>
    <n v="11"/>
    <n v="2.75"/>
    <n v="40"/>
    <n v="6.6"/>
  </r>
  <r>
    <x v="11"/>
    <x v="18"/>
    <s v=""/>
    <x v="1"/>
    <n v="5"/>
    <n v="45"/>
    <n v="9"/>
    <n v="40"/>
    <n v="27"/>
  </r>
  <r>
    <x v="12"/>
    <x v="19"/>
    <s v=""/>
    <x v="0"/>
    <n v="15"/>
    <n v="366.17"/>
    <n v="24.41"/>
    <n v="35"/>
    <n v="238.01"/>
  </r>
  <r>
    <x v="12"/>
    <x v="19"/>
    <s v=""/>
    <x v="1"/>
    <n v="15"/>
    <n v="453.33"/>
    <n v="30.22"/>
    <n v="35"/>
    <n v="294.66000000000003"/>
  </r>
  <r>
    <x v="12"/>
    <x v="19"/>
    <s v=""/>
    <x v="2"/>
    <n v="15"/>
    <n v="343.73"/>
    <n v="22.92"/>
    <n v="35"/>
    <n v="223.42"/>
  </r>
  <r>
    <x v="13"/>
    <x v="20"/>
    <s v=""/>
    <x v="0"/>
    <n v="5"/>
    <n v="103"/>
    <n v="20.6"/>
    <n v="35"/>
    <n v="66.95"/>
  </r>
  <r>
    <x v="13"/>
    <x v="20"/>
    <s v=""/>
    <x v="1"/>
    <n v="5"/>
    <n v="21.59"/>
    <n v="4.32"/>
    <n v="35"/>
    <n v="14.03"/>
  </r>
  <r>
    <x v="13"/>
    <x v="20"/>
    <s v=""/>
    <x v="2"/>
    <n v="5"/>
    <n v="73.239999999999995"/>
    <n v="14.65"/>
    <n v="35"/>
    <n v="47.61"/>
  </r>
  <r>
    <x v="14"/>
    <x v="21"/>
    <s v=""/>
    <x v="0"/>
    <n v="5"/>
    <n v="1438.82"/>
    <n v="287.76"/>
    <n v="35"/>
    <n v="935.23"/>
  </r>
  <r>
    <x v="14"/>
    <x v="21"/>
    <s v=""/>
    <x v="1"/>
    <n v="5"/>
    <n v="1118.9100000000001"/>
    <n v="223.78"/>
    <n v="35"/>
    <n v="727.29"/>
  </r>
  <r>
    <x v="14"/>
    <x v="21"/>
    <s v=""/>
    <x v="2"/>
    <n v="5"/>
    <n v="1181.3900000000001"/>
    <n v="236.28"/>
    <n v="35"/>
    <n v="767.9"/>
  </r>
  <r>
    <x v="15"/>
    <x v="22"/>
    <s v=""/>
    <x v="0"/>
    <n v="8"/>
    <n v="1658.87"/>
    <n v="207.36"/>
    <n v="35"/>
    <n v="1078.27"/>
  </r>
  <r>
    <x v="15"/>
    <x v="22"/>
    <s v=""/>
    <x v="1"/>
    <n v="8"/>
    <n v="503.72"/>
    <n v="62.97"/>
    <n v="35"/>
    <n v="327.42"/>
  </r>
  <r>
    <x v="15"/>
    <x v="22"/>
    <s v=""/>
    <x v="2"/>
    <n v="7.47"/>
    <n v="1408.32"/>
    <n v="188.53"/>
    <n v="35"/>
    <n v="915.41"/>
  </r>
  <r>
    <x v="16"/>
    <x v="23"/>
    <s v=""/>
    <x v="0"/>
    <n v="20"/>
    <n v="551.29999999999995"/>
    <n v="27.56"/>
    <n v="35"/>
    <n v="358.35"/>
  </r>
  <r>
    <x v="16"/>
    <x v="23"/>
    <s v=""/>
    <x v="1"/>
    <n v="20"/>
    <n v="582.08000000000004"/>
    <n v="29.1"/>
    <n v="35"/>
    <n v="378.35"/>
  </r>
  <r>
    <x v="16"/>
    <x v="23"/>
    <s v=""/>
    <x v="2"/>
    <n v="20"/>
    <n v="598.11"/>
    <n v="29.91"/>
    <n v="35"/>
    <n v="388.77"/>
  </r>
  <r>
    <x v="17"/>
    <x v="24"/>
    <s v=""/>
    <x v="0"/>
    <n v="19.48"/>
    <n v="1412.11"/>
    <n v="72.489999999999995"/>
    <n v="35"/>
    <n v="917.87"/>
  </r>
  <r>
    <x v="17"/>
    <x v="24"/>
    <s v=""/>
    <x v="1"/>
    <n v="20"/>
    <n v="1454.86"/>
    <n v="72.739999999999995"/>
    <n v="35"/>
    <n v="945.66"/>
  </r>
  <r>
    <x v="17"/>
    <x v="24"/>
    <s v=""/>
    <x v="2"/>
    <n v="28"/>
    <n v="1361.49"/>
    <n v="48.62"/>
    <n v="35"/>
    <n v="884.97"/>
  </r>
  <r>
    <x v="18"/>
    <x v="25"/>
    <s v=""/>
    <x v="0"/>
    <n v="15"/>
    <n v="987.27"/>
    <n v="65.819999999999993"/>
    <n v="35"/>
    <n v="641.73"/>
  </r>
  <r>
    <x v="18"/>
    <x v="25"/>
    <s v=""/>
    <x v="1"/>
    <n v="15"/>
    <n v="982.77"/>
    <n v="65.52"/>
    <n v="35"/>
    <n v="638.79999999999995"/>
  </r>
  <r>
    <x v="18"/>
    <x v="25"/>
    <s v=""/>
    <x v="2"/>
    <n v="15"/>
    <n v="1111.24"/>
    <n v="74.08"/>
    <n v="35"/>
    <n v="722.31"/>
  </r>
  <r>
    <x v="19"/>
    <x v="26"/>
    <s v=""/>
    <x v="0"/>
    <n v="5"/>
    <n v="623.05999999999995"/>
    <n v="124.61"/>
    <n v="35"/>
    <n v="404.99"/>
  </r>
  <r>
    <x v="19"/>
    <x v="26"/>
    <s v=""/>
    <x v="1"/>
    <n v="5"/>
    <n v="167.39"/>
    <n v="33.479999999999997"/>
    <n v="35"/>
    <n v="108.8"/>
  </r>
  <r>
    <x v="19"/>
    <x v="26"/>
    <s v=""/>
    <x v="2"/>
    <n v="5"/>
    <n v="377.21"/>
    <n v="75.44"/>
    <n v="35"/>
    <n v="245.19"/>
  </r>
  <r>
    <x v="20"/>
    <x v="27"/>
    <s v=""/>
    <x v="0"/>
    <n v="6.55"/>
    <n v="268.25"/>
    <n v="40.950000000000003"/>
    <n v="35"/>
    <n v="174.36"/>
  </r>
  <r>
    <x v="20"/>
    <x v="27"/>
    <s v=""/>
    <x v="1"/>
    <n v="5.81"/>
    <n v="568.47"/>
    <n v="97.84"/>
    <n v="35"/>
    <n v="369.51"/>
  </r>
  <r>
    <x v="20"/>
    <x v="27"/>
    <s v=""/>
    <x v="2"/>
    <n v="10"/>
    <n v="955.41"/>
    <n v="95.54"/>
    <n v="35"/>
    <n v="621.02"/>
  </r>
  <r>
    <x v="21"/>
    <x v="28"/>
    <s v=""/>
    <x v="0"/>
    <n v="20"/>
    <n v="32.08"/>
    <n v="1.6"/>
    <n v="25"/>
    <n v="24.06"/>
  </r>
  <r>
    <x v="21"/>
    <x v="28"/>
    <s v=""/>
    <x v="1"/>
    <n v="20"/>
    <n v="79.88"/>
    <n v="3.99"/>
    <n v="25"/>
    <n v="59.91"/>
  </r>
  <r>
    <x v="21"/>
    <x v="28"/>
    <s v=""/>
    <x v="2"/>
    <n v="20"/>
    <n v="80.53"/>
    <n v="4.03"/>
    <n v="25"/>
    <n v="60.4"/>
  </r>
  <r>
    <x v="22"/>
    <x v="29"/>
    <s v=""/>
    <x v="0"/>
    <n v="42"/>
    <n v="1521.65"/>
    <n v="36.229999999999997"/>
    <n v="40"/>
    <n v="912.99"/>
  </r>
  <r>
    <x v="22"/>
    <x v="29"/>
    <s v=""/>
    <x v="1"/>
    <n v="42"/>
    <n v="1361.01"/>
    <n v="32.409999999999997"/>
    <n v="40"/>
    <n v="816.61"/>
  </r>
  <r>
    <x v="22"/>
    <x v="29"/>
    <s v=""/>
    <x v="2"/>
    <n v="42"/>
    <n v="1965.96"/>
    <n v="46.81"/>
    <n v="35"/>
    <n v="1277.8699999999999"/>
  </r>
  <r>
    <x v="22"/>
    <x v="30"/>
    <s v=""/>
    <x v="0"/>
    <n v="52"/>
    <n v="860.96"/>
    <n v="16.559999999999999"/>
    <n v="40"/>
    <n v="516.58000000000004"/>
  </r>
  <r>
    <x v="22"/>
    <x v="30"/>
    <s v=""/>
    <x v="1"/>
    <n v="52"/>
    <n v="1091.0999999999999"/>
    <n v="20.98"/>
    <n v="40"/>
    <n v="654.66"/>
  </r>
  <r>
    <x v="22"/>
    <x v="30"/>
    <s v=""/>
    <x v="2"/>
    <n v="52"/>
    <n v="1196.57"/>
    <n v="23.01"/>
    <n v="35"/>
    <n v="777.77"/>
  </r>
  <r>
    <x v="23"/>
    <x v="31"/>
    <s v=""/>
    <x v="0"/>
    <n v="100"/>
    <n v="5229.8599999999997"/>
    <n v="52.3"/>
    <n v="40"/>
    <n v="3137.92"/>
  </r>
  <r>
    <x v="23"/>
    <x v="31"/>
    <s v=""/>
    <x v="1"/>
    <n v="100"/>
    <n v="4570.46"/>
    <n v="45.7"/>
    <n v="40"/>
    <n v="2742.28"/>
  </r>
  <r>
    <x v="23"/>
    <x v="31"/>
    <s v=""/>
    <x v="2"/>
    <n v="100"/>
    <n v="4524.07"/>
    <n v="45.24"/>
    <n v="40"/>
    <n v="2714.44"/>
  </r>
  <r>
    <x v="24"/>
    <x v="32"/>
    <s v=""/>
    <x v="0"/>
    <n v="173"/>
    <n v="774.65"/>
    <n v="4.4800000000000004"/>
    <n v="80"/>
    <n v="154.93"/>
  </r>
  <r>
    <x v="24"/>
    <x v="32"/>
    <s v=""/>
    <x v="1"/>
    <n v="173"/>
    <n v="820.9"/>
    <n v="4.75"/>
    <n v="80"/>
    <n v="164.18"/>
  </r>
  <r>
    <x v="24"/>
    <x v="32"/>
    <s v=""/>
    <x v="2"/>
    <n v="173"/>
    <n v="-757.9"/>
    <n v="-4.38"/>
    <n v="80"/>
    <n v="-151.58000000000001"/>
  </r>
  <r>
    <x v="25"/>
    <x v="33"/>
    <s v="9RUEDELAGNY"/>
    <x v="0"/>
    <n v="7"/>
    <n v="490.56"/>
    <n v="70.08"/>
    <n v="35"/>
    <n v="318.86"/>
  </r>
  <r>
    <x v="25"/>
    <x v="33"/>
    <s v="9RUEDELAGNY"/>
    <x v="1"/>
    <n v="7"/>
    <n v="403.46"/>
    <n v="57.64"/>
    <n v="35"/>
    <n v="262.25"/>
  </r>
  <r>
    <x v="25"/>
    <x v="33"/>
    <s v="9RUEDELAGNY"/>
    <x v="2"/>
    <n v="7"/>
    <n v="276.62"/>
    <n v="39.520000000000003"/>
    <n v="35"/>
    <n v="179.8"/>
  </r>
  <r>
    <x v="26"/>
    <x v="34"/>
    <s v=""/>
    <x v="0"/>
    <n v="8"/>
    <n v="35"/>
    <n v="4.38"/>
    <n v="40"/>
    <n v="21"/>
  </r>
  <r>
    <x v="26"/>
    <x v="34"/>
    <s v=""/>
    <x v="1"/>
    <n v="8"/>
    <n v="142.03"/>
    <n v="17.75"/>
    <n v="40"/>
    <n v="85.22"/>
  </r>
  <r>
    <x v="26"/>
    <x v="34"/>
    <s v=""/>
    <x v="2"/>
    <n v="8"/>
    <n v="75"/>
    <n v="9.3800000000000008"/>
    <n v="40"/>
    <n v="45"/>
  </r>
  <r>
    <x v="26"/>
    <x v="35"/>
    <s v=""/>
    <x v="0"/>
    <n v="10"/>
    <n v="257.73"/>
    <n v="25.77"/>
    <n v="40"/>
    <n v="154.63999999999999"/>
  </r>
  <r>
    <x v="26"/>
    <x v="35"/>
    <s v=""/>
    <x v="1"/>
    <n v="10"/>
    <n v="319.01"/>
    <n v="31.9"/>
    <n v="40"/>
    <n v="191.41"/>
  </r>
  <r>
    <x v="26"/>
    <x v="35"/>
    <s v=""/>
    <x v="2"/>
    <n v="9"/>
    <n v="357.52"/>
    <n v="39.72"/>
    <n v="40"/>
    <n v="214.51"/>
  </r>
  <r>
    <x v="26"/>
    <x v="36"/>
    <s v=""/>
    <x v="0"/>
    <n v="1.45"/>
    <n v="79"/>
    <n v="54.48"/>
    <n v="40"/>
    <n v="47.4"/>
  </r>
  <r>
    <x v="26"/>
    <x v="36"/>
    <s v=""/>
    <x v="1"/>
    <n v="1"/>
    <n v="79"/>
    <n v="79"/>
    <n v="40"/>
    <n v="47.4"/>
  </r>
  <r>
    <x v="26"/>
    <x v="36"/>
    <s v=""/>
    <x v="2"/>
    <n v="1"/>
    <n v="79"/>
    <n v="79"/>
    <n v="40"/>
    <n v="47.4"/>
  </r>
  <r>
    <x v="26"/>
    <x v="37"/>
    <s v=""/>
    <x v="0"/>
    <n v="3"/>
    <n v="55"/>
    <n v="18.329999999999998"/>
    <n v="40"/>
    <n v="33"/>
  </r>
  <r>
    <x v="26"/>
    <x v="37"/>
    <s v=""/>
    <x v="1"/>
    <n v="3"/>
    <n v="106.33"/>
    <n v="35.44"/>
    <n v="40"/>
    <n v="63.8"/>
  </r>
  <r>
    <x v="26"/>
    <x v="37"/>
    <s v=""/>
    <x v="2"/>
    <n v="3"/>
    <n v="3.67"/>
    <n v="1.22"/>
    <n v="40"/>
    <n v="2.2000000000000002"/>
  </r>
  <r>
    <x v="26"/>
    <x v="38"/>
    <s v=""/>
    <x v="0"/>
    <n v="4"/>
    <n v="209.85"/>
    <n v="52.46"/>
    <n v="40"/>
    <n v="125.91"/>
  </r>
  <r>
    <x v="26"/>
    <x v="38"/>
    <s v=""/>
    <x v="1"/>
    <n v="4"/>
    <n v="218.95"/>
    <n v="54.74"/>
    <n v="40"/>
    <n v="131.37"/>
  </r>
  <r>
    <x v="26"/>
    <x v="38"/>
    <s v=""/>
    <x v="2"/>
    <n v="3.43"/>
    <n v="194.45"/>
    <n v="56.69"/>
    <n v="40"/>
    <n v="116.67"/>
  </r>
  <r>
    <x v="27"/>
    <x v="39"/>
    <s v=""/>
    <x v="0"/>
    <n v="10"/>
    <n v="501.71"/>
    <n v="50.17"/>
    <n v="35"/>
    <n v="326.11"/>
  </r>
  <r>
    <x v="27"/>
    <x v="39"/>
    <s v=""/>
    <x v="1"/>
    <n v="10"/>
    <n v="215.26"/>
    <n v="21.53"/>
    <n v="35"/>
    <n v="139.91999999999999"/>
  </r>
  <r>
    <x v="27"/>
    <x v="39"/>
    <s v=""/>
    <x v="2"/>
    <n v="10"/>
    <n v="391.69"/>
    <n v="39.17"/>
    <n v="35"/>
    <n v="254.6"/>
  </r>
  <r>
    <x v="27"/>
    <x v="40"/>
    <s v=""/>
    <x v="0"/>
    <n v="19"/>
    <n v="2656.79"/>
    <n v="139.83000000000001"/>
    <n v="35"/>
    <n v="1726.91"/>
  </r>
  <r>
    <x v="27"/>
    <x v="40"/>
    <s v=""/>
    <x v="1"/>
    <n v="19"/>
    <n v="2102.7600000000002"/>
    <n v="110.67"/>
    <n v="35"/>
    <n v="1366.79"/>
  </r>
  <r>
    <x v="27"/>
    <x v="40"/>
    <s v=""/>
    <x v="2"/>
    <n v="19"/>
    <n v="2467.4499999999998"/>
    <n v="129.87"/>
    <n v="35"/>
    <n v="1603.84"/>
  </r>
  <r>
    <x v="27"/>
    <x v="41"/>
    <s v=""/>
    <x v="0"/>
    <n v="5"/>
    <n v="499.4"/>
    <n v="99.88"/>
    <n v="35"/>
    <n v="324.61"/>
  </r>
  <r>
    <x v="27"/>
    <x v="41"/>
    <s v=""/>
    <x v="1"/>
    <n v="5"/>
    <n v="683.15"/>
    <n v="136.63"/>
    <n v="35"/>
    <n v="444.05"/>
  </r>
  <r>
    <x v="27"/>
    <x v="41"/>
    <s v=""/>
    <x v="2"/>
    <n v="5"/>
    <n v="641.26"/>
    <n v="128.25"/>
    <n v="35"/>
    <n v="416.82"/>
  </r>
  <r>
    <x v="28"/>
    <x v="42"/>
    <s v="3150"/>
    <x v="0"/>
    <n v="10"/>
    <n v="183.84"/>
    <n v="18.38"/>
    <n v="40"/>
    <n v="110.3"/>
  </r>
  <r>
    <x v="28"/>
    <x v="42"/>
    <s v="3150"/>
    <x v="1"/>
    <n v="10"/>
    <n v="159.58000000000001"/>
    <n v="15.96"/>
    <n v="40"/>
    <n v="95.75"/>
  </r>
  <r>
    <x v="28"/>
    <x v="42"/>
    <s v="3150"/>
    <x v="2"/>
    <n v="10"/>
    <n v="165.73"/>
    <n v="16.57"/>
    <n v="40"/>
    <n v="99.44"/>
  </r>
  <r>
    <x v="28"/>
    <x v="43"/>
    <s v="3189"/>
    <x v="0"/>
    <n v="0"/>
    <n v="50"/>
    <s v=""/>
    <n v="40"/>
    <n v="30"/>
  </r>
  <r>
    <x v="28"/>
    <x v="43"/>
    <s v="3189"/>
    <x v="1"/>
    <n v="0.81"/>
    <n v="50"/>
    <n v="61.73"/>
    <n v="40"/>
    <n v="30"/>
  </r>
  <r>
    <x v="28"/>
    <x v="43"/>
    <s v="3189"/>
    <x v="2"/>
    <n v="5"/>
    <n v="59.5"/>
    <n v="11.9"/>
    <n v="40"/>
    <n v="35.700000000000003"/>
  </r>
  <r>
    <x v="29"/>
    <x v="44"/>
    <s v=""/>
    <x v="0"/>
    <n v="4"/>
    <n v="197.54"/>
    <n v="49.38"/>
    <n v="40"/>
    <n v="118.52"/>
  </r>
  <r>
    <x v="29"/>
    <x v="44"/>
    <s v=""/>
    <x v="1"/>
    <n v="4"/>
    <n v="164.48"/>
    <n v="41.12"/>
    <n v="40"/>
    <n v="98.69"/>
  </r>
  <r>
    <x v="29"/>
    <x v="44"/>
    <s v=""/>
    <x v="2"/>
    <n v="4"/>
    <n v="169.35"/>
    <n v="42.34"/>
    <n v="40"/>
    <n v="101.61"/>
  </r>
  <r>
    <x v="30"/>
    <x v="45"/>
    <s v="3020"/>
    <x v="0"/>
    <n v="4"/>
    <n v="978.82"/>
    <n v="244.71"/>
    <n v="40"/>
    <n v="587.29"/>
  </r>
  <r>
    <x v="30"/>
    <x v="45"/>
    <s v="3020"/>
    <x v="1"/>
    <n v="4"/>
    <n v="598.04999999999995"/>
    <n v="149.51"/>
    <n v="40"/>
    <n v="358.83"/>
  </r>
  <r>
    <x v="30"/>
    <x v="45"/>
    <s v="3020"/>
    <x v="2"/>
    <n v="4"/>
    <n v="888.63"/>
    <n v="222.16"/>
    <n v="40"/>
    <n v="533.17999999999995"/>
  </r>
  <r>
    <x v="30"/>
    <x v="46"/>
    <s v="3039"/>
    <x v="0"/>
    <n v="4"/>
    <n v="713.88"/>
    <n v="178.47"/>
    <n v="40"/>
    <n v="428.33"/>
  </r>
  <r>
    <x v="30"/>
    <x v="46"/>
    <s v="3039"/>
    <x v="1"/>
    <n v="4"/>
    <n v="350.7"/>
    <n v="87.67"/>
    <n v="40"/>
    <n v="210.42"/>
  </r>
  <r>
    <x v="30"/>
    <x v="46"/>
    <s v="3039"/>
    <x v="2"/>
    <n v="4"/>
    <n v="589.98"/>
    <n v="147.5"/>
    <n v="40"/>
    <n v="353.99"/>
  </r>
  <r>
    <x v="30"/>
    <x v="47"/>
    <s v="3058"/>
    <x v="0"/>
    <n v="4"/>
    <n v="361.58"/>
    <n v="90.39"/>
    <n v="40"/>
    <n v="216.95"/>
  </r>
  <r>
    <x v="30"/>
    <x v="47"/>
    <s v="3058"/>
    <x v="1"/>
    <n v="4"/>
    <n v="369.03"/>
    <n v="92.26"/>
    <n v="40"/>
    <n v="221.42"/>
  </r>
  <r>
    <x v="30"/>
    <x v="47"/>
    <s v="3058"/>
    <x v="2"/>
    <n v="4"/>
    <n v="432.67"/>
    <n v="108.17"/>
    <n v="40"/>
    <n v="259.60000000000002"/>
  </r>
  <r>
    <x v="31"/>
    <x v="48"/>
    <s v=""/>
    <x v="0"/>
    <n v="13.55"/>
    <n v="457"/>
    <n v="33.729999999999997"/>
    <n v="20"/>
    <n v="365.6"/>
  </r>
  <r>
    <x v="31"/>
    <x v="48"/>
    <s v=""/>
    <x v="1"/>
    <n v="10.29"/>
    <n v="763.5"/>
    <n v="74.2"/>
    <n v="20"/>
    <n v="610.79999999999995"/>
  </r>
  <r>
    <x v="31"/>
    <x v="48"/>
    <s v=""/>
    <x v="2"/>
    <n v="14"/>
    <n v="505.5"/>
    <n v="36.11"/>
    <n v="20"/>
    <n v="404.4"/>
  </r>
  <r>
    <x v="32"/>
    <x v="49"/>
    <s v=""/>
    <x v="0"/>
    <n v="57"/>
    <n v="260.52"/>
    <n v="4.57"/>
    <n v="35"/>
    <n v="169.34"/>
  </r>
  <r>
    <x v="32"/>
    <x v="49"/>
    <s v=""/>
    <x v="1"/>
    <n v="57"/>
    <n v="262.08"/>
    <n v="4.5999999999999996"/>
    <n v="35"/>
    <n v="170.35"/>
  </r>
  <r>
    <x v="32"/>
    <x v="49"/>
    <s v=""/>
    <x v="2"/>
    <n v="57"/>
    <n v="300.32"/>
    <n v="5.27"/>
    <n v="35"/>
    <n v="195.21"/>
  </r>
  <r>
    <x v="33"/>
    <x v="50"/>
    <s v=""/>
    <x v="0"/>
    <n v="1.94"/>
    <n v="67.33"/>
    <n v="34.71"/>
    <n v="40"/>
    <n v="40.4"/>
  </r>
  <r>
    <x v="33"/>
    <x v="50"/>
    <s v=""/>
    <x v="1"/>
    <n v="0"/>
    <n v="7"/>
    <s v=""/>
    <n v="40"/>
    <n v="4.2"/>
  </r>
  <r>
    <x v="33"/>
    <x v="50"/>
    <s v=""/>
    <x v="2"/>
    <n v="2.33"/>
    <n v="89.19"/>
    <n v="38.28"/>
    <n v="40"/>
    <n v="53.51"/>
  </r>
  <r>
    <x v="34"/>
    <x v="51"/>
    <s v=""/>
    <x v="0"/>
    <n v="20"/>
    <n v="190.9"/>
    <n v="9.5399999999999991"/>
    <n v="25"/>
    <n v="143.18"/>
  </r>
  <r>
    <x v="34"/>
    <x v="51"/>
    <s v=""/>
    <x v="1"/>
    <n v="9.68"/>
    <n v="1025.7"/>
    <n v="105.96"/>
    <n v="25"/>
    <n v="769.27"/>
  </r>
  <r>
    <x v="35"/>
    <x v="52"/>
    <s v=""/>
    <x v="0"/>
    <n v="10"/>
    <n v="38.5"/>
    <n v="3.85"/>
    <n v="20"/>
    <n v="30.8"/>
  </r>
  <r>
    <x v="35"/>
    <x v="52"/>
    <s v=""/>
    <x v="1"/>
    <n v="10"/>
    <n v="124.5"/>
    <n v="12.45"/>
    <n v="20"/>
    <n v="99.6"/>
  </r>
  <r>
    <x v="35"/>
    <x v="52"/>
    <s v=""/>
    <x v="2"/>
    <n v="10"/>
    <n v="143.5"/>
    <n v="14.35"/>
    <n v="20"/>
    <n v="114.8"/>
  </r>
  <r>
    <x v="35"/>
    <x v="53"/>
    <s v=""/>
    <x v="2"/>
    <n v="5"/>
    <n v="62"/>
    <n v="12.4"/>
    <n v="20"/>
    <n v="49.6"/>
  </r>
  <r>
    <x v="36"/>
    <x v="54"/>
    <s v=""/>
    <x v="0"/>
    <n v="10"/>
    <n v="91.7"/>
    <n v="9.17"/>
    <n v="40"/>
    <n v="55.02"/>
  </r>
  <r>
    <x v="36"/>
    <x v="54"/>
    <s v=""/>
    <x v="1"/>
    <n v="10"/>
    <n v="178"/>
    <n v="17.8"/>
    <n v="40"/>
    <n v="106.8"/>
  </r>
  <r>
    <x v="36"/>
    <x v="54"/>
    <s v=""/>
    <x v="2"/>
    <n v="10"/>
    <n v="0"/>
    <n v="0"/>
    <n v="40"/>
    <n v="0"/>
  </r>
  <r>
    <x v="37"/>
    <x v="55"/>
    <s v=""/>
    <x v="0"/>
    <n v="10"/>
    <n v="4"/>
    <n v="0.4"/>
    <n v="40"/>
    <n v="2.4"/>
  </r>
  <r>
    <x v="37"/>
    <x v="55"/>
    <s v=""/>
    <x v="1"/>
    <n v="10"/>
    <n v="6"/>
    <n v="0.6"/>
    <n v="40"/>
    <n v="3.6"/>
  </r>
  <r>
    <x v="37"/>
    <x v="55"/>
    <s v=""/>
    <x v="2"/>
    <n v="10"/>
    <n v="14"/>
    <n v="1.4"/>
    <n v="40"/>
    <n v="8.4"/>
  </r>
  <r>
    <x v="38"/>
    <x v="56"/>
    <s v=""/>
    <x v="0"/>
    <n v="4"/>
    <n v="45"/>
    <n v="11.25"/>
    <n v="35"/>
    <n v="29.25"/>
  </r>
  <r>
    <x v="38"/>
    <x v="56"/>
    <s v=""/>
    <x v="1"/>
    <n v="4"/>
    <n v="128.47999999999999"/>
    <n v="32.119999999999997"/>
    <n v="35"/>
    <n v="83.51"/>
  </r>
  <r>
    <x v="39"/>
    <x v="57"/>
    <s v=""/>
    <x v="0"/>
    <n v="8"/>
    <n v="712.49"/>
    <n v="89.06"/>
    <n v="30"/>
    <n v="498.74"/>
  </r>
  <r>
    <x v="39"/>
    <x v="57"/>
    <s v=""/>
    <x v="1"/>
    <n v="3.1"/>
    <n v="933.31"/>
    <n v="301.07"/>
    <n v="30"/>
    <n v="653.32000000000005"/>
  </r>
  <r>
    <x v="39"/>
    <x v="57"/>
    <s v=""/>
    <x v="2"/>
    <n v="1"/>
    <n v="756.64"/>
    <n v="756.64"/>
    <n v="30"/>
    <n v="529.65"/>
  </r>
  <r>
    <x v="40"/>
    <x v="58"/>
    <s v=""/>
    <x v="0"/>
    <n v="13"/>
    <n v="1008.07"/>
    <n v="77.540000000000006"/>
    <n v="30"/>
    <n v="705.65"/>
  </r>
  <r>
    <x v="40"/>
    <x v="58"/>
    <s v=""/>
    <x v="1"/>
    <n v="13"/>
    <n v="1696.15"/>
    <n v="130.47"/>
    <n v="30"/>
    <n v="1187.31"/>
  </r>
  <r>
    <x v="40"/>
    <x v="58"/>
    <s v=""/>
    <x v="2"/>
    <n v="19"/>
    <n v="969.82"/>
    <n v="51.04"/>
    <n v="30"/>
    <n v="678.87"/>
  </r>
  <r>
    <x v="41"/>
    <x v="59"/>
    <s v=""/>
    <x v="0"/>
    <n v="4"/>
    <n v="42.28"/>
    <n v="10.57"/>
    <n v="30"/>
    <n v="29.6"/>
  </r>
  <r>
    <x v="41"/>
    <x v="59"/>
    <s v=""/>
    <x v="1"/>
    <n v="4"/>
    <n v="18.940000000000001"/>
    <n v="4.74"/>
    <n v="30"/>
    <n v="13.26"/>
  </r>
  <r>
    <x v="41"/>
    <x v="59"/>
    <s v=""/>
    <x v="2"/>
    <n v="4"/>
    <n v="2.39"/>
    <n v="0.6"/>
    <n v="30"/>
    <n v="1.67"/>
  </r>
  <r>
    <x v="42"/>
    <x v="60"/>
    <s v=""/>
    <x v="0"/>
    <n v="5"/>
    <n v="216.52"/>
    <n v="43.3"/>
    <n v="30"/>
    <n v="151.56"/>
  </r>
  <r>
    <x v="42"/>
    <x v="60"/>
    <s v=""/>
    <x v="1"/>
    <n v="5"/>
    <n v="912.4"/>
    <n v="182.48"/>
    <n v="30"/>
    <n v="638.67999999999995"/>
  </r>
  <r>
    <x v="42"/>
    <x v="60"/>
    <s v=""/>
    <x v="2"/>
    <n v="5"/>
    <n v="670.75"/>
    <n v="134.15"/>
    <n v="30"/>
    <n v="469.52"/>
  </r>
  <r>
    <x v="43"/>
    <x v="61"/>
    <s v=""/>
    <x v="0"/>
    <n v="30"/>
    <n v="1908.98"/>
    <n v="63.63"/>
    <n v="50"/>
    <n v="954.49"/>
  </r>
  <r>
    <x v="43"/>
    <x v="61"/>
    <s v=""/>
    <x v="1"/>
    <n v="30"/>
    <n v="1910.92"/>
    <n v="63.7"/>
    <n v="50"/>
    <n v="955.46"/>
  </r>
  <r>
    <x v="43"/>
    <x v="61"/>
    <s v=""/>
    <x v="2"/>
    <n v="30"/>
    <n v="1813.54"/>
    <n v="60.45"/>
    <n v="50"/>
    <n v="906.77"/>
  </r>
  <r>
    <x v="44"/>
    <x v="62"/>
    <s v=""/>
    <x v="0"/>
    <n v="64"/>
    <n v="8211.5400000000009"/>
    <n v="128.31"/>
    <n v="30"/>
    <n v="5748.08"/>
  </r>
  <r>
    <x v="44"/>
    <x v="62"/>
    <s v=""/>
    <x v="1"/>
    <n v="64"/>
    <n v="7899.59"/>
    <n v="123.43"/>
    <n v="30"/>
    <n v="5529.71"/>
  </r>
  <r>
    <x v="44"/>
    <x v="62"/>
    <s v=""/>
    <x v="2"/>
    <n v="64"/>
    <n v="9589.7999999999993"/>
    <n v="149.84"/>
    <n v="30"/>
    <n v="6712.86"/>
  </r>
  <r>
    <x v="45"/>
    <x v="63"/>
    <s v=""/>
    <x v="0"/>
    <n v="150"/>
    <n v="1948.8"/>
    <n v="12.99"/>
    <n v="50"/>
    <n v="974.4"/>
  </r>
  <r>
    <x v="45"/>
    <x v="63"/>
    <s v=""/>
    <x v="2"/>
    <n v="150"/>
    <n v="461.5"/>
    <n v="3.08"/>
    <n v="50"/>
    <n v="230.75"/>
  </r>
  <r>
    <x v="46"/>
    <x v="64"/>
    <s v=""/>
    <x v="0"/>
    <n v="4"/>
    <n v="766.35"/>
    <n v="191.59"/>
    <n v="35"/>
    <n v="498.13"/>
  </r>
  <r>
    <x v="46"/>
    <x v="64"/>
    <s v=""/>
    <x v="1"/>
    <n v="4"/>
    <n v="792.96"/>
    <n v="198.24"/>
    <n v="35"/>
    <n v="515.41999999999996"/>
  </r>
  <r>
    <x v="46"/>
    <x v="64"/>
    <s v=""/>
    <x v="2"/>
    <n v="4"/>
    <n v="1036.24"/>
    <n v="259.06"/>
    <n v="35"/>
    <n v="673.56"/>
  </r>
  <r>
    <x v="47"/>
    <x v="65"/>
    <s v=""/>
    <x v="0"/>
    <n v="28"/>
    <n v="4004.42"/>
    <n v="143.02000000000001"/>
    <n v="35"/>
    <n v="2602.87"/>
  </r>
  <r>
    <x v="47"/>
    <x v="65"/>
    <s v=""/>
    <x v="1"/>
    <n v="28"/>
    <n v="4285.55"/>
    <n v="153.06"/>
    <n v="35"/>
    <n v="2785.61"/>
  </r>
  <r>
    <x v="47"/>
    <x v="65"/>
    <s v=""/>
    <x v="2"/>
    <n v="28"/>
    <n v="3717.51"/>
    <n v="132.77000000000001"/>
    <n v="35"/>
    <n v="2416.38"/>
  </r>
  <r>
    <x v="48"/>
    <x v="66"/>
    <s v=""/>
    <x v="0"/>
    <n v="10"/>
    <n v="2446.63"/>
    <n v="244.66"/>
    <n v="35"/>
    <n v="1590.31"/>
  </r>
  <r>
    <x v="48"/>
    <x v="66"/>
    <s v=""/>
    <x v="1"/>
    <n v="10"/>
    <n v="2502.92"/>
    <n v="250.29"/>
    <n v="35"/>
    <n v="1626.9"/>
  </r>
  <r>
    <x v="48"/>
    <x v="66"/>
    <s v=""/>
    <x v="2"/>
    <n v="10"/>
    <n v="2409.85"/>
    <n v="240.98"/>
    <n v="35"/>
    <n v="1566.4"/>
  </r>
  <r>
    <x v="49"/>
    <x v="67"/>
    <s v=""/>
    <x v="0"/>
    <n v="5"/>
    <n v="609"/>
    <n v="121.8"/>
    <n v="35"/>
    <n v="395.85"/>
  </r>
  <r>
    <x v="49"/>
    <x v="67"/>
    <s v=""/>
    <x v="1"/>
    <n v="5"/>
    <n v="609"/>
    <n v="121.8"/>
    <n v="35"/>
    <n v="395.85"/>
  </r>
  <r>
    <x v="49"/>
    <x v="67"/>
    <s v=""/>
    <x v="2"/>
    <n v="5"/>
    <n v="609"/>
    <n v="121.8"/>
    <n v="35"/>
    <n v="395.85"/>
  </r>
  <r>
    <x v="50"/>
    <x v="68"/>
    <s v=""/>
    <x v="0"/>
    <n v="15"/>
    <n v="3325.07"/>
    <n v="221.67"/>
    <n v="35"/>
    <n v="2161.3000000000002"/>
  </r>
  <r>
    <x v="50"/>
    <x v="68"/>
    <s v=""/>
    <x v="1"/>
    <n v="15"/>
    <n v="3002.57"/>
    <n v="200.17"/>
    <n v="35"/>
    <n v="1951.67"/>
  </r>
  <r>
    <x v="50"/>
    <x v="68"/>
    <s v=""/>
    <x v="2"/>
    <n v="14.5"/>
    <n v="2674.44"/>
    <n v="184.44"/>
    <n v="35"/>
    <n v="1738.39"/>
  </r>
  <r>
    <x v="51"/>
    <x v="69"/>
    <s v=""/>
    <x v="0"/>
    <n v="5"/>
    <n v="1151.95"/>
    <n v="230.39"/>
    <n v="35"/>
    <n v="748.77"/>
  </r>
  <r>
    <x v="51"/>
    <x v="69"/>
    <s v=""/>
    <x v="1"/>
    <n v="5"/>
    <n v="1187.33"/>
    <n v="237.47"/>
    <n v="35"/>
    <n v="771.76"/>
  </r>
  <r>
    <x v="51"/>
    <x v="69"/>
    <s v=""/>
    <x v="2"/>
    <n v="5"/>
    <n v="1138.8"/>
    <n v="227.76"/>
    <n v="35"/>
    <n v="740.22"/>
  </r>
  <r>
    <x v="52"/>
    <x v="70"/>
    <s v=""/>
    <x v="0"/>
    <n v="6"/>
    <n v="840.43"/>
    <n v="140.07"/>
    <n v="35"/>
    <n v="546.28"/>
  </r>
  <r>
    <x v="52"/>
    <x v="70"/>
    <s v=""/>
    <x v="1"/>
    <n v="6"/>
    <n v="933.95"/>
    <n v="155.66"/>
    <n v="35"/>
    <n v="607.07000000000005"/>
  </r>
  <r>
    <x v="52"/>
    <x v="70"/>
    <s v=""/>
    <x v="2"/>
    <n v="6"/>
    <n v="1065.56"/>
    <n v="177.59"/>
    <n v="35"/>
    <n v="692.61"/>
  </r>
  <r>
    <x v="53"/>
    <x v="71"/>
    <s v=""/>
    <x v="0"/>
    <n v="7"/>
    <n v="2700.29"/>
    <n v="385.76"/>
    <n v="50"/>
    <n v="1350.14"/>
  </r>
  <r>
    <x v="53"/>
    <x v="71"/>
    <s v=""/>
    <x v="1"/>
    <n v="7"/>
    <n v="1589.52"/>
    <n v="227.07"/>
    <n v="35"/>
    <n v="1033.19"/>
  </r>
  <r>
    <x v="53"/>
    <x v="71"/>
    <s v=""/>
    <x v="2"/>
    <n v="7"/>
    <n v="1981.97"/>
    <n v="283.14"/>
    <n v="35"/>
    <n v="1288.28"/>
  </r>
  <r>
    <x v="54"/>
    <x v="72"/>
    <s v=""/>
    <x v="0"/>
    <n v="24"/>
    <n v="5730.25"/>
    <n v="238.76"/>
    <n v="35"/>
    <n v="3724.66"/>
  </r>
  <r>
    <x v="54"/>
    <x v="72"/>
    <s v=""/>
    <x v="1"/>
    <n v="24"/>
    <n v="6285.99"/>
    <n v="261.92"/>
    <n v="35"/>
    <n v="4085.89"/>
  </r>
  <r>
    <x v="54"/>
    <x v="72"/>
    <s v=""/>
    <x v="2"/>
    <n v="24"/>
    <n v="5787.28"/>
    <n v="241.14"/>
    <n v="35"/>
    <n v="3761.73"/>
  </r>
  <r>
    <x v="55"/>
    <x v="73"/>
    <s v=""/>
    <x v="1"/>
    <n v="3"/>
    <n v="28.19"/>
    <n v="9.4"/>
    <n v="40"/>
    <n v="16.91"/>
  </r>
  <r>
    <x v="55"/>
    <x v="73"/>
    <s v=""/>
    <x v="2"/>
    <n v="3"/>
    <n v="38"/>
    <n v="12.67"/>
    <n v="40"/>
    <n v="22.8"/>
  </r>
  <r>
    <x v="55"/>
    <x v="74"/>
    <s v=""/>
    <x v="1"/>
    <n v="3"/>
    <n v="45"/>
    <n v="15"/>
    <n v="40"/>
    <n v="27"/>
  </r>
  <r>
    <x v="55"/>
    <x v="75"/>
    <s v=""/>
    <x v="1"/>
    <n v="3"/>
    <n v="31.94"/>
    <n v="10.65"/>
    <n v="40"/>
    <n v="19.16"/>
  </r>
  <r>
    <x v="55"/>
    <x v="75"/>
    <s v=""/>
    <x v="2"/>
    <n v="3"/>
    <n v="51"/>
    <n v="17"/>
    <n v="40"/>
    <n v="30.6"/>
  </r>
  <r>
    <x v="55"/>
    <x v="76"/>
    <s v=""/>
    <x v="2"/>
    <n v="1"/>
    <n v="0"/>
    <n v="0"/>
    <n v="40"/>
    <n v="0"/>
  </r>
  <r>
    <x v="55"/>
    <x v="77"/>
    <s v=""/>
    <x v="2"/>
    <n v="0.33"/>
    <n v="10.6"/>
    <n v="32.119999999999997"/>
    <n v="40"/>
    <n v="6.36"/>
  </r>
  <r>
    <x v="55"/>
    <x v="78"/>
    <s v=""/>
    <x v="2"/>
    <n v="2"/>
    <n v="31.35"/>
    <n v="15.68"/>
    <n v="40"/>
    <n v="18.809999999999999"/>
  </r>
  <r>
    <x v="56"/>
    <x v="79"/>
    <s v=""/>
    <x v="1"/>
    <n v="14"/>
    <n v="24"/>
    <n v="1.71"/>
    <n v="50"/>
    <n v="12"/>
  </r>
  <r>
    <x v="57"/>
    <x v="80"/>
    <s v=""/>
    <x v="0"/>
    <n v="15"/>
    <n v="2357.2199999999998"/>
    <n v="157.15"/>
    <n v="35"/>
    <n v="1532.19"/>
  </r>
  <r>
    <x v="57"/>
    <x v="80"/>
    <s v=""/>
    <x v="1"/>
    <n v="15"/>
    <n v="2376.15"/>
    <n v="158.41"/>
    <n v="35"/>
    <n v="1544.5"/>
  </r>
  <r>
    <x v="57"/>
    <x v="80"/>
    <s v=""/>
    <x v="2"/>
    <n v="15"/>
    <n v="976.28"/>
    <n v="65.09"/>
    <n v="35"/>
    <n v="634.58000000000004"/>
  </r>
  <r>
    <x v="58"/>
    <x v="81"/>
    <s v=""/>
    <x v="0"/>
    <n v="19"/>
    <n v="1997"/>
    <n v="105.11"/>
    <n v="25"/>
    <n v="1497.75"/>
  </r>
  <r>
    <x v="58"/>
    <x v="81"/>
    <s v=""/>
    <x v="1"/>
    <n v="19"/>
    <n v="1894.39"/>
    <n v="99.7"/>
    <n v="25"/>
    <n v="1420.79"/>
  </r>
  <r>
    <x v="58"/>
    <x v="81"/>
    <s v=""/>
    <x v="2"/>
    <n v="19"/>
    <n v="1679"/>
    <n v="88.37"/>
    <n v="25"/>
    <n v="1259.25"/>
  </r>
  <r>
    <x v="59"/>
    <x v="82"/>
    <s v=""/>
    <x v="0"/>
    <n v="15"/>
    <n v="898.32"/>
    <n v="59.89"/>
    <n v="35"/>
    <n v="583.91"/>
  </r>
  <r>
    <x v="59"/>
    <x v="82"/>
    <s v=""/>
    <x v="1"/>
    <n v="15"/>
    <n v="1045.31"/>
    <n v="69.69"/>
    <n v="35"/>
    <n v="679.45"/>
  </r>
  <r>
    <x v="59"/>
    <x v="82"/>
    <s v=""/>
    <x v="2"/>
    <n v="15"/>
    <n v="892.23"/>
    <n v="59.48"/>
    <n v="35"/>
    <n v="579.95000000000005"/>
  </r>
  <r>
    <x v="60"/>
    <x v="83"/>
    <s v="GF"/>
    <x v="0"/>
    <n v="30"/>
    <n v="5703.27"/>
    <n v="190.11"/>
    <n v="25"/>
    <n v="4277.45"/>
  </r>
  <r>
    <x v="60"/>
    <x v="83"/>
    <s v="GF"/>
    <x v="1"/>
    <n v="30"/>
    <n v="5042.29"/>
    <n v="168.08"/>
    <n v="25"/>
    <n v="3781.72"/>
  </r>
  <r>
    <x v="60"/>
    <x v="83"/>
    <s v="GF"/>
    <x v="2"/>
    <n v="30"/>
    <n v="5816.34"/>
    <n v="193.88"/>
    <n v="25"/>
    <n v="4362.26"/>
  </r>
  <r>
    <x v="61"/>
    <x v="84"/>
    <s v="PRE1"/>
    <x v="0"/>
    <n v="10"/>
    <n v="264.44"/>
    <n v="26.44"/>
    <n v="35"/>
    <n v="171.89"/>
  </r>
  <r>
    <x v="61"/>
    <x v="84"/>
    <s v="PRE1"/>
    <x v="1"/>
    <n v="10"/>
    <n v="264"/>
    <n v="26.4"/>
    <n v="35"/>
    <n v="171.6"/>
  </r>
  <r>
    <x v="61"/>
    <x v="84"/>
    <s v="PRE1"/>
    <x v="2"/>
    <n v="10"/>
    <n v="264.81"/>
    <n v="26.48"/>
    <n v="35"/>
    <n v="172.13"/>
  </r>
  <r>
    <x v="62"/>
    <x v="85"/>
    <s v=""/>
    <x v="0"/>
    <n v="1.77"/>
    <n v="115.18"/>
    <n v="65.069999999999993"/>
    <n v="40"/>
    <n v="69.11"/>
  </r>
  <r>
    <x v="62"/>
    <x v="85"/>
    <s v=""/>
    <x v="1"/>
    <n v="0"/>
    <n v="5.36"/>
    <s v=""/>
    <n v="40"/>
    <n v="3.22"/>
  </r>
  <r>
    <x v="62"/>
    <x v="85"/>
    <s v=""/>
    <x v="2"/>
    <n v="5"/>
    <n v="536.6"/>
    <n v="107.32"/>
    <n v="40"/>
    <n v="321.95999999999998"/>
  </r>
  <r>
    <x v="63"/>
    <x v="86"/>
    <s v=""/>
    <x v="0"/>
    <n v="7"/>
    <n v="225.57"/>
    <n v="32.22"/>
    <n v="40"/>
    <n v="135.34"/>
  </r>
  <r>
    <x v="63"/>
    <x v="86"/>
    <s v=""/>
    <x v="1"/>
    <n v="7"/>
    <n v="424.4"/>
    <n v="60.63"/>
    <n v="40"/>
    <n v="254.64"/>
  </r>
  <r>
    <x v="63"/>
    <x v="86"/>
    <s v=""/>
    <x v="2"/>
    <n v="7"/>
    <n v="321.57"/>
    <n v="45.94"/>
    <n v="40"/>
    <n v="192.94"/>
  </r>
  <r>
    <x v="64"/>
    <x v="87"/>
    <s v="731"/>
    <x v="0"/>
    <n v="7"/>
    <n v="380.12"/>
    <n v="54.3"/>
    <n v="35"/>
    <n v="247.08"/>
  </r>
  <r>
    <x v="64"/>
    <x v="87"/>
    <s v="731"/>
    <x v="1"/>
    <n v="7"/>
    <n v="683.89"/>
    <n v="97.7"/>
    <n v="35"/>
    <n v="444.53"/>
  </r>
  <r>
    <x v="64"/>
    <x v="87"/>
    <s v="731"/>
    <x v="2"/>
    <n v="7"/>
    <n v="741.68"/>
    <n v="105.95"/>
    <n v="35"/>
    <n v="482.09"/>
  </r>
  <r>
    <x v="64"/>
    <x v="88"/>
    <s v="072"/>
    <x v="0"/>
    <n v="10"/>
    <n v="270"/>
    <n v="27"/>
    <n v="70"/>
    <n v="81"/>
  </r>
  <r>
    <x v="64"/>
    <x v="88"/>
    <s v="072"/>
    <x v="1"/>
    <n v="10"/>
    <n v="270"/>
    <n v="27"/>
    <n v="70"/>
    <n v="81"/>
  </r>
  <r>
    <x v="64"/>
    <x v="88"/>
    <s v="072"/>
    <x v="2"/>
    <n v="10"/>
    <n v="270"/>
    <n v="27"/>
    <n v="70"/>
    <n v="81"/>
  </r>
  <r>
    <x v="64"/>
    <x v="89"/>
    <s v="073"/>
    <x v="0"/>
    <n v="10"/>
    <n v="299.02999999999997"/>
    <n v="29.9"/>
    <n v="70"/>
    <n v="89.71"/>
  </r>
  <r>
    <x v="64"/>
    <x v="89"/>
    <s v="073"/>
    <x v="1"/>
    <n v="10"/>
    <n v="348.07"/>
    <n v="34.81"/>
    <n v="70"/>
    <n v="104.42"/>
  </r>
  <r>
    <x v="64"/>
    <x v="89"/>
    <s v="073"/>
    <x v="2"/>
    <n v="10"/>
    <n v="391.5"/>
    <n v="39.15"/>
    <n v="70"/>
    <n v="117.45"/>
  </r>
  <r>
    <x v="65"/>
    <x v="90"/>
    <s v=""/>
    <x v="0"/>
    <n v="40"/>
    <n v="668"/>
    <n v="16.7"/>
    <n v="25"/>
    <n v="501"/>
  </r>
  <r>
    <x v="65"/>
    <x v="90"/>
    <s v=""/>
    <x v="1"/>
    <n v="40"/>
    <n v="836"/>
    <n v="20.9"/>
    <n v="25"/>
    <n v="627"/>
  </r>
  <r>
    <x v="65"/>
    <x v="90"/>
    <s v=""/>
    <x v="2"/>
    <n v="40"/>
    <n v="132"/>
    <n v="3.3"/>
    <n v="25"/>
    <n v="99"/>
  </r>
  <r>
    <x v="66"/>
    <x v="91"/>
    <s v="0049"/>
    <x v="0"/>
    <n v="10"/>
    <n v="212"/>
    <n v="21.2"/>
    <n v="50"/>
    <n v="106"/>
  </r>
  <r>
    <x v="66"/>
    <x v="91"/>
    <s v="0049"/>
    <x v="1"/>
    <n v="10"/>
    <n v="181"/>
    <n v="18.100000000000001"/>
    <n v="40"/>
    <n v="108.6"/>
  </r>
  <r>
    <x v="66"/>
    <x v="91"/>
    <s v="0049"/>
    <x v="2"/>
    <n v="10"/>
    <n v="48.83"/>
    <n v="4.88"/>
    <n v="40"/>
    <n v="29.3"/>
  </r>
  <r>
    <x v="66"/>
    <x v="92"/>
    <s v="3017"/>
    <x v="0"/>
    <n v="11"/>
    <n v="231.67"/>
    <n v="21.06"/>
    <n v="40"/>
    <n v="139"/>
  </r>
  <r>
    <x v="66"/>
    <x v="92"/>
    <s v="3017"/>
    <x v="1"/>
    <n v="11"/>
    <n v="157.72"/>
    <n v="14.34"/>
    <n v="40"/>
    <n v="94.63"/>
  </r>
  <r>
    <x v="66"/>
    <x v="92"/>
    <s v="3017"/>
    <x v="2"/>
    <n v="11"/>
    <n v="349.91"/>
    <n v="31.81"/>
    <n v="40"/>
    <n v="209.95"/>
  </r>
  <r>
    <x v="66"/>
    <x v="93"/>
    <s v="2099"/>
    <x v="0"/>
    <n v="9"/>
    <n v="360.44"/>
    <n v="40.049999999999997"/>
    <n v="50"/>
    <n v="180.22"/>
  </r>
  <r>
    <x v="66"/>
    <x v="93"/>
    <s v="2099"/>
    <x v="1"/>
    <n v="9"/>
    <n v="399.08"/>
    <n v="44.34"/>
    <n v="40"/>
    <n v="239.45"/>
  </r>
  <r>
    <x v="66"/>
    <x v="93"/>
    <s v="2099"/>
    <x v="2"/>
    <n v="9"/>
    <n v="429.09"/>
    <n v="47.68"/>
    <n v="40"/>
    <n v="257.45"/>
  </r>
  <r>
    <x v="66"/>
    <x v="94"/>
    <s v="1194"/>
    <x v="0"/>
    <n v="11"/>
    <n v="1222.68"/>
    <n v="111.15"/>
    <n v="40"/>
    <n v="733.61"/>
  </r>
  <r>
    <x v="66"/>
    <x v="94"/>
    <s v="1194"/>
    <x v="1"/>
    <n v="11"/>
    <n v="1350.4"/>
    <n v="122.76"/>
    <n v="40"/>
    <n v="810.24"/>
  </r>
  <r>
    <x v="66"/>
    <x v="94"/>
    <s v="1194"/>
    <x v="2"/>
    <n v="11"/>
    <n v="1564.26"/>
    <n v="142.21"/>
    <n v="40"/>
    <n v="938.56"/>
  </r>
  <r>
    <x v="66"/>
    <x v="95"/>
    <s v="1037"/>
    <x v="0"/>
    <n v="4"/>
    <n v="930.98"/>
    <n v="232.75"/>
    <n v="40"/>
    <n v="558.59"/>
  </r>
  <r>
    <x v="66"/>
    <x v="95"/>
    <s v="1037"/>
    <x v="1"/>
    <n v="4"/>
    <n v="897.85"/>
    <n v="224.46"/>
    <n v="40"/>
    <n v="538.71"/>
  </r>
  <r>
    <x v="66"/>
    <x v="95"/>
    <s v="1037"/>
    <x v="2"/>
    <n v="4"/>
    <n v="859.75"/>
    <n v="214.94"/>
    <n v="40"/>
    <n v="515.85"/>
  </r>
  <r>
    <x v="66"/>
    <x v="96"/>
    <s v="1192"/>
    <x v="0"/>
    <n v="7"/>
    <n v="1808.37"/>
    <n v="258.33999999999997"/>
    <n v="40"/>
    <n v="1085.02"/>
  </r>
  <r>
    <x v="66"/>
    <x v="96"/>
    <s v="1192"/>
    <x v="1"/>
    <n v="7"/>
    <n v="1690.63"/>
    <n v="241.52"/>
    <n v="40"/>
    <n v="1014.38"/>
  </r>
  <r>
    <x v="66"/>
    <x v="96"/>
    <s v="1192"/>
    <x v="2"/>
    <n v="7"/>
    <n v="1682.86"/>
    <n v="240.41"/>
    <n v="40"/>
    <n v="1009.72"/>
  </r>
  <r>
    <x v="66"/>
    <x v="97"/>
    <s v="2021"/>
    <x v="0"/>
    <n v="20"/>
    <n v="2229.83"/>
    <n v="111.49"/>
    <n v="40"/>
    <n v="1337.9"/>
  </r>
  <r>
    <x v="66"/>
    <x v="97"/>
    <s v="2021"/>
    <x v="1"/>
    <n v="20"/>
    <n v="1946.73"/>
    <n v="97.34"/>
    <n v="40"/>
    <n v="1168.04"/>
  </r>
  <r>
    <x v="66"/>
    <x v="97"/>
    <s v="2021"/>
    <x v="2"/>
    <n v="16"/>
    <n v="1759.32"/>
    <n v="109.96"/>
    <n v="40"/>
    <n v="1055.5899999999999"/>
  </r>
  <r>
    <x v="66"/>
    <x v="98"/>
    <s v="2067"/>
    <x v="0"/>
    <n v="16"/>
    <n v="47.79"/>
    <n v="2.99"/>
    <n v="50"/>
    <n v="23.89"/>
  </r>
  <r>
    <x v="66"/>
    <x v="98"/>
    <s v="2067"/>
    <x v="1"/>
    <n v="16"/>
    <n v="32.96"/>
    <n v="2.06"/>
    <n v="40"/>
    <n v="19.78"/>
  </r>
  <r>
    <x v="66"/>
    <x v="98"/>
    <s v="2067"/>
    <x v="2"/>
    <n v="16"/>
    <n v="88.87"/>
    <n v="5.55"/>
    <n v="40"/>
    <n v="53.32"/>
  </r>
  <r>
    <x v="66"/>
    <x v="99"/>
    <s v="2022"/>
    <x v="0"/>
    <n v="10"/>
    <n v="105"/>
    <n v="10.5"/>
    <n v="50"/>
    <n v="52.5"/>
  </r>
  <r>
    <x v="66"/>
    <x v="99"/>
    <s v="2022"/>
    <x v="1"/>
    <n v="10"/>
    <n v="67.739999999999995"/>
    <n v="6.77"/>
    <n v="40"/>
    <n v="40.64"/>
  </r>
  <r>
    <x v="66"/>
    <x v="99"/>
    <s v="2022"/>
    <x v="2"/>
    <n v="10"/>
    <n v="35"/>
    <n v="3.5"/>
    <n v="40"/>
    <n v="21"/>
  </r>
  <r>
    <x v="67"/>
    <x v="100"/>
    <s v="1723"/>
    <x v="0"/>
    <n v="26"/>
    <n v="63.43"/>
    <n v="2.44"/>
    <n v="35"/>
    <n v="41.23"/>
  </r>
  <r>
    <x v="67"/>
    <x v="100"/>
    <s v="1723"/>
    <x v="1"/>
    <n v="26"/>
    <n v="153.44"/>
    <n v="5.9"/>
    <n v="35"/>
    <n v="99.74"/>
  </r>
  <r>
    <x v="67"/>
    <x v="100"/>
    <s v="1723"/>
    <x v="2"/>
    <n v="26"/>
    <n v="140"/>
    <n v="5.38"/>
    <n v="35"/>
    <n v="91"/>
  </r>
  <r>
    <x v="67"/>
    <x v="101"/>
    <s v="1578"/>
    <x v="0"/>
    <n v="6"/>
    <n v="60.3"/>
    <n v="10.050000000000001"/>
    <n v="35"/>
    <n v="39.200000000000003"/>
  </r>
  <r>
    <x v="67"/>
    <x v="101"/>
    <s v="1578"/>
    <x v="1"/>
    <n v="6"/>
    <n v="60"/>
    <n v="10"/>
    <n v="35"/>
    <n v="39"/>
  </r>
  <r>
    <x v="67"/>
    <x v="101"/>
    <s v="1578"/>
    <x v="2"/>
    <n v="6"/>
    <n v="60"/>
    <n v="10"/>
    <n v="35"/>
    <n v="39"/>
  </r>
  <r>
    <x v="67"/>
    <x v="102"/>
    <s v="817"/>
    <x v="0"/>
    <n v="16"/>
    <n v="151.75"/>
    <n v="9.48"/>
    <n v="35"/>
    <n v="98.64"/>
  </r>
  <r>
    <x v="67"/>
    <x v="102"/>
    <s v="817"/>
    <x v="1"/>
    <n v="16"/>
    <n v="121.93"/>
    <n v="7.62"/>
    <n v="35"/>
    <n v="79.25"/>
  </r>
  <r>
    <x v="67"/>
    <x v="102"/>
    <s v="817"/>
    <x v="2"/>
    <n v="16"/>
    <n v="110.1"/>
    <n v="6.88"/>
    <n v="35"/>
    <n v="71.56"/>
  </r>
  <r>
    <x v="67"/>
    <x v="103"/>
    <s v="782 91"/>
    <x v="0"/>
    <n v="32"/>
    <n v="211.79"/>
    <n v="6.62"/>
    <n v="35"/>
    <n v="137.66"/>
  </r>
  <r>
    <x v="67"/>
    <x v="103"/>
    <s v="782 91"/>
    <x v="1"/>
    <n v="32"/>
    <n v="346.58"/>
    <n v="10.83"/>
    <n v="35"/>
    <n v="225.28"/>
  </r>
  <r>
    <x v="67"/>
    <x v="103"/>
    <s v="782 91"/>
    <x v="2"/>
    <n v="32"/>
    <n v="267.61"/>
    <n v="8.36"/>
    <n v="35"/>
    <n v="173.95"/>
  </r>
  <r>
    <x v="67"/>
    <x v="104"/>
    <s v=""/>
    <x v="0"/>
    <n v="50.52"/>
    <n v="53.52"/>
    <n v="1.06"/>
    <n v="35"/>
    <n v="34.79"/>
  </r>
  <r>
    <x v="67"/>
    <x v="104"/>
    <s v=""/>
    <x v="1"/>
    <n v="87"/>
    <n v="158.4"/>
    <n v="1.82"/>
    <n v="35"/>
    <n v="102.96"/>
  </r>
  <r>
    <x v="67"/>
    <x v="104"/>
    <s v=""/>
    <x v="2"/>
    <n v="87"/>
    <n v="298.14"/>
    <n v="3.43"/>
    <n v="35"/>
    <n v="193.79"/>
  </r>
  <r>
    <x v="68"/>
    <x v="105"/>
    <s v=""/>
    <x v="1"/>
    <n v="20"/>
    <n v="162"/>
    <n v="8.1"/>
    <n v="30"/>
    <n v="113.4"/>
  </r>
  <r>
    <x v="68"/>
    <x v="105"/>
    <s v=""/>
    <x v="2"/>
    <n v="20"/>
    <n v="89"/>
    <n v="4.45"/>
    <n v="30"/>
    <n v="62.3"/>
  </r>
  <r>
    <x v="69"/>
    <x v="106"/>
    <s v="8002"/>
    <x v="0"/>
    <n v="6"/>
    <n v="410.04"/>
    <n v="68.34"/>
    <n v="40"/>
    <n v="246.02"/>
  </r>
  <r>
    <x v="69"/>
    <x v="106"/>
    <s v="8002"/>
    <x v="1"/>
    <n v="6"/>
    <n v="433.52"/>
    <n v="72.25"/>
    <n v="40"/>
    <n v="260.11"/>
  </r>
  <r>
    <x v="69"/>
    <x v="106"/>
    <s v="8002"/>
    <x v="2"/>
    <n v="6"/>
    <n v="374.95"/>
    <n v="62.49"/>
    <n v="40"/>
    <n v="224.97"/>
  </r>
  <r>
    <x v="69"/>
    <x v="107"/>
    <s v=""/>
    <x v="0"/>
    <n v="9"/>
    <n v="688.19"/>
    <n v="76.47"/>
    <n v="40"/>
    <n v="412.91"/>
  </r>
  <r>
    <x v="69"/>
    <x v="107"/>
    <s v=""/>
    <x v="1"/>
    <n v="9"/>
    <n v="774.98"/>
    <n v="86.11"/>
    <n v="40"/>
    <n v="464.99"/>
  </r>
  <r>
    <x v="69"/>
    <x v="107"/>
    <s v=""/>
    <x v="2"/>
    <n v="9"/>
    <n v="486.63"/>
    <n v="54.07"/>
    <n v="40"/>
    <n v="291.98"/>
  </r>
  <r>
    <x v="69"/>
    <x v="108"/>
    <s v=""/>
    <x v="0"/>
    <n v="10"/>
    <n v="612.35"/>
    <n v="61.23"/>
    <n v="40"/>
    <n v="367.41"/>
  </r>
  <r>
    <x v="69"/>
    <x v="108"/>
    <s v=""/>
    <x v="1"/>
    <n v="10"/>
    <n v="579.82000000000005"/>
    <n v="57.98"/>
    <n v="40"/>
    <n v="347.89"/>
  </r>
  <r>
    <x v="69"/>
    <x v="108"/>
    <s v=""/>
    <x v="2"/>
    <n v="10"/>
    <n v="749.43"/>
    <n v="74.94"/>
    <n v="40"/>
    <n v="449.66"/>
  </r>
  <r>
    <x v="69"/>
    <x v="109"/>
    <s v=""/>
    <x v="0"/>
    <n v="15"/>
    <n v="939.44"/>
    <n v="62.63"/>
    <n v="40"/>
    <n v="563.66"/>
  </r>
  <r>
    <x v="69"/>
    <x v="109"/>
    <s v=""/>
    <x v="1"/>
    <n v="15"/>
    <n v="664.74"/>
    <n v="44.32"/>
    <n v="40"/>
    <n v="398.84"/>
  </r>
  <r>
    <x v="69"/>
    <x v="109"/>
    <s v=""/>
    <x v="2"/>
    <n v="15"/>
    <n v="958.94"/>
    <n v="63.93"/>
    <n v="40"/>
    <n v="575.36"/>
  </r>
  <r>
    <x v="69"/>
    <x v="110"/>
    <s v=""/>
    <x v="0"/>
    <n v="15"/>
    <n v="414.05"/>
    <n v="27.6"/>
    <n v="40"/>
    <n v="248.43"/>
  </r>
  <r>
    <x v="69"/>
    <x v="110"/>
    <s v=""/>
    <x v="1"/>
    <n v="15"/>
    <n v="574.39"/>
    <n v="38.29"/>
    <n v="40"/>
    <n v="344.63"/>
  </r>
  <r>
    <x v="69"/>
    <x v="110"/>
    <s v=""/>
    <x v="2"/>
    <n v="15"/>
    <n v="362"/>
    <n v="24.13"/>
    <n v="40"/>
    <n v="217.2"/>
  </r>
  <r>
    <x v="70"/>
    <x v="111"/>
    <s v="ESI S207"/>
    <x v="0"/>
    <n v="10"/>
    <n v="280.64999999999998"/>
    <n v="28.06"/>
    <n v="40"/>
    <n v="168.39"/>
  </r>
  <r>
    <x v="70"/>
    <x v="111"/>
    <s v="ESI S207"/>
    <x v="1"/>
    <n v="10"/>
    <n v="312.54000000000002"/>
    <n v="31.25"/>
    <n v="40"/>
    <n v="187.52"/>
  </r>
  <r>
    <x v="70"/>
    <x v="111"/>
    <s v="ESI S207"/>
    <x v="2"/>
    <n v="10"/>
    <n v="275"/>
    <n v="27.5"/>
    <n v="40"/>
    <n v="165"/>
  </r>
  <r>
    <x v="70"/>
    <x v="112"/>
    <s v="ESI S121"/>
    <x v="0"/>
    <n v="10"/>
    <n v="1485.04"/>
    <n v="148.5"/>
    <n v="40"/>
    <n v="891.02"/>
  </r>
  <r>
    <x v="70"/>
    <x v="112"/>
    <s v="ESI S121"/>
    <x v="1"/>
    <n v="10"/>
    <n v="1270.8"/>
    <n v="127.08"/>
    <n v="40"/>
    <n v="762.48"/>
  </r>
  <r>
    <x v="70"/>
    <x v="112"/>
    <s v="ESI S121"/>
    <x v="2"/>
    <n v="10"/>
    <n v="1403.91"/>
    <n v="140.38999999999999"/>
    <n v="40"/>
    <n v="842.35"/>
  </r>
  <r>
    <x v="70"/>
    <x v="113"/>
    <s v="ESI 1153"/>
    <x v="0"/>
    <n v="13"/>
    <n v="468.64"/>
    <n v="36.049999999999997"/>
    <n v="40"/>
    <n v="281.18"/>
  </r>
  <r>
    <x v="70"/>
    <x v="113"/>
    <s v="ESI 1153"/>
    <x v="1"/>
    <n v="13"/>
    <n v="429.77"/>
    <n v="33.06"/>
    <n v="40"/>
    <n v="257.86"/>
  </r>
  <r>
    <x v="70"/>
    <x v="113"/>
    <s v="ESI 1153"/>
    <x v="2"/>
    <n v="13"/>
    <n v="335.22"/>
    <n v="25.79"/>
    <n v="40"/>
    <n v="201.13"/>
  </r>
  <r>
    <x v="71"/>
    <x v="114"/>
    <s v="0050"/>
    <x v="0"/>
    <n v="20"/>
    <n v="2526.5500000000002"/>
    <n v="126.33"/>
    <n v="30"/>
    <n v="1768.59"/>
  </r>
  <r>
    <x v="71"/>
    <x v="114"/>
    <s v="0050"/>
    <x v="1"/>
    <n v="20"/>
    <n v="2326.6999999999998"/>
    <n v="116.33"/>
    <n v="30"/>
    <n v="1628.69"/>
  </r>
  <r>
    <x v="71"/>
    <x v="114"/>
    <s v="0050"/>
    <x v="2"/>
    <n v="20"/>
    <n v="1943.58"/>
    <n v="97.18"/>
    <n v="30"/>
    <n v="1360.51"/>
  </r>
  <r>
    <x v="71"/>
    <x v="115"/>
    <s v="0047"/>
    <x v="0"/>
    <n v="32"/>
    <n v="5076.6499999999996"/>
    <n v="158.65"/>
    <n v="30"/>
    <n v="3553.66"/>
  </r>
  <r>
    <x v="71"/>
    <x v="115"/>
    <s v="0047"/>
    <x v="1"/>
    <n v="32"/>
    <n v="3734.99"/>
    <n v="116.72"/>
    <n v="30"/>
    <n v="2614.4899999999998"/>
  </r>
  <r>
    <x v="71"/>
    <x v="115"/>
    <s v="0047"/>
    <x v="2"/>
    <n v="32"/>
    <n v="4757.55"/>
    <n v="148.66999999999999"/>
    <n v="30"/>
    <n v="3330.28"/>
  </r>
  <r>
    <x v="71"/>
    <x v="116"/>
    <s v="0013"/>
    <x v="0"/>
    <n v="36"/>
    <n v="4087.77"/>
    <n v="113.55"/>
    <n v="30"/>
    <n v="2861.44"/>
  </r>
  <r>
    <x v="71"/>
    <x v="116"/>
    <s v="0013"/>
    <x v="1"/>
    <n v="36"/>
    <n v="3148.77"/>
    <n v="87.47"/>
    <n v="30"/>
    <n v="2204.14"/>
  </r>
  <r>
    <x v="71"/>
    <x v="116"/>
    <s v="0013"/>
    <x v="2"/>
    <n v="36"/>
    <n v="4347.28"/>
    <n v="120.76"/>
    <n v="30"/>
    <n v="3043.1"/>
  </r>
  <r>
    <x v="71"/>
    <x v="117"/>
    <s v="0036"/>
    <x v="0"/>
    <n v="34"/>
    <n v="2280.15"/>
    <n v="67.06"/>
    <n v="30"/>
    <n v="1596.11"/>
  </r>
  <r>
    <x v="71"/>
    <x v="117"/>
    <s v="0036"/>
    <x v="1"/>
    <n v="34"/>
    <n v="2145.5"/>
    <n v="63.1"/>
    <n v="30"/>
    <n v="1501.85"/>
  </r>
  <r>
    <x v="71"/>
    <x v="117"/>
    <s v="0036"/>
    <x v="2"/>
    <n v="34"/>
    <n v="2528.5"/>
    <n v="74.37"/>
    <n v="30"/>
    <n v="1769.95"/>
  </r>
  <r>
    <x v="71"/>
    <x v="118"/>
    <s v="0046"/>
    <x v="0"/>
    <n v="14"/>
    <n v="2479.73"/>
    <n v="177.12"/>
    <n v="30"/>
    <n v="1735.81"/>
  </r>
  <r>
    <x v="71"/>
    <x v="118"/>
    <s v="0046"/>
    <x v="1"/>
    <n v="14"/>
    <n v="2423.63"/>
    <n v="173.12"/>
    <n v="30"/>
    <n v="1696.54"/>
  </r>
  <r>
    <x v="71"/>
    <x v="118"/>
    <s v="0046"/>
    <x v="2"/>
    <n v="14"/>
    <n v="2423.33"/>
    <n v="173.09"/>
    <n v="30"/>
    <n v="1696.33"/>
  </r>
  <r>
    <x v="71"/>
    <x v="119"/>
    <s v="134"/>
    <x v="0"/>
    <n v="10"/>
    <n v="1614.48"/>
    <n v="161.44999999999999"/>
    <n v="30"/>
    <n v="1130.1400000000001"/>
  </r>
  <r>
    <x v="71"/>
    <x v="119"/>
    <s v="134"/>
    <x v="1"/>
    <n v="10"/>
    <n v="1788.78"/>
    <n v="178.88"/>
    <n v="30"/>
    <n v="1252.1500000000001"/>
  </r>
  <r>
    <x v="71"/>
    <x v="119"/>
    <s v="134"/>
    <x v="2"/>
    <n v="10"/>
    <n v="2262.3200000000002"/>
    <n v="226.23"/>
    <n v="30"/>
    <n v="1583.62"/>
  </r>
  <r>
    <x v="71"/>
    <x v="120"/>
    <s v="6 045"/>
    <x v="0"/>
    <n v="10"/>
    <n v="1583.37"/>
    <n v="158.34"/>
    <n v="30"/>
    <n v="1108.3599999999999"/>
  </r>
  <r>
    <x v="71"/>
    <x v="120"/>
    <s v="6 045"/>
    <x v="1"/>
    <n v="10"/>
    <n v="1471.39"/>
    <n v="147.13999999999999"/>
    <n v="30"/>
    <n v="1029.97"/>
  </r>
  <r>
    <x v="71"/>
    <x v="120"/>
    <s v="6 045"/>
    <x v="2"/>
    <n v="10"/>
    <n v="1651.06"/>
    <n v="165.11"/>
    <n v="30"/>
    <n v="1155.74"/>
  </r>
  <r>
    <x v="71"/>
    <x v="121"/>
    <s v="Paul Bourget 75013"/>
    <x v="0"/>
    <n v="11"/>
    <n v="724.87"/>
    <n v="65.900000000000006"/>
    <n v="40"/>
    <n v="434.92"/>
  </r>
  <r>
    <x v="71"/>
    <x v="121"/>
    <s v="Paul Bourget 75013"/>
    <x v="1"/>
    <n v="11"/>
    <n v="801.13"/>
    <n v="72.83"/>
    <n v="40"/>
    <n v="480.68"/>
  </r>
  <r>
    <x v="71"/>
    <x v="121"/>
    <s v="Paul Bourget 75013"/>
    <x v="2"/>
    <n v="11"/>
    <n v="889.11"/>
    <n v="80.83"/>
    <n v="40"/>
    <n v="533.47"/>
  </r>
  <r>
    <x v="71"/>
    <x v="122"/>
    <s v="0003"/>
    <x v="0"/>
    <n v="7"/>
    <n v="716.56"/>
    <n v="102.37"/>
    <n v="30"/>
    <n v="501.59"/>
  </r>
  <r>
    <x v="71"/>
    <x v="122"/>
    <s v="0003"/>
    <x v="1"/>
    <n v="7"/>
    <n v="815.07"/>
    <n v="116.44"/>
    <n v="30"/>
    <n v="570.54999999999995"/>
  </r>
  <r>
    <x v="71"/>
    <x v="122"/>
    <s v="0003"/>
    <x v="2"/>
    <n v="7"/>
    <n v="639.01"/>
    <n v="91.29"/>
    <n v="30"/>
    <n v="447.31"/>
  </r>
  <r>
    <x v="71"/>
    <x v="123"/>
    <s v="0349"/>
    <x v="0"/>
    <n v="5"/>
    <n v="1026.54"/>
    <n v="205.31"/>
    <n v="30"/>
    <n v="718.58"/>
  </r>
  <r>
    <x v="71"/>
    <x v="123"/>
    <s v="0349"/>
    <x v="1"/>
    <n v="5"/>
    <n v="809.37"/>
    <n v="161.87"/>
    <n v="30"/>
    <n v="566.55999999999995"/>
  </r>
  <r>
    <x v="71"/>
    <x v="123"/>
    <s v="0349"/>
    <x v="2"/>
    <n v="5"/>
    <n v="972.16"/>
    <n v="194.43"/>
    <n v="30"/>
    <n v="680.51"/>
  </r>
  <r>
    <x v="72"/>
    <x v="124"/>
    <s v=""/>
    <x v="0"/>
    <n v="5"/>
    <n v="331.32"/>
    <n v="66.260000000000005"/>
    <n v="40"/>
    <n v="198.79"/>
  </r>
  <r>
    <x v="72"/>
    <x v="124"/>
    <s v=""/>
    <x v="1"/>
    <n v="5"/>
    <n v="1006.46"/>
    <n v="201.29"/>
    <n v="40"/>
    <n v="603.88"/>
  </r>
  <r>
    <x v="72"/>
    <x v="124"/>
    <s v=""/>
    <x v="2"/>
    <n v="5.57"/>
    <n v="1059.03"/>
    <n v="190.13"/>
    <n v="40"/>
    <n v="635.41999999999996"/>
  </r>
  <r>
    <x v="73"/>
    <x v="125"/>
    <s v="4046"/>
    <x v="0"/>
    <n v="20"/>
    <n v="183.67"/>
    <n v="9.18"/>
    <n v="50"/>
    <n v="91.83"/>
  </r>
  <r>
    <x v="73"/>
    <x v="125"/>
    <s v="4046"/>
    <x v="1"/>
    <n v="20"/>
    <n v="325.63"/>
    <n v="16.28"/>
    <n v="50"/>
    <n v="162.81"/>
  </r>
  <r>
    <x v="73"/>
    <x v="125"/>
    <s v="4046"/>
    <x v="2"/>
    <n v="20"/>
    <n v="564.72"/>
    <n v="28.24"/>
    <n v="50"/>
    <n v="282.36"/>
  </r>
  <r>
    <x v="73"/>
    <x v="126"/>
    <s v=""/>
    <x v="0"/>
    <n v="10"/>
    <n v="158.87"/>
    <n v="15.89"/>
    <n v="40"/>
    <n v="95.32"/>
  </r>
  <r>
    <x v="73"/>
    <x v="126"/>
    <s v=""/>
    <x v="1"/>
    <n v="10"/>
    <n v="220.14"/>
    <n v="22.01"/>
    <n v="40"/>
    <n v="132.08000000000001"/>
  </r>
  <r>
    <x v="73"/>
    <x v="126"/>
    <s v=""/>
    <x v="2"/>
    <n v="10"/>
    <n v="148.30000000000001"/>
    <n v="14.83"/>
    <n v="40"/>
    <n v="88.98"/>
  </r>
  <r>
    <x v="73"/>
    <x v="127"/>
    <s v="7901"/>
    <x v="2"/>
    <n v="6"/>
    <n v="35.4"/>
    <n v="5.9"/>
    <n v="50"/>
    <n v="17.7"/>
  </r>
  <r>
    <x v="73"/>
    <x v="128"/>
    <s v="4006"/>
    <x v="0"/>
    <n v="20"/>
    <n v="3416.21"/>
    <n v="170.81"/>
    <n v="40"/>
    <n v="2049.73"/>
  </r>
  <r>
    <x v="73"/>
    <x v="128"/>
    <s v="4006"/>
    <x v="1"/>
    <n v="20"/>
    <n v="2473.9899999999998"/>
    <n v="123.7"/>
    <n v="40"/>
    <n v="1484.39"/>
  </r>
  <r>
    <x v="73"/>
    <x v="128"/>
    <s v="4006"/>
    <x v="2"/>
    <n v="20"/>
    <n v="2900.51"/>
    <n v="145.03"/>
    <n v="40"/>
    <n v="1740.31"/>
  </r>
  <r>
    <x v="73"/>
    <x v="129"/>
    <s v=""/>
    <x v="0"/>
    <n v="10"/>
    <n v="998.18"/>
    <n v="99.82"/>
    <n v="40"/>
    <n v="598.91"/>
  </r>
  <r>
    <x v="73"/>
    <x v="129"/>
    <s v=""/>
    <x v="1"/>
    <n v="10"/>
    <n v="1057.46"/>
    <n v="105.75"/>
    <n v="40"/>
    <n v="634.48"/>
  </r>
  <r>
    <x v="73"/>
    <x v="129"/>
    <s v=""/>
    <x v="2"/>
    <n v="10"/>
    <n v="1077.98"/>
    <n v="107.8"/>
    <n v="40"/>
    <n v="646.79"/>
  </r>
  <r>
    <x v="73"/>
    <x v="130"/>
    <s v="4018"/>
    <x v="0"/>
    <n v="10"/>
    <n v="15.97"/>
    <n v="1.6"/>
    <n v="50"/>
    <n v="7.99"/>
  </r>
  <r>
    <x v="73"/>
    <x v="130"/>
    <s v="4018"/>
    <x v="1"/>
    <n v="10"/>
    <n v="94.03"/>
    <n v="9.4"/>
    <n v="50"/>
    <n v="47.02"/>
  </r>
  <r>
    <x v="73"/>
    <x v="130"/>
    <s v="4018"/>
    <x v="2"/>
    <n v="10"/>
    <n v="110"/>
    <n v="11"/>
    <n v="50"/>
    <n v="55"/>
  </r>
  <r>
    <x v="73"/>
    <x v="131"/>
    <s v="7850"/>
    <x v="2"/>
    <n v="10"/>
    <n v="18.670000000000002"/>
    <n v="1.87"/>
    <n v="50"/>
    <n v="9.34"/>
  </r>
  <r>
    <x v="74"/>
    <x v="132"/>
    <s v=""/>
    <x v="1"/>
    <n v="2.71"/>
    <n v="92.43"/>
    <n v="34.11"/>
    <n v="40"/>
    <n v="55.46"/>
  </r>
  <r>
    <x v="74"/>
    <x v="132"/>
    <s v=""/>
    <x v="2"/>
    <n v="28"/>
    <n v="1037.97"/>
    <n v="37.07"/>
    <n v="40"/>
    <n v="622.78"/>
  </r>
  <r>
    <x v="75"/>
    <x v="133"/>
    <s v=""/>
    <x v="0"/>
    <n v="0"/>
    <n v="0"/>
    <s v=""/>
    <n v="40"/>
    <n v="0"/>
  </r>
  <r>
    <x v="75"/>
    <x v="134"/>
    <s v=""/>
    <x v="0"/>
    <n v="10"/>
    <n v="257.58999999999997"/>
    <n v="25.76"/>
    <n v="40"/>
    <n v="154.55000000000001"/>
  </r>
  <r>
    <x v="75"/>
    <x v="134"/>
    <s v=""/>
    <x v="1"/>
    <n v="10"/>
    <n v="91.53"/>
    <n v="9.15"/>
    <n v="40"/>
    <n v="54.92"/>
  </r>
  <r>
    <x v="75"/>
    <x v="134"/>
    <s v=""/>
    <x v="2"/>
    <n v="10"/>
    <n v="78.52"/>
    <n v="7.85"/>
    <n v="40"/>
    <n v="47.11"/>
  </r>
  <r>
    <x v="76"/>
    <x v="135"/>
    <s v=""/>
    <x v="0"/>
    <n v="10"/>
    <n v="461.76"/>
    <n v="46.18"/>
    <n v="40"/>
    <n v="277.06"/>
  </r>
  <r>
    <x v="76"/>
    <x v="135"/>
    <s v=""/>
    <x v="1"/>
    <n v="10"/>
    <n v="521.59"/>
    <n v="52.16"/>
    <n v="40"/>
    <n v="312.95"/>
  </r>
  <r>
    <x v="76"/>
    <x v="135"/>
    <s v=""/>
    <x v="2"/>
    <n v="10"/>
    <n v="383.75"/>
    <n v="38.380000000000003"/>
    <n v="40"/>
    <n v="230.25"/>
  </r>
  <r>
    <x v="76"/>
    <x v="136"/>
    <s v=""/>
    <x v="0"/>
    <n v="15"/>
    <n v="238.09"/>
    <n v="15.87"/>
    <n v="40"/>
    <n v="142.85"/>
  </r>
  <r>
    <x v="76"/>
    <x v="136"/>
    <s v=""/>
    <x v="1"/>
    <n v="15"/>
    <n v="235.23"/>
    <n v="15.68"/>
    <n v="40"/>
    <n v="141.13999999999999"/>
  </r>
  <r>
    <x v="76"/>
    <x v="136"/>
    <s v=""/>
    <x v="2"/>
    <n v="15"/>
    <n v="203.01"/>
    <n v="13.53"/>
    <n v="40"/>
    <n v="121.81"/>
  </r>
  <r>
    <x v="76"/>
    <x v="137"/>
    <s v=""/>
    <x v="0"/>
    <n v="5"/>
    <n v="390.87"/>
    <n v="78.17"/>
    <n v="40"/>
    <n v="234.52"/>
  </r>
  <r>
    <x v="76"/>
    <x v="137"/>
    <s v=""/>
    <x v="1"/>
    <n v="5"/>
    <n v="214.65"/>
    <n v="42.93"/>
    <n v="40"/>
    <n v="128.79"/>
  </r>
  <r>
    <x v="76"/>
    <x v="137"/>
    <s v=""/>
    <x v="2"/>
    <n v="5"/>
    <n v="383.17"/>
    <n v="76.63"/>
    <n v="40"/>
    <n v="229.9"/>
  </r>
  <r>
    <x v="76"/>
    <x v="138"/>
    <s v=""/>
    <x v="0"/>
    <n v="23"/>
    <n v="68.349999999999994"/>
    <n v="2.97"/>
    <n v="40"/>
    <n v="41.01"/>
  </r>
  <r>
    <x v="76"/>
    <x v="138"/>
    <s v=""/>
    <x v="1"/>
    <n v="23"/>
    <n v="94.25"/>
    <n v="4.0999999999999996"/>
    <n v="40"/>
    <n v="56.55"/>
  </r>
  <r>
    <x v="76"/>
    <x v="138"/>
    <s v=""/>
    <x v="2"/>
    <n v="23"/>
    <n v="47.97"/>
    <n v="2.09"/>
    <n v="40"/>
    <n v="28.78"/>
  </r>
  <r>
    <x v="76"/>
    <x v="139"/>
    <s v=""/>
    <x v="0"/>
    <n v="12"/>
    <n v="37.5"/>
    <n v="3.13"/>
    <n v="40"/>
    <n v="22.5"/>
  </r>
  <r>
    <x v="76"/>
    <x v="139"/>
    <s v=""/>
    <x v="1"/>
    <n v="12"/>
    <n v="1.89"/>
    <n v="0.16"/>
    <n v="40"/>
    <n v="1.1299999999999999"/>
  </r>
  <r>
    <x v="77"/>
    <x v="140"/>
    <s v=""/>
    <x v="0"/>
    <n v="45"/>
    <n v="1397.32"/>
    <n v="31.05"/>
    <n v="25"/>
    <n v="1047.99"/>
  </r>
  <r>
    <x v="77"/>
    <x v="140"/>
    <s v=""/>
    <x v="1"/>
    <n v="45"/>
    <n v="1202.3900000000001"/>
    <n v="26.72"/>
    <n v="25"/>
    <n v="901.79"/>
  </r>
  <r>
    <x v="77"/>
    <x v="140"/>
    <s v=""/>
    <x v="2"/>
    <n v="45"/>
    <n v="1373.2"/>
    <n v="30.52"/>
    <n v="25"/>
    <n v="1029.9000000000001"/>
  </r>
  <r>
    <x v="78"/>
    <x v="141"/>
    <s v=""/>
    <x v="0"/>
    <n v="6"/>
    <n v="6.6"/>
    <n v="1.1000000000000001"/>
    <n v="40"/>
    <n v="3.96"/>
  </r>
  <r>
    <x v="78"/>
    <x v="141"/>
    <s v=""/>
    <x v="1"/>
    <n v="6"/>
    <n v="3.23"/>
    <n v="0.54"/>
    <n v="40"/>
    <n v="1.94"/>
  </r>
  <r>
    <x v="78"/>
    <x v="141"/>
    <s v=""/>
    <x v="2"/>
    <n v="6"/>
    <n v="54.04"/>
    <n v="9.01"/>
    <n v="40"/>
    <n v="32.42"/>
  </r>
  <r>
    <x v="78"/>
    <x v="142"/>
    <s v=""/>
    <x v="0"/>
    <n v="8"/>
    <n v="373.37"/>
    <n v="46.67"/>
    <n v="40"/>
    <n v="224.02"/>
  </r>
  <r>
    <x v="78"/>
    <x v="142"/>
    <s v=""/>
    <x v="1"/>
    <n v="8"/>
    <n v="293.68"/>
    <n v="36.71"/>
    <n v="40"/>
    <n v="176.21"/>
  </r>
  <r>
    <x v="78"/>
    <x v="142"/>
    <s v=""/>
    <x v="2"/>
    <n v="8"/>
    <n v="624.26"/>
    <n v="78.03"/>
    <n v="40"/>
    <n v="374.56"/>
  </r>
  <r>
    <x v="78"/>
    <x v="143"/>
    <s v=""/>
    <x v="0"/>
    <n v="20"/>
    <n v="1940.69"/>
    <n v="97.03"/>
    <n v="40"/>
    <n v="1164.4100000000001"/>
  </r>
  <r>
    <x v="78"/>
    <x v="143"/>
    <s v=""/>
    <x v="1"/>
    <n v="20"/>
    <n v="1316.79"/>
    <n v="65.84"/>
    <n v="40"/>
    <n v="790.07"/>
  </r>
  <r>
    <x v="78"/>
    <x v="143"/>
    <s v=""/>
    <x v="2"/>
    <n v="20"/>
    <n v="2133.09"/>
    <n v="106.65"/>
    <n v="40"/>
    <n v="1279.8499999999999"/>
  </r>
  <r>
    <x v="78"/>
    <x v="144"/>
    <s v=""/>
    <x v="0"/>
    <n v="4"/>
    <n v="123.36"/>
    <n v="30.84"/>
    <n v="40"/>
    <n v="74.02"/>
  </r>
  <r>
    <x v="78"/>
    <x v="144"/>
    <s v=""/>
    <x v="1"/>
    <n v="4"/>
    <n v="105"/>
    <n v="26.25"/>
    <n v="40"/>
    <n v="63"/>
  </r>
  <r>
    <x v="78"/>
    <x v="144"/>
    <s v=""/>
    <x v="2"/>
    <n v="4"/>
    <n v="76.5"/>
    <n v="19.13"/>
    <n v="40"/>
    <n v="45.9"/>
  </r>
  <r>
    <x v="78"/>
    <x v="145"/>
    <s v=""/>
    <x v="0"/>
    <n v="9"/>
    <n v="1007.29"/>
    <n v="111.92"/>
    <n v="40"/>
    <n v="604.37"/>
  </r>
  <r>
    <x v="78"/>
    <x v="145"/>
    <s v=""/>
    <x v="1"/>
    <n v="9"/>
    <n v="1015.1"/>
    <n v="112.79"/>
    <n v="40"/>
    <n v="609.05999999999995"/>
  </r>
  <r>
    <x v="78"/>
    <x v="145"/>
    <s v=""/>
    <x v="2"/>
    <n v="9"/>
    <n v="1146.19"/>
    <n v="127.35"/>
    <n v="40"/>
    <n v="687.71"/>
  </r>
  <r>
    <x v="78"/>
    <x v="146"/>
    <s v=""/>
    <x v="0"/>
    <n v="11"/>
    <n v="427.95"/>
    <n v="38.9"/>
    <n v="40"/>
    <n v="256.77"/>
  </r>
  <r>
    <x v="78"/>
    <x v="146"/>
    <s v=""/>
    <x v="1"/>
    <n v="11"/>
    <n v="322.18"/>
    <n v="29.29"/>
    <n v="40"/>
    <n v="193.31"/>
  </r>
  <r>
    <x v="78"/>
    <x v="146"/>
    <s v=""/>
    <x v="2"/>
    <n v="11"/>
    <n v="372.15"/>
    <n v="33.83"/>
    <n v="40"/>
    <n v="223.29"/>
  </r>
  <r>
    <x v="78"/>
    <x v="147"/>
    <s v=""/>
    <x v="0"/>
    <n v="0"/>
    <n v="371.8"/>
    <s v=""/>
    <n v="40"/>
    <n v="223.08"/>
  </r>
  <r>
    <x v="78"/>
    <x v="147"/>
    <s v=""/>
    <x v="1"/>
    <n v="0"/>
    <n v="45"/>
    <s v=""/>
    <n v="40"/>
    <n v="27"/>
  </r>
  <r>
    <x v="78"/>
    <x v="147"/>
    <s v=""/>
    <x v="2"/>
    <n v="0"/>
    <n v="300"/>
    <s v=""/>
    <n v="40"/>
    <n v="180"/>
  </r>
  <r>
    <x v="78"/>
    <x v="148"/>
    <s v=""/>
    <x v="0"/>
    <n v="17"/>
    <n v="168.27"/>
    <n v="9.9"/>
    <n v="40"/>
    <n v="100.96"/>
  </r>
  <r>
    <x v="78"/>
    <x v="148"/>
    <s v=""/>
    <x v="1"/>
    <n v="17"/>
    <n v="229"/>
    <n v="13.47"/>
    <n v="40"/>
    <n v="137.4"/>
  </r>
  <r>
    <x v="78"/>
    <x v="148"/>
    <s v=""/>
    <x v="2"/>
    <n v="17"/>
    <n v="194.03"/>
    <n v="11.41"/>
    <n v="40"/>
    <n v="116.42"/>
  </r>
  <r>
    <x v="78"/>
    <x v="149"/>
    <s v=""/>
    <x v="0"/>
    <n v="8"/>
    <n v="429.82"/>
    <n v="53.73"/>
    <n v="40"/>
    <n v="257.89"/>
  </r>
  <r>
    <x v="78"/>
    <x v="149"/>
    <s v=""/>
    <x v="1"/>
    <n v="8"/>
    <n v="371.9"/>
    <n v="46.49"/>
    <n v="40"/>
    <n v="223.14"/>
  </r>
  <r>
    <x v="78"/>
    <x v="149"/>
    <s v=""/>
    <x v="2"/>
    <n v="8"/>
    <n v="539.05999999999995"/>
    <n v="67.38"/>
    <n v="40"/>
    <n v="323.44"/>
  </r>
  <r>
    <x v="78"/>
    <x v="150"/>
    <s v=""/>
    <x v="0"/>
    <n v="5"/>
    <n v="268.95999999999998"/>
    <n v="53.79"/>
    <n v="40"/>
    <n v="161.38"/>
  </r>
  <r>
    <x v="78"/>
    <x v="150"/>
    <s v=""/>
    <x v="1"/>
    <n v="5"/>
    <n v="189.21"/>
    <n v="37.840000000000003"/>
    <n v="40"/>
    <n v="113.53"/>
  </r>
  <r>
    <x v="78"/>
    <x v="150"/>
    <s v=""/>
    <x v="2"/>
    <n v="5"/>
    <n v="351.66"/>
    <n v="70.33"/>
    <n v="40"/>
    <n v="211"/>
  </r>
  <r>
    <x v="78"/>
    <x v="151"/>
    <s v=""/>
    <x v="0"/>
    <n v="9.94"/>
    <n v="157.83000000000001"/>
    <n v="15.88"/>
    <n v="40"/>
    <n v="94.7"/>
  </r>
  <r>
    <x v="78"/>
    <x v="151"/>
    <s v=""/>
    <x v="1"/>
    <n v="9"/>
    <n v="288.63"/>
    <n v="32.07"/>
    <n v="40"/>
    <n v="173.18"/>
  </r>
  <r>
    <x v="78"/>
    <x v="151"/>
    <s v=""/>
    <x v="2"/>
    <n v="9"/>
    <n v="216.74"/>
    <n v="24.08"/>
    <n v="40"/>
    <n v="130.04"/>
  </r>
  <r>
    <x v="78"/>
    <x v="152"/>
    <s v=""/>
    <x v="0"/>
    <n v="3"/>
    <n v="81.8"/>
    <n v="27.27"/>
    <n v="40"/>
    <n v="49.08"/>
  </r>
  <r>
    <x v="78"/>
    <x v="152"/>
    <s v=""/>
    <x v="1"/>
    <n v="3"/>
    <n v="70.97"/>
    <n v="23.66"/>
    <n v="40"/>
    <n v="42.58"/>
  </r>
  <r>
    <x v="78"/>
    <x v="152"/>
    <s v=""/>
    <x v="2"/>
    <n v="3"/>
    <n v="45"/>
    <n v="15"/>
    <n v="40"/>
    <n v="27"/>
  </r>
  <r>
    <x v="79"/>
    <x v="153"/>
    <s v=""/>
    <x v="0"/>
    <n v="2"/>
    <n v="86.17"/>
    <n v="43.09"/>
    <n v="40"/>
    <n v="51.7"/>
  </r>
  <r>
    <x v="79"/>
    <x v="153"/>
    <s v=""/>
    <x v="1"/>
    <n v="2"/>
    <n v="55"/>
    <n v="27.5"/>
    <n v="40"/>
    <n v="33"/>
  </r>
  <r>
    <x v="79"/>
    <x v="153"/>
    <s v=""/>
    <x v="2"/>
    <n v="2"/>
    <n v="55"/>
    <n v="27.5"/>
    <n v="40"/>
    <n v="33"/>
  </r>
  <r>
    <x v="79"/>
    <x v="154"/>
    <s v=""/>
    <x v="0"/>
    <n v="5"/>
    <n v="443.38"/>
    <n v="88.68"/>
    <n v="40"/>
    <n v="266.02999999999997"/>
  </r>
  <r>
    <x v="79"/>
    <x v="154"/>
    <s v=""/>
    <x v="1"/>
    <n v="5"/>
    <n v="186.66"/>
    <n v="37.33"/>
    <n v="40"/>
    <n v="112"/>
  </r>
  <r>
    <x v="79"/>
    <x v="154"/>
    <s v=""/>
    <x v="2"/>
    <n v="5"/>
    <n v="609.44000000000005"/>
    <n v="121.89"/>
    <n v="40"/>
    <n v="365.66"/>
  </r>
  <r>
    <x v="79"/>
    <x v="155"/>
    <s v=""/>
    <x v="0"/>
    <n v="5"/>
    <n v="169.33"/>
    <n v="33.869999999999997"/>
    <n v="40"/>
    <n v="101.6"/>
  </r>
  <r>
    <x v="79"/>
    <x v="155"/>
    <s v=""/>
    <x v="1"/>
    <n v="5"/>
    <n v="163"/>
    <n v="32.6"/>
    <n v="40"/>
    <n v="97.8"/>
  </r>
  <r>
    <x v="79"/>
    <x v="155"/>
    <s v=""/>
    <x v="2"/>
    <n v="5"/>
    <n v="40.090000000000003"/>
    <n v="8.02"/>
    <n v="40"/>
    <n v="24.05"/>
  </r>
  <r>
    <x v="80"/>
    <x v="156"/>
    <s v=""/>
    <x v="0"/>
    <n v="23"/>
    <n v="220.96"/>
    <n v="9.61"/>
    <n v="40"/>
    <n v="132.58000000000001"/>
  </r>
  <r>
    <x v="80"/>
    <x v="156"/>
    <s v=""/>
    <x v="1"/>
    <n v="23"/>
    <n v="367.52"/>
    <n v="15.98"/>
    <n v="40"/>
    <n v="220.51"/>
  </r>
  <r>
    <x v="80"/>
    <x v="156"/>
    <s v=""/>
    <x v="2"/>
    <n v="23"/>
    <n v="214.38"/>
    <n v="9.32"/>
    <n v="40"/>
    <n v="128.63"/>
  </r>
  <r>
    <x v="81"/>
    <x v="157"/>
    <s v=""/>
    <x v="2"/>
    <n v="15"/>
    <n v="51.22"/>
    <n v="3.41"/>
    <n v="40"/>
    <n v="30.73"/>
  </r>
  <r>
    <x v="81"/>
    <x v="158"/>
    <s v=""/>
    <x v="0"/>
    <n v="30"/>
    <n v="111.38"/>
    <n v="3.71"/>
    <n v="40"/>
    <n v="66.83"/>
  </r>
  <r>
    <x v="81"/>
    <x v="158"/>
    <s v=""/>
    <x v="1"/>
    <n v="30"/>
    <n v="243.43"/>
    <n v="8.11"/>
    <n v="40"/>
    <n v="146.06"/>
  </r>
  <r>
    <x v="81"/>
    <x v="158"/>
    <s v=""/>
    <x v="2"/>
    <n v="30"/>
    <n v="154.13999999999999"/>
    <n v="5.14"/>
    <n v="40"/>
    <n v="92.48"/>
  </r>
  <r>
    <x v="81"/>
    <x v="159"/>
    <s v="3513401"/>
    <x v="0"/>
    <n v="8"/>
    <n v="-28.09"/>
    <n v="-3.51"/>
    <n v="40"/>
    <n v="-16.850000000000001"/>
  </r>
  <r>
    <x v="81"/>
    <x v="159"/>
    <s v="3513401"/>
    <x v="1"/>
    <n v="8"/>
    <n v="45"/>
    <n v="5.63"/>
    <n v="40"/>
    <n v="27"/>
  </r>
  <r>
    <x v="81"/>
    <x v="159"/>
    <s v="3513401"/>
    <x v="2"/>
    <n v="8"/>
    <n v="86.66"/>
    <n v="10.83"/>
    <n v="40"/>
    <n v="52"/>
  </r>
  <r>
    <x v="81"/>
    <x v="160"/>
    <s v="3514201"/>
    <x v="0"/>
    <n v="8"/>
    <n v="171"/>
    <n v="21.38"/>
    <n v="40"/>
    <n v="102.6"/>
  </r>
  <r>
    <x v="81"/>
    <x v="160"/>
    <s v="3514201"/>
    <x v="1"/>
    <n v="8"/>
    <n v="161.22999999999999"/>
    <n v="20.149999999999999"/>
    <n v="40"/>
    <n v="96.74"/>
  </r>
  <r>
    <x v="81"/>
    <x v="160"/>
    <s v="3514201"/>
    <x v="2"/>
    <n v="8"/>
    <n v="210"/>
    <n v="26.25"/>
    <n v="40"/>
    <n v="126"/>
  </r>
  <r>
    <x v="81"/>
    <x v="161"/>
    <s v="3515001"/>
    <x v="0"/>
    <n v="9"/>
    <n v="94.93"/>
    <n v="10.55"/>
    <n v="40"/>
    <n v="56.96"/>
  </r>
  <r>
    <x v="81"/>
    <x v="161"/>
    <s v="3515001"/>
    <x v="1"/>
    <n v="9"/>
    <n v="106.65"/>
    <n v="11.85"/>
    <n v="40"/>
    <n v="63.99"/>
  </r>
  <r>
    <x v="81"/>
    <x v="161"/>
    <s v="3515001"/>
    <x v="2"/>
    <n v="9"/>
    <n v="123.95"/>
    <n v="13.77"/>
    <n v="40"/>
    <n v="74.37"/>
  </r>
  <r>
    <x v="81"/>
    <x v="162"/>
    <s v="5402702"/>
    <x v="0"/>
    <n v="8"/>
    <n v="203.76"/>
    <n v="25.47"/>
    <n v="40"/>
    <n v="122.26"/>
  </r>
  <r>
    <x v="81"/>
    <x v="162"/>
    <s v="5402702"/>
    <x v="1"/>
    <n v="8"/>
    <n v="264.05"/>
    <n v="33.01"/>
    <n v="40"/>
    <n v="158.43"/>
  </r>
  <r>
    <x v="81"/>
    <x v="162"/>
    <s v="5402702"/>
    <x v="2"/>
    <n v="8"/>
    <n v="240.57"/>
    <n v="30.07"/>
    <n v="40"/>
    <n v="144.34"/>
  </r>
  <r>
    <x v="81"/>
    <x v="163"/>
    <s v=""/>
    <x v="0"/>
    <n v="15"/>
    <n v="40"/>
    <n v="2.67"/>
    <n v="40"/>
    <n v="24"/>
  </r>
  <r>
    <x v="81"/>
    <x v="163"/>
    <s v=""/>
    <x v="1"/>
    <n v="15"/>
    <n v="40"/>
    <n v="2.67"/>
    <n v="40"/>
    <n v="24"/>
  </r>
  <r>
    <x v="81"/>
    <x v="163"/>
    <s v=""/>
    <x v="2"/>
    <n v="15"/>
    <n v="40"/>
    <n v="2.67"/>
    <n v="40"/>
    <n v="24"/>
  </r>
  <r>
    <x v="82"/>
    <x v="164"/>
    <s v=""/>
    <x v="0"/>
    <n v="5"/>
    <n v="87.42"/>
    <n v="17.48"/>
    <n v="40"/>
    <n v="52.45"/>
  </r>
  <r>
    <x v="82"/>
    <x v="164"/>
    <s v=""/>
    <x v="1"/>
    <n v="5"/>
    <n v="124.35"/>
    <n v="24.87"/>
    <n v="35"/>
    <n v="80.83"/>
  </r>
  <r>
    <x v="82"/>
    <x v="164"/>
    <s v=""/>
    <x v="2"/>
    <n v="5"/>
    <n v="134.16999999999999"/>
    <n v="26.83"/>
    <n v="35"/>
    <n v="87.21"/>
  </r>
  <r>
    <x v="82"/>
    <x v="165"/>
    <s v=""/>
    <x v="0"/>
    <n v="18"/>
    <n v="583.98"/>
    <n v="32.44"/>
    <n v="35"/>
    <n v="379.59"/>
  </r>
  <r>
    <x v="82"/>
    <x v="165"/>
    <s v=""/>
    <x v="1"/>
    <n v="18"/>
    <n v="681.4"/>
    <n v="37.86"/>
    <n v="35"/>
    <n v="442.91"/>
  </r>
  <r>
    <x v="82"/>
    <x v="165"/>
    <s v=""/>
    <x v="2"/>
    <n v="18"/>
    <n v="700.26"/>
    <n v="38.9"/>
    <n v="35"/>
    <n v="455.17"/>
  </r>
  <r>
    <x v="82"/>
    <x v="166"/>
    <s v=""/>
    <x v="0"/>
    <n v="7"/>
    <n v="225"/>
    <n v="32.14"/>
    <n v="35"/>
    <n v="146.25"/>
  </r>
  <r>
    <x v="82"/>
    <x v="166"/>
    <s v=""/>
    <x v="1"/>
    <n v="7"/>
    <n v="245.53"/>
    <n v="35.08"/>
    <n v="35"/>
    <n v="159.59"/>
  </r>
  <r>
    <x v="82"/>
    <x v="166"/>
    <s v=""/>
    <x v="2"/>
    <n v="7"/>
    <n v="225"/>
    <n v="32.14"/>
    <n v="35"/>
    <n v="146.25"/>
  </r>
  <r>
    <x v="83"/>
    <x v="167"/>
    <s v=""/>
    <x v="0"/>
    <n v="7"/>
    <n v="23.67"/>
    <n v="3.38"/>
    <n v="40"/>
    <n v="14.2"/>
  </r>
  <r>
    <x v="83"/>
    <x v="167"/>
    <s v=""/>
    <x v="1"/>
    <n v="7"/>
    <n v="58"/>
    <n v="8.2899999999999991"/>
    <n v="40"/>
    <n v="34.799999999999997"/>
  </r>
  <r>
    <x v="83"/>
    <x v="167"/>
    <s v=""/>
    <x v="2"/>
    <n v="7"/>
    <n v="33.93"/>
    <n v="4.8499999999999996"/>
    <n v="40"/>
    <n v="20.36"/>
  </r>
  <r>
    <x v="83"/>
    <x v="168"/>
    <s v=""/>
    <x v="0"/>
    <n v="3"/>
    <n v="56.4"/>
    <n v="18.8"/>
    <n v="40"/>
    <n v="33.840000000000003"/>
  </r>
  <r>
    <x v="83"/>
    <x v="168"/>
    <s v=""/>
    <x v="1"/>
    <n v="3"/>
    <n v="16.05"/>
    <n v="5.35"/>
    <n v="40"/>
    <n v="9.6300000000000008"/>
  </r>
  <r>
    <x v="83"/>
    <x v="168"/>
    <s v=""/>
    <x v="2"/>
    <n v="3"/>
    <n v="78.959999999999994"/>
    <n v="26.32"/>
    <n v="40"/>
    <n v="47.38"/>
  </r>
  <r>
    <x v="83"/>
    <x v="169"/>
    <s v=""/>
    <x v="0"/>
    <n v="40"/>
    <n v="35.58"/>
    <n v="0.89"/>
    <n v="40"/>
    <n v="21.35"/>
  </r>
  <r>
    <x v="83"/>
    <x v="169"/>
    <s v=""/>
    <x v="1"/>
    <n v="40"/>
    <n v="22.41"/>
    <n v="0.56000000000000005"/>
    <n v="40"/>
    <n v="13.45"/>
  </r>
  <r>
    <x v="83"/>
    <x v="169"/>
    <s v=""/>
    <x v="2"/>
    <n v="40"/>
    <n v="6"/>
    <n v="0.15"/>
    <n v="40"/>
    <n v="3.6"/>
  </r>
  <r>
    <x v="84"/>
    <x v="170"/>
    <s v=""/>
    <x v="0"/>
    <n v="20"/>
    <n v="451.47"/>
    <n v="22.57"/>
    <n v="40"/>
    <n v="270.88"/>
  </r>
  <r>
    <x v="84"/>
    <x v="170"/>
    <s v=""/>
    <x v="1"/>
    <n v="20"/>
    <n v="374.51"/>
    <n v="18.73"/>
    <n v="40"/>
    <n v="224.71"/>
  </r>
  <r>
    <x v="84"/>
    <x v="170"/>
    <s v=""/>
    <x v="2"/>
    <n v="20"/>
    <n v="508.88"/>
    <n v="25.44"/>
    <n v="40"/>
    <n v="305.33"/>
  </r>
  <r>
    <x v="85"/>
    <x v="171"/>
    <s v=""/>
    <x v="0"/>
    <n v="4"/>
    <n v="359.5"/>
    <n v="89.88"/>
    <n v="35"/>
    <n v="233.68"/>
  </r>
  <r>
    <x v="85"/>
    <x v="171"/>
    <s v=""/>
    <x v="1"/>
    <n v="4"/>
    <n v="794.5"/>
    <n v="198.63"/>
    <n v="35"/>
    <n v="516.41999999999996"/>
  </r>
  <r>
    <x v="85"/>
    <x v="171"/>
    <s v=""/>
    <x v="2"/>
    <n v="15"/>
    <n v="1378.87"/>
    <n v="91.92"/>
    <n v="35"/>
    <n v="896.27"/>
  </r>
  <r>
    <x v="86"/>
    <x v="172"/>
    <s v=""/>
    <x v="0"/>
    <n v="15"/>
    <n v="299"/>
    <n v="19.93"/>
    <n v="50"/>
    <n v="149.5"/>
  </r>
  <r>
    <x v="86"/>
    <x v="172"/>
    <s v=""/>
    <x v="1"/>
    <n v="15"/>
    <n v="300"/>
    <n v="20"/>
    <n v="50"/>
    <n v="150"/>
  </r>
  <r>
    <x v="86"/>
    <x v="172"/>
    <s v=""/>
    <x v="2"/>
    <n v="15"/>
    <n v="300"/>
    <n v="20"/>
    <n v="50"/>
    <n v="150"/>
  </r>
  <r>
    <x v="87"/>
    <x v="173"/>
    <s v=""/>
    <x v="0"/>
    <n v="10"/>
    <n v="543.80999999999995"/>
    <n v="54.38"/>
    <n v="40"/>
    <n v="326.29000000000002"/>
  </r>
  <r>
    <x v="87"/>
    <x v="173"/>
    <s v=""/>
    <x v="1"/>
    <n v="10"/>
    <n v="414.24"/>
    <n v="41.42"/>
    <n v="40"/>
    <n v="248.54"/>
  </r>
  <r>
    <x v="87"/>
    <x v="173"/>
    <s v=""/>
    <x v="2"/>
    <n v="10"/>
    <n v="448.02"/>
    <n v="44.8"/>
    <n v="40"/>
    <n v="268.81"/>
  </r>
  <r>
    <x v="88"/>
    <x v="174"/>
    <s v=""/>
    <x v="0"/>
    <n v="5"/>
    <n v="321.45"/>
    <n v="64.290000000000006"/>
    <n v="30"/>
    <n v="225.01"/>
  </r>
  <r>
    <x v="88"/>
    <x v="174"/>
    <s v=""/>
    <x v="1"/>
    <n v="5"/>
    <n v="307.87"/>
    <n v="61.57"/>
    <n v="30"/>
    <n v="215.51"/>
  </r>
  <r>
    <x v="88"/>
    <x v="174"/>
    <s v=""/>
    <x v="2"/>
    <n v="5"/>
    <n v="396.4"/>
    <n v="79.28"/>
    <n v="30"/>
    <n v="277.48"/>
  </r>
  <r>
    <x v="89"/>
    <x v="175"/>
    <s v=""/>
    <x v="0"/>
    <n v="10"/>
    <n v="731.21"/>
    <n v="73.12"/>
    <n v="40"/>
    <n v="438.73"/>
  </r>
  <r>
    <x v="89"/>
    <x v="175"/>
    <s v=""/>
    <x v="1"/>
    <n v="10"/>
    <n v="655.01"/>
    <n v="65.5"/>
    <n v="40"/>
    <n v="393.01"/>
  </r>
  <r>
    <x v="89"/>
    <x v="175"/>
    <s v=""/>
    <x v="2"/>
    <n v="10"/>
    <n v="494.07"/>
    <n v="49.41"/>
    <n v="40"/>
    <n v="296.44"/>
  </r>
  <r>
    <x v="90"/>
    <x v="176"/>
    <s v=""/>
    <x v="0"/>
    <n v="2"/>
    <n v="114"/>
    <n v="57"/>
    <n v="50"/>
    <n v="57"/>
  </r>
  <r>
    <x v="90"/>
    <x v="176"/>
    <s v=""/>
    <x v="1"/>
    <n v="2"/>
    <n v="114"/>
    <n v="57"/>
    <n v="50"/>
    <n v="57"/>
  </r>
  <r>
    <x v="90"/>
    <x v="176"/>
    <s v=""/>
    <x v="2"/>
    <n v="2"/>
    <n v="26.5"/>
    <n v="13.25"/>
    <n v="50"/>
    <n v="13.25"/>
  </r>
  <r>
    <x v="91"/>
    <x v="177"/>
    <s v=""/>
    <x v="0"/>
    <n v="10"/>
    <n v="557.29999999999995"/>
    <n v="55.73"/>
    <n v="30"/>
    <n v="390.11"/>
  </r>
  <r>
    <x v="91"/>
    <x v="177"/>
    <s v=""/>
    <x v="1"/>
    <n v="10"/>
    <n v="422.78"/>
    <n v="42.28"/>
    <n v="30"/>
    <n v="295.95"/>
  </r>
  <r>
    <x v="91"/>
    <x v="177"/>
    <s v=""/>
    <x v="2"/>
    <n v="10"/>
    <n v="491.79"/>
    <n v="49.18"/>
    <n v="30"/>
    <n v="344.25"/>
  </r>
  <r>
    <x v="92"/>
    <x v="178"/>
    <s v=""/>
    <x v="0"/>
    <n v="10"/>
    <n v="1.2"/>
    <n v="0.12"/>
    <n v="30"/>
    <n v="0.84"/>
  </r>
  <r>
    <x v="93"/>
    <x v="179"/>
    <s v=""/>
    <x v="0"/>
    <n v="5"/>
    <n v="91.33"/>
    <n v="18.27"/>
    <n v="30"/>
    <n v="63.93"/>
  </r>
  <r>
    <x v="93"/>
    <x v="179"/>
    <s v=""/>
    <x v="1"/>
    <n v="5"/>
    <n v="58.74"/>
    <n v="11.75"/>
    <n v="30"/>
    <n v="41.12"/>
  </r>
  <r>
    <x v="93"/>
    <x v="179"/>
    <s v=""/>
    <x v="2"/>
    <n v="5"/>
    <n v="50.08"/>
    <n v="10.02"/>
    <n v="30"/>
    <n v="35.06"/>
  </r>
  <r>
    <x v="94"/>
    <x v="180"/>
    <s v=""/>
    <x v="0"/>
    <n v="50"/>
    <n v="2909.83"/>
    <n v="58.2"/>
    <n v="30"/>
    <n v="2036.88"/>
  </r>
  <r>
    <x v="94"/>
    <x v="180"/>
    <s v=""/>
    <x v="1"/>
    <n v="50"/>
    <n v="3134.61"/>
    <n v="62.69"/>
    <n v="30"/>
    <n v="2194.23"/>
  </r>
  <r>
    <x v="94"/>
    <x v="180"/>
    <s v=""/>
    <x v="2"/>
    <n v="31.33"/>
    <n v="2908.28"/>
    <n v="92.83"/>
    <n v="30"/>
    <n v="2035.8"/>
  </r>
  <r>
    <x v="95"/>
    <x v="181"/>
    <s v=""/>
    <x v="0"/>
    <n v="15"/>
    <n v="1373.47"/>
    <n v="91.56"/>
    <n v="30"/>
    <n v="961.43"/>
  </r>
  <r>
    <x v="95"/>
    <x v="181"/>
    <s v=""/>
    <x v="1"/>
    <n v="15"/>
    <n v="1369.48"/>
    <n v="91.3"/>
    <n v="30"/>
    <n v="958.64"/>
  </r>
  <r>
    <x v="95"/>
    <x v="181"/>
    <s v=""/>
    <x v="2"/>
    <n v="15"/>
    <n v="1909.36"/>
    <n v="127.29"/>
    <n v="30"/>
    <n v="1336.55"/>
  </r>
  <r>
    <x v="96"/>
    <x v="182"/>
    <s v=""/>
    <x v="0"/>
    <n v="4.42"/>
    <n v="408.27"/>
    <n v="92.37"/>
    <n v="30"/>
    <n v="285.79000000000002"/>
  </r>
  <r>
    <x v="96"/>
    <x v="182"/>
    <s v=""/>
    <x v="1"/>
    <n v="5"/>
    <n v="391.63"/>
    <n v="78.33"/>
    <n v="30"/>
    <n v="274.14"/>
  </r>
  <r>
    <x v="96"/>
    <x v="182"/>
    <s v=""/>
    <x v="2"/>
    <n v="5"/>
    <n v="312.94"/>
    <n v="62.59"/>
    <n v="30"/>
    <n v="219.06"/>
  </r>
  <r>
    <x v="97"/>
    <x v="183"/>
    <s v=""/>
    <x v="0"/>
    <n v="5"/>
    <n v="329.45"/>
    <n v="65.89"/>
    <n v="30"/>
    <n v="230.62"/>
  </r>
  <r>
    <x v="97"/>
    <x v="183"/>
    <s v=""/>
    <x v="1"/>
    <n v="5"/>
    <n v="247.35"/>
    <n v="49.47"/>
    <n v="30"/>
    <n v="173.15"/>
  </r>
  <r>
    <x v="97"/>
    <x v="183"/>
    <s v=""/>
    <x v="2"/>
    <n v="5"/>
    <n v="540.12"/>
    <n v="108.02"/>
    <n v="30"/>
    <n v="378.08"/>
  </r>
  <r>
    <x v="98"/>
    <x v="184"/>
    <s v=""/>
    <x v="0"/>
    <n v="3"/>
    <n v="96.72"/>
    <n v="32.24"/>
    <n v="30"/>
    <n v="67.7"/>
  </r>
  <r>
    <x v="98"/>
    <x v="184"/>
    <s v=""/>
    <x v="1"/>
    <n v="3"/>
    <n v="124.6"/>
    <n v="41.53"/>
    <n v="30"/>
    <n v="87.22"/>
  </r>
  <r>
    <x v="98"/>
    <x v="184"/>
    <s v=""/>
    <x v="2"/>
    <n v="3"/>
    <n v="56.43"/>
    <n v="18.809999999999999"/>
    <n v="30"/>
    <n v="39.5"/>
  </r>
  <r>
    <x v="99"/>
    <x v="185"/>
    <s v=""/>
    <x v="0"/>
    <n v="20"/>
    <n v="197.21"/>
    <n v="9.86"/>
    <n v="30"/>
    <n v="138.05000000000001"/>
  </r>
  <r>
    <x v="99"/>
    <x v="185"/>
    <s v=""/>
    <x v="1"/>
    <n v="20"/>
    <n v="302.16000000000003"/>
    <n v="15.11"/>
    <n v="30"/>
    <n v="211.51"/>
  </r>
  <r>
    <x v="99"/>
    <x v="185"/>
    <s v=""/>
    <x v="2"/>
    <n v="20"/>
    <n v="321.92"/>
    <n v="16.100000000000001"/>
    <n v="30"/>
    <n v="225.34"/>
  </r>
  <r>
    <x v="100"/>
    <x v="186"/>
    <s v=""/>
    <x v="0"/>
    <n v="10"/>
    <n v="416.48"/>
    <n v="41.65"/>
    <n v="30"/>
    <n v="291.54000000000002"/>
  </r>
  <r>
    <x v="100"/>
    <x v="186"/>
    <s v=""/>
    <x v="1"/>
    <n v="10"/>
    <n v="417.71"/>
    <n v="41.77"/>
    <n v="30"/>
    <n v="292.39999999999998"/>
  </r>
  <r>
    <x v="100"/>
    <x v="186"/>
    <s v=""/>
    <x v="2"/>
    <n v="10"/>
    <n v="487.78"/>
    <n v="48.78"/>
    <n v="30"/>
    <n v="341.45"/>
  </r>
  <r>
    <x v="101"/>
    <x v="187"/>
    <s v=""/>
    <x v="0"/>
    <n v="5"/>
    <n v="217.31"/>
    <n v="43.46"/>
    <n v="30"/>
    <n v="152.12"/>
  </r>
  <r>
    <x v="101"/>
    <x v="187"/>
    <s v=""/>
    <x v="1"/>
    <n v="5"/>
    <n v="491.77"/>
    <n v="98.35"/>
    <n v="30"/>
    <n v="344.24"/>
  </r>
  <r>
    <x v="101"/>
    <x v="187"/>
    <s v=""/>
    <x v="2"/>
    <n v="5"/>
    <n v="110.72"/>
    <n v="22.14"/>
    <n v="30"/>
    <n v="77.5"/>
  </r>
  <r>
    <x v="102"/>
    <x v="188"/>
    <s v=""/>
    <x v="0"/>
    <n v="9"/>
    <n v="1137.92"/>
    <n v="126.44"/>
    <n v="30"/>
    <n v="796.54"/>
  </r>
  <r>
    <x v="102"/>
    <x v="188"/>
    <s v=""/>
    <x v="1"/>
    <n v="9"/>
    <n v="1061.8900000000001"/>
    <n v="117.99"/>
    <n v="30"/>
    <n v="743.32"/>
  </r>
  <r>
    <x v="102"/>
    <x v="188"/>
    <s v=""/>
    <x v="2"/>
    <n v="9"/>
    <n v="954.24"/>
    <n v="106.03"/>
    <n v="30"/>
    <n v="667.97"/>
  </r>
  <r>
    <x v="103"/>
    <x v="189"/>
    <s v=""/>
    <x v="0"/>
    <n v="127"/>
    <n v="9343.9"/>
    <n v="73.569999999999993"/>
    <n v="30"/>
    <n v="6540.73"/>
  </r>
  <r>
    <x v="103"/>
    <x v="189"/>
    <s v=""/>
    <x v="1"/>
    <n v="127"/>
    <n v="8199.7999999999993"/>
    <n v="64.569999999999993"/>
    <n v="30"/>
    <n v="5739.86"/>
  </r>
  <r>
    <x v="103"/>
    <x v="189"/>
    <s v=""/>
    <x v="2"/>
    <n v="127"/>
    <n v="9317"/>
    <n v="73.36"/>
    <n v="30"/>
    <n v="6521.9"/>
  </r>
  <r>
    <x v="104"/>
    <x v="190"/>
    <s v="Saint Malo Port"/>
    <x v="0"/>
    <n v="0"/>
    <n v="0.3"/>
    <s v=""/>
    <n v="25"/>
    <n v="0.23"/>
  </r>
  <r>
    <x v="104"/>
    <x v="190"/>
    <s v="Saint Malo Port"/>
    <x v="1"/>
    <n v="0"/>
    <n v="50"/>
    <s v=""/>
    <n v="25"/>
    <n v="37.5"/>
  </r>
  <r>
    <x v="104"/>
    <x v="190"/>
    <s v="Saint Malo Port"/>
    <x v="2"/>
    <n v="9"/>
    <n v="228.72"/>
    <n v="25.41"/>
    <n v="25"/>
    <n v="171.54"/>
  </r>
  <r>
    <x v="105"/>
    <x v="191"/>
    <s v=""/>
    <x v="0"/>
    <n v="20"/>
    <n v="134.69"/>
    <n v="6.73"/>
    <n v="50"/>
    <n v="67.34"/>
  </r>
  <r>
    <x v="105"/>
    <x v="191"/>
    <s v=""/>
    <x v="1"/>
    <n v="20"/>
    <n v="127.87"/>
    <n v="6.39"/>
    <n v="50"/>
    <n v="63.94"/>
  </r>
  <r>
    <x v="105"/>
    <x v="191"/>
    <s v=""/>
    <x v="2"/>
    <n v="20"/>
    <n v="153.82"/>
    <n v="7.69"/>
    <n v="50"/>
    <n v="76.91"/>
  </r>
  <r>
    <x v="106"/>
    <x v="192"/>
    <s v="HP0797"/>
    <x v="0"/>
    <n v="5"/>
    <n v="331.99"/>
    <n v="66.400000000000006"/>
    <n v="40"/>
    <n v="199.19"/>
  </r>
  <r>
    <x v="106"/>
    <x v="192"/>
    <s v="HP0797"/>
    <x v="1"/>
    <n v="5"/>
    <n v="352.37"/>
    <n v="70.47"/>
    <n v="40"/>
    <n v="211.42"/>
  </r>
  <r>
    <x v="106"/>
    <x v="192"/>
    <s v="HP0797"/>
    <x v="2"/>
    <n v="5"/>
    <n v="351.8"/>
    <n v="70.36"/>
    <n v="40"/>
    <n v="211.08"/>
  </r>
  <r>
    <x v="106"/>
    <x v="193"/>
    <s v="HP0806"/>
    <x v="0"/>
    <n v="9"/>
    <n v="241.09"/>
    <n v="26.79"/>
    <n v="40"/>
    <n v="144.65"/>
  </r>
  <r>
    <x v="106"/>
    <x v="193"/>
    <s v="HP0806"/>
    <x v="1"/>
    <n v="9"/>
    <n v="215.53"/>
    <n v="23.95"/>
    <n v="40"/>
    <n v="129.32"/>
  </r>
  <r>
    <x v="106"/>
    <x v="193"/>
    <s v="HP0806"/>
    <x v="2"/>
    <n v="9"/>
    <n v="155.37"/>
    <n v="17.260000000000002"/>
    <n v="40"/>
    <n v="93.22"/>
  </r>
  <r>
    <x v="106"/>
    <x v="194"/>
    <s v="HP0676"/>
    <x v="0"/>
    <n v="10"/>
    <n v="122.55"/>
    <n v="12.25"/>
    <n v="40"/>
    <n v="73.53"/>
  </r>
  <r>
    <x v="106"/>
    <x v="194"/>
    <s v="HP0676"/>
    <x v="1"/>
    <n v="10"/>
    <n v="146"/>
    <n v="14.6"/>
    <n v="40"/>
    <n v="87.6"/>
  </r>
  <r>
    <x v="106"/>
    <x v="194"/>
    <s v="HP0676"/>
    <x v="2"/>
    <n v="10"/>
    <n v="139"/>
    <n v="13.9"/>
    <n v="40"/>
    <n v="83.4"/>
  </r>
  <r>
    <x v="106"/>
    <x v="195"/>
    <s v="HP0353 240256/84"/>
    <x v="0"/>
    <n v="9.61"/>
    <n v="1430.54"/>
    <n v="148.86000000000001"/>
    <n v="40"/>
    <n v="858.32"/>
  </r>
  <r>
    <x v="106"/>
    <x v="195"/>
    <s v="HP0353 240256/84"/>
    <x v="1"/>
    <n v="8.65"/>
    <n v="836.54"/>
    <n v="96.71"/>
    <n v="40"/>
    <n v="501.92"/>
  </r>
  <r>
    <x v="106"/>
    <x v="195"/>
    <s v="HP0353 240256/84"/>
    <x v="2"/>
    <n v="10"/>
    <n v="1362.5"/>
    <n v="136.25"/>
    <n v="40"/>
    <n v="817.5"/>
  </r>
  <r>
    <x v="106"/>
    <x v="196"/>
    <s v="HP0889"/>
    <x v="0"/>
    <n v="10"/>
    <n v="889.24"/>
    <n v="88.92"/>
    <n v="40"/>
    <n v="533.54"/>
  </r>
  <r>
    <x v="106"/>
    <x v="196"/>
    <s v="HP0889"/>
    <x v="1"/>
    <n v="10"/>
    <n v="1397.78"/>
    <n v="139.78"/>
    <n v="40"/>
    <n v="838.67"/>
  </r>
  <r>
    <x v="106"/>
    <x v="196"/>
    <s v="HP0889"/>
    <x v="2"/>
    <n v="10"/>
    <n v="960.81"/>
    <n v="96.08"/>
    <n v="40"/>
    <n v="576.49"/>
  </r>
  <r>
    <x v="106"/>
    <x v="197"/>
    <s v="HP0448 240256/84"/>
    <x v="0"/>
    <n v="10"/>
    <n v="1352.06"/>
    <n v="135.21"/>
    <n v="40"/>
    <n v="811.24"/>
  </r>
  <r>
    <x v="106"/>
    <x v="197"/>
    <s v="HP0448 240256/84"/>
    <x v="1"/>
    <n v="10"/>
    <n v="1445.91"/>
    <n v="144.59"/>
    <n v="40"/>
    <n v="867.55"/>
  </r>
  <r>
    <x v="106"/>
    <x v="197"/>
    <s v="HP0448 240256/84"/>
    <x v="2"/>
    <n v="10"/>
    <n v="1115.99"/>
    <n v="111.6"/>
    <n v="40"/>
    <n v="669.59"/>
  </r>
  <r>
    <x v="106"/>
    <x v="198"/>
    <s v="HP0778"/>
    <x v="0"/>
    <n v="10"/>
    <n v="949.35"/>
    <n v="94.94"/>
    <n v="40"/>
    <n v="569.61"/>
  </r>
  <r>
    <x v="106"/>
    <x v="198"/>
    <s v="HP0778"/>
    <x v="1"/>
    <n v="10"/>
    <n v="950.55"/>
    <n v="95.05"/>
    <n v="40"/>
    <n v="570.33000000000004"/>
  </r>
  <r>
    <x v="106"/>
    <x v="198"/>
    <s v="HP0778"/>
    <x v="2"/>
    <n v="10"/>
    <n v="904.83"/>
    <n v="90.48"/>
    <n v="40"/>
    <n v="542.9"/>
  </r>
  <r>
    <x v="106"/>
    <x v="199"/>
    <s v="HP0327"/>
    <x v="0"/>
    <n v="10"/>
    <n v="480"/>
    <n v="48"/>
    <n v="40"/>
    <n v="288"/>
  </r>
  <r>
    <x v="106"/>
    <x v="199"/>
    <s v="HP0327"/>
    <x v="1"/>
    <n v="10"/>
    <n v="480"/>
    <n v="48"/>
    <n v="40"/>
    <n v="288"/>
  </r>
  <r>
    <x v="106"/>
    <x v="199"/>
    <s v="HP0327"/>
    <x v="2"/>
    <n v="10"/>
    <n v="480"/>
    <n v="48"/>
    <n v="40"/>
    <n v="288"/>
  </r>
  <r>
    <x v="107"/>
    <x v="200"/>
    <s v="HP3521 - CA N°363557"/>
    <x v="0"/>
    <n v="9"/>
    <n v="314.47000000000003"/>
    <n v="34.94"/>
    <n v="40"/>
    <n v="188.68"/>
  </r>
  <r>
    <x v="107"/>
    <x v="200"/>
    <s v="HP3521 - CA N°363557"/>
    <x v="1"/>
    <n v="9"/>
    <n v="250.75"/>
    <n v="27.86"/>
    <n v="40"/>
    <n v="150.44999999999999"/>
  </r>
  <r>
    <x v="107"/>
    <x v="200"/>
    <s v="HP3521 - CA N°363557"/>
    <x v="2"/>
    <n v="8.5299999999999994"/>
    <n v="328.08"/>
    <n v="38.46"/>
    <n v="40"/>
    <n v="196.85"/>
  </r>
  <r>
    <x v="107"/>
    <x v="201"/>
    <s v="HP2304  - CA N°363557"/>
    <x v="0"/>
    <n v="10"/>
    <n v="184"/>
    <n v="18.399999999999999"/>
    <n v="40"/>
    <n v="110.4"/>
  </r>
  <r>
    <x v="107"/>
    <x v="201"/>
    <s v="HP2304  - CA N°363557"/>
    <x v="1"/>
    <n v="10"/>
    <n v="184"/>
    <n v="18.399999999999999"/>
    <n v="40"/>
    <n v="110.4"/>
  </r>
  <r>
    <x v="107"/>
    <x v="201"/>
    <s v="HP2304  - CA N°363557"/>
    <x v="2"/>
    <n v="10"/>
    <n v="184"/>
    <n v="18.399999999999999"/>
    <n v="40"/>
    <n v="110.4"/>
  </r>
  <r>
    <x v="107"/>
    <x v="202"/>
    <s v="HP2296 - CA N°363549"/>
    <x v="0"/>
    <n v="5"/>
    <n v="242.62"/>
    <n v="48.52"/>
    <n v="40"/>
    <n v="145.57"/>
  </r>
  <r>
    <x v="107"/>
    <x v="202"/>
    <s v="HP2296 - CA N°363549"/>
    <x v="1"/>
    <n v="5"/>
    <n v="316.88"/>
    <n v="63.38"/>
    <n v="40"/>
    <n v="190.13"/>
  </r>
  <r>
    <x v="107"/>
    <x v="202"/>
    <s v="HP2296 - CA N°363549"/>
    <x v="2"/>
    <n v="5"/>
    <n v="151.75"/>
    <n v="30.35"/>
    <n v="40"/>
    <n v="91.05"/>
  </r>
  <r>
    <x v="108"/>
    <x v="203"/>
    <s v="HP8976 - Charolais"/>
    <x v="0"/>
    <n v="5"/>
    <n v="927.08"/>
    <n v="185.42"/>
    <n v="40"/>
    <n v="556.25"/>
  </r>
  <r>
    <x v="108"/>
    <x v="203"/>
    <s v="HP8976 - Charolais"/>
    <x v="1"/>
    <n v="5"/>
    <n v="862.81"/>
    <n v="172.56"/>
    <n v="40"/>
    <n v="517.69000000000005"/>
  </r>
  <r>
    <x v="108"/>
    <x v="203"/>
    <s v="HP8976 - Charolais"/>
    <x v="2"/>
    <n v="5"/>
    <n v="711.05"/>
    <n v="142.21"/>
    <n v="40"/>
    <n v="426.63"/>
  </r>
  <r>
    <x v="109"/>
    <x v="204"/>
    <s v="2353P"/>
    <x v="0"/>
    <n v="18"/>
    <n v="2217.48"/>
    <n v="123.19"/>
    <n v="30"/>
    <n v="1552.24"/>
  </r>
  <r>
    <x v="109"/>
    <x v="204"/>
    <s v="2353P"/>
    <x v="1"/>
    <n v="18"/>
    <n v="1462.43"/>
    <n v="81.25"/>
    <n v="30"/>
    <n v="1023.7"/>
  </r>
  <r>
    <x v="109"/>
    <x v="204"/>
    <s v="2353P"/>
    <x v="2"/>
    <n v="18"/>
    <n v="2161.0100000000002"/>
    <n v="120.06"/>
    <n v="30"/>
    <n v="1512.71"/>
  </r>
  <r>
    <x v="109"/>
    <x v="205"/>
    <s v="1328P"/>
    <x v="0"/>
    <n v="28"/>
    <n v="2780"/>
    <n v="99.29"/>
    <n v="30"/>
    <n v="1946"/>
  </r>
  <r>
    <x v="109"/>
    <x v="205"/>
    <s v="1328P"/>
    <x v="1"/>
    <n v="28"/>
    <n v="2267.73"/>
    <n v="80.989999999999995"/>
    <n v="30"/>
    <n v="1587.41"/>
  </r>
  <r>
    <x v="109"/>
    <x v="205"/>
    <s v="1328P"/>
    <x v="2"/>
    <n v="28"/>
    <n v="3058.54"/>
    <n v="109.23"/>
    <n v="30"/>
    <n v="2140.98"/>
  </r>
  <r>
    <x v="109"/>
    <x v="206"/>
    <s v="2211P"/>
    <x v="0"/>
    <n v="10"/>
    <n v="253.78"/>
    <n v="25.38"/>
    <n v="40"/>
    <n v="152.27000000000001"/>
  </r>
  <r>
    <x v="109"/>
    <x v="206"/>
    <s v="2211P"/>
    <x v="1"/>
    <n v="7.68"/>
    <n v="307.75"/>
    <n v="40.07"/>
    <n v="40"/>
    <n v="184.65"/>
  </r>
  <r>
    <x v="109"/>
    <x v="206"/>
    <s v="2211P"/>
    <x v="2"/>
    <n v="7"/>
    <n v="175.08"/>
    <n v="25.01"/>
    <n v="40"/>
    <n v="105.05"/>
  </r>
  <r>
    <x v="109"/>
    <x v="207"/>
    <s v="R137P"/>
    <x v="0"/>
    <n v="46"/>
    <n v="2137.46"/>
    <n v="46.47"/>
    <n v="30"/>
    <n v="1496.22"/>
  </r>
  <r>
    <x v="109"/>
    <x v="207"/>
    <s v="R137P"/>
    <x v="1"/>
    <n v="46"/>
    <n v="2265.71"/>
    <n v="49.25"/>
    <n v="30"/>
    <n v="1586"/>
  </r>
  <r>
    <x v="109"/>
    <x v="207"/>
    <s v="R137P"/>
    <x v="2"/>
    <n v="46"/>
    <n v="2067.2399999999998"/>
    <n v="44.94"/>
    <n v="30"/>
    <n v="1447.07"/>
  </r>
  <r>
    <x v="109"/>
    <x v="208"/>
    <s v="2664P"/>
    <x v="0"/>
    <n v="38"/>
    <n v="1554.68"/>
    <n v="40.909999999999997"/>
    <n v="30"/>
    <n v="1088.28"/>
  </r>
  <r>
    <x v="109"/>
    <x v="208"/>
    <s v="2664P"/>
    <x v="1"/>
    <n v="38"/>
    <n v="1538.1"/>
    <n v="40.479999999999997"/>
    <n v="30"/>
    <n v="1076.67"/>
  </r>
  <r>
    <x v="109"/>
    <x v="208"/>
    <s v="2664P"/>
    <x v="2"/>
    <n v="38"/>
    <n v="1272.29"/>
    <n v="33.479999999999997"/>
    <n v="30"/>
    <n v="890.6"/>
  </r>
  <r>
    <x v="109"/>
    <x v="209"/>
    <s v="1631P"/>
    <x v="0"/>
    <n v="3"/>
    <n v="169"/>
    <n v="56.33"/>
    <n v="30"/>
    <n v="118.3"/>
  </r>
  <r>
    <x v="109"/>
    <x v="209"/>
    <s v="1631P"/>
    <x v="1"/>
    <n v="3"/>
    <n v="169"/>
    <n v="56.33"/>
    <n v="30"/>
    <n v="118.3"/>
  </r>
  <r>
    <x v="109"/>
    <x v="209"/>
    <s v="1631P"/>
    <x v="2"/>
    <n v="3"/>
    <n v="169"/>
    <n v="56.33"/>
    <n v="30"/>
    <n v="118.3"/>
  </r>
  <r>
    <x v="109"/>
    <x v="210"/>
    <s v="3707P"/>
    <x v="0"/>
    <n v="10"/>
    <n v="120"/>
    <n v="12"/>
    <n v="40"/>
    <n v="72"/>
  </r>
  <r>
    <x v="109"/>
    <x v="210"/>
    <s v="3707P"/>
    <x v="1"/>
    <n v="10"/>
    <n v="131.61000000000001"/>
    <n v="13.16"/>
    <n v="40"/>
    <n v="78.97"/>
  </r>
  <r>
    <x v="109"/>
    <x v="210"/>
    <s v="3707P"/>
    <x v="2"/>
    <n v="10"/>
    <n v="160"/>
    <n v="16"/>
    <n v="40"/>
    <n v="96"/>
  </r>
  <r>
    <x v="109"/>
    <x v="211"/>
    <s v="1385P"/>
    <x v="0"/>
    <n v="7"/>
    <n v="609.77"/>
    <n v="87.11"/>
    <n v="40"/>
    <n v="365.86"/>
  </r>
  <r>
    <x v="109"/>
    <x v="211"/>
    <s v="1385P"/>
    <x v="1"/>
    <n v="6.16"/>
    <n v="506.8"/>
    <n v="82.27"/>
    <n v="40"/>
    <n v="304.08"/>
  </r>
  <r>
    <x v="109"/>
    <x v="211"/>
    <s v="1385P"/>
    <x v="2"/>
    <n v="4"/>
    <n v="311.3"/>
    <n v="77.83"/>
    <n v="40"/>
    <n v="186.78"/>
  </r>
  <r>
    <x v="109"/>
    <x v="212"/>
    <s v="R148P"/>
    <x v="0"/>
    <n v="5"/>
    <n v="265"/>
    <n v="53"/>
    <n v="40"/>
    <n v="159"/>
  </r>
  <r>
    <x v="109"/>
    <x v="212"/>
    <s v="R148P"/>
    <x v="1"/>
    <n v="5"/>
    <n v="265"/>
    <n v="53"/>
    <n v="40"/>
    <n v="159"/>
  </r>
  <r>
    <x v="109"/>
    <x v="212"/>
    <s v="R148P"/>
    <x v="2"/>
    <n v="5"/>
    <n v="265"/>
    <n v="53"/>
    <n v="40"/>
    <n v="159"/>
  </r>
  <r>
    <x v="109"/>
    <x v="213"/>
    <s v="2118P"/>
    <x v="1"/>
    <n v="10"/>
    <n v="7"/>
    <n v="0.7"/>
    <n v="40"/>
    <n v="4.2"/>
  </r>
  <r>
    <x v="109"/>
    <x v="213"/>
    <s v="2118P"/>
    <x v="2"/>
    <n v="10"/>
    <n v="94.71"/>
    <n v="9.4700000000000006"/>
    <n v="40"/>
    <n v="56.83"/>
  </r>
  <r>
    <x v="109"/>
    <x v="214"/>
    <s v="T751P"/>
    <x v="1"/>
    <n v="10"/>
    <n v="21"/>
    <n v="2.1"/>
    <n v="40"/>
    <n v="12.6"/>
  </r>
  <r>
    <x v="109"/>
    <x v="215"/>
    <s v="1795P"/>
    <x v="0"/>
    <n v="10"/>
    <n v="50"/>
    <n v="5"/>
    <n v="40"/>
    <n v="30"/>
  </r>
  <r>
    <x v="109"/>
    <x v="215"/>
    <s v="1795P"/>
    <x v="1"/>
    <n v="10"/>
    <n v="35.479999999999997"/>
    <n v="3.55"/>
    <n v="40"/>
    <n v="21.29"/>
  </r>
  <r>
    <x v="109"/>
    <x v="215"/>
    <s v="1795P"/>
    <x v="2"/>
    <n v="10"/>
    <n v="50"/>
    <n v="5"/>
    <n v="40"/>
    <n v="30"/>
  </r>
  <r>
    <x v="109"/>
    <x v="216"/>
    <s v="1318P"/>
    <x v="0"/>
    <n v="29"/>
    <n v="250.6"/>
    <n v="8.64"/>
    <n v="40"/>
    <n v="150.36000000000001"/>
  </r>
  <r>
    <x v="109"/>
    <x v="216"/>
    <s v="1318P"/>
    <x v="1"/>
    <n v="29"/>
    <n v="133.69999999999999"/>
    <n v="4.6100000000000003"/>
    <n v="40"/>
    <n v="80.22"/>
  </r>
  <r>
    <x v="109"/>
    <x v="216"/>
    <s v="1318P"/>
    <x v="2"/>
    <n v="29"/>
    <n v="148.91"/>
    <n v="5.13"/>
    <n v="40"/>
    <n v="89.35"/>
  </r>
  <r>
    <x v="109"/>
    <x v="217"/>
    <s v="2104P"/>
    <x v="0"/>
    <n v="4"/>
    <n v="36.01"/>
    <n v="9"/>
    <n v="40"/>
    <n v="21.61"/>
  </r>
  <r>
    <x v="109"/>
    <x v="217"/>
    <s v="2104P"/>
    <x v="1"/>
    <n v="4"/>
    <n v="-21"/>
    <n v="-5.25"/>
    <n v="40"/>
    <n v="-12.6"/>
  </r>
  <r>
    <x v="109"/>
    <x v="217"/>
    <s v="2104P"/>
    <x v="2"/>
    <n v="4"/>
    <n v="50"/>
    <n v="12.5"/>
    <n v="40"/>
    <n v="30"/>
  </r>
  <r>
    <x v="109"/>
    <x v="218"/>
    <s v="1975P"/>
    <x v="0"/>
    <n v="5"/>
    <n v="251"/>
    <n v="50.2"/>
    <n v="40"/>
    <n v="150.6"/>
  </r>
  <r>
    <x v="109"/>
    <x v="218"/>
    <s v="1975P"/>
    <x v="1"/>
    <n v="5"/>
    <n v="251"/>
    <n v="50.2"/>
    <n v="40"/>
    <n v="150.6"/>
  </r>
  <r>
    <x v="109"/>
    <x v="218"/>
    <s v="1975P"/>
    <x v="2"/>
    <n v="5"/>
    <n v="251"/>
    <n v="50.2"/>
    <n v="40"/>
    <n v="150.6"/>
  </r>
  <r>
    <x v="109"/>
    <x v="219"/>
    <s v="T704P"/>
    <x v="0"/>
    <n v="14.35"/>
    <n v="56.87"/>
    <n v="3.96"/>
    <n v="40"/>
    <n v="34.119999999999997"/>
  </r>
  <r>
    <x v="109"/>
    <x v="219"/>
    <s v="T704P"/>
    <x v="1"/>
    <n v="15"/>
    <n v="1.3"/>
    <n v="0.09"/>
    <n v="40"/>
    <n v="0.78"/>
  </r>
  <r>
    <x v="109"/>
    <x v="219"/>
    <s v="T704P"/>
    <x v="2"/>
    <n v="15"/>
    <n v="11"/>
    <n v="0.73"/>
    <n v="40"/>
    <n v="6.6"/>
  </r>
  <r>
    <x v="109"/>
    <x v="220"/>
    <s v="2154P"/>
    <x v="0"/>
    <n v="7"/>
    <n v="1.61"/>
    <n v="0.23"/>
    <n v="40"/>
    <n v="0.97"/>
  </r>
  <r>
    <x v="109"/>
    <x v="220"/>
    <s v="2154P"/>
    <x v="1"/>
    <n v="7"/>
    <n v="21.77"/>
    <n v="3.11"/>
    <n v="40"/>
    <n v="13.06"/>
  </r>
  <r>
    <x v="109"/>
    <x v="221"/>
    <s v="S069P"/>
    <x v="0"/>
    <n v="9"/>
    <n v="1223.83"/>
    <n v="135.97999999999999"/>
    <n v="30"/>
    <n v="856.68"/>
  </r>
  <r>
    <x v="109"/>
    <x v="221"/>
    <s v="S069P"/>
    <x v="1"/>
    <n v="9"/>
    <n v="407.97"/>
    <n v="45.33"/>
    <n v="30"/>
    <n v="285.58"/>
  </r>
  <r>
    <x v="109"/>
    <x v="221"/>
    <s v="S069P"/>
    <x v="2"/>
    <n v="9"/>
    <n v="824.42"/>
    <n v="91.6"/>
    <n v="30"/>
    <n v="577.09"/>
  </r>
  <r>
    <x v="109"/>
    <x v="222"/>
    <s v="3525P"/>
    <x v="1"/>
    <n v="1"/>
    <n v="73.900000000000006"/>
    <n v="73.900000000000006"/>
    <n v="40"/>
    <n v="44.34"/>
  </r>
  <r>
    <x v="109"/>
    <x v="222"/>
    <s v="3525P"/>
    <x v="2"/>
    <n v="1"/>
    <n v="79"/>
    <n v="79"/>
    <n v="40"/>
    <n v="47.4"/>
  </r>
  <r>
    <x v="109"/>
    <x v="223"/>
    <s v="R319P"/>
    <x v="0"/>
    <n v="5"/>
    <n v="276"/>
    <n v="55.2"/>
    <n v="30"/>
    <n v="193.2"/>
  </r>
  <r>
    <x v="109"/>
    <x v="223"/>
    <s v="R319P"/>
    <x v="1"/>
    <n v="5"/>
    <n v="276"/>
    <n v="55.2"/>
    <n v="30"/>
    <n v="193.2"/>
  </r>
  <r>
    <x v="109"/>
    <x v="223"/>
    <s v="R319P"/>
    <x v="2"/>
    <n v="5"/>
    <n v="308.2"/>
    <n v="61.64"/>
    <n v="30"/>
    <n v="215.74"/>
  </r>
  <r>
    <x v="109"/>
    <x v="224"/>
    <s v="S066P"/>
    <x v="0"/>
    <n v="2"/>
    <n v="50"/>
    <n v="25"/>
    <n v="40"/>
    <n v="30"/>
  </r>
  <r>
    <x v="109"/>
    <x v="224"/>
    <s v="S066P"/>
    <x v="1"/>
    <n v="2"/>
    <n v="50"/>
    <n v="25"/>
    <n v="40"/>
    <n v="30"/>
  </r>
  <r>
    <x v="109"/>
    <x v="224"/>
    <s v="S066P"/>
    <x v="2"/>
    <n v="2"/>
    <n v="50"/>
    <n v="25"/>
    <n v="40"/>
    <n v="30"/>
  </r>
  <r>
    <x v="109"/>
    <x v="225"/>
    <s v="2685P"/>
    <x v="0"/>
    <n v="10"/>
    <n v="645.29"/>
    <n v="64.53"/>
    <n v="30"/>
    <n v="451.7"/>
  </r>
  <r>
    <x v="109"/>
    <x v="225"/>
    <s v="2685P"/>
    <x v="1"/>
    <n v="10"/>
    <n v="604.77"/>
    <n v="60.48"/>
    <n v="30"/>
    <n v="423.34"/>
  </r>
  <r>
    <x v="109"/>
    <x v="225"/>
    <s v="2685P"/>
    <x v="2"/>
    <n v="10"/>
    <n v="563.16999999999996"/>
    <n v="56.32"/>
    <n v="30"/>
    <n v="394.22"/>
  </r>
  <r>
    <x v="109"/>
    <x v="226"/>
    <s v="1867P"/>
    <x v="0"/>
    <n v="7"/>
    <n v="407.52"/>
    <n v="58.22"/>
    <n v="40"/>
    <n v="244.51"/>
  </r>
  <r>
    <x v="109"/>
    <x v="226"/>
    <s v="1867P"/>
    <x v="1"/>
    <n v="7"/>
    <n v="555.75"/>
    <n v="79.39"/>
    <n v="40"/>
    <n v="333.45"/>
  </r>
  <r>
    <x v="109"/>
    <x v="226"/>
    <s v="1867P"/>
    <x v="2"/>
    <n v="7"/>
    <n v="454.71"/>
    <n v="64.959999999999994"/>
    <n v="40"/>
    <n v="272.83"/>
  </r>
  <r>
    <x v="109"/>
    <x v="227"/>
    <s v="S040P"/>
    <x v="1"/>
    <n v="15"/>
    <n v="51.61"/>
    <n v="3.44"/>
    <n v="40"/>
    <n v="30.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ACE03-717F-EA46-8284-3950912AA9E7}" name="TCD" cacheId="0" applyNumberFormats="0" applyBorderFormats="0" applyFontFormats="0" applyPatternFormats="0" applyAlignmentFormats="0" applyWidthHeightFormats="1" dataCaption="Valeurs" grandTotalCaption="Total" updatedVersion="6" minRefreshableVersion="3" useAutoFormatting="1" itemPrintTitles="1" createdVersion="4" indent="0" outline="1" outlineData="1" multipleFieldFilters="0">
  <location ref="A4:E7" firstHeaderRow="1" firstDataRow="2" firstDataCol="1" rowPageCount="1" colPageCount="1"/>
  <pivotFields count="9">
    <pivotField axis="axisPage" showAll="0">
      <items count="280">
        <item x="3"/>
        <item x="8"/>
        <item m="1" x="273"/>
        <item x="42"/>
        <item x="43"/>
        <item x="77"/>
        <item x="106"/>
        <item x="109"/>
        <item m="1" x="175"/>
        <item m="1" x="278"/>
        <item m="1" x="171"/>
        <item m="1" x="133"/>
        <item m="1" x="240"/>
        <item m="1" x="217"/>
        <item m="1" x="176"/>
        <item m="1" x="221"/>
        <item m="1" x="208"/>
        <item m="1" x="207"/>
        <item m="1" x="110"/>
        <item m="1" x="155"/>
        <item m="1" x="215"/>
        <item m="1" x="150"/>
        <item m="1" x="233"/>
        <item m="1" x="181"/>
        <item x="35"/>
        <item x="58"/>
        <item x="70"/>
        <item x="73"/>
        <item m="1" x="160"/>
        <item m="1" x="256"/>
        <item m="1" x="139"/>
        <item m="1" x="116"/>
        <item m="1" x="138"/>
        <item m="1" x="204"/>
        <item m="1" x="228"/>
        <item m="1" x="163"/>
        <item x="76"/>
        <item m="1" x="127"/>
        <item m="1" x="115"/>
        <item x="27"/>
        <item x="80"/>
        <item m="1" x="177"/>
        <item m="1" x="274"/>
        <item m="1" x="244"/>
        <item m="1" x="185"/>
        <item m="1" x="196"/>
        <item m="1" x="154"/>
        <item m="1" x="257"/>
        <item m="1" x="220"/>
        <item m="1" x="111"/>
        <item m="1" x="199"/>
        <item m="1" x="234"/>
        <item m="1" x="129"/>
        <item m="1" x="226"/>
        <item m="1" x="184"/>
        <item m="1" x="212"/>
        <item x="82"/>
        <item x="108"/>
        <item m="1" x="156"/>
        <item m="1" x="192"/>
        <item m="1" x="187"/>
        <item m="1" x="250"/>
        <item x="9"/>
        <item m="1" x="191"/>
        <item x="10"/>
        <item x="105"/>
        <item x="16"/>
        <item m="1" x="152"/>
        <item m="1" x="270"/>
        <item m="1" x="276"/>
        <item x="32"/>
        <item m="1" x="141"/>
        <item x="64"/>
        <item x="66"/>
        <item m="1" x="263"/>
        <item m="1" x="218"/>
        <item m="1" x="112"/>
        <item m="1" x="247"/>
        <item x="71"/>
        <item x="63"/>
        <item m="1" x="144"/>
        <item x="23"/>
        <item x="24"/>
        <item m="1" x="195"/>
        <item m="1" x="117"/>
        <item m="1" x="147"/>
        <item m="1" x="229"/>
        <item m="1" x="170"/>
        <item n="" x="2"/>
        <item m="1" x="162"/>
        <item x="22"/>
        <item m="1" x="239"/>
        <item x="65"/>
        <item x="72"/>
        <item x="79"/>
        <item x="99"/>
        <item m="1" x="122"/>
        <item m="1" x="246"/>
        <item m="1" x="198"/>
        <item m="1" x="216"/>
        <item m="1" x="245"/>
        <item m="1" x="224"/>
        <item m="1" x="148"/>
        <item m="1" x="277"/>
        <item m="1" x="143"/>
        <item x="62"/>
        <item x="100"/>
        <item m="1" x="125"/>
        <item m="1" x="237"/>
        <item x="25"/>
        <item m="1" x="264"/>
        <item x="67"/>
        <item x="78"/>
        <item m="1" x="178"/>
        <item m="1" x="136"/>
        <item m="1" x="132"/>
        <item m="1" x="253"/>
        <item m="1" x="123"/>
        <item x="13"/>
        <item x="31"/>
        <item m="1" x="186"/>
        <item m="1" x="182"/>
        <item m="1" x="261"/>
        <item m="1" x="231"/>
        <item m="1" x="146"/>
        <item m="1" x="134"/>
        <item x="34"/>
        <item m="1" x="269"/>
        <item m="1" x="206"/>
        <item x="6"/>
        <item x="12"/>
        <item x="19"/>
        <item m="1" x="128"/>
        <item x="26"/>
        <item x="33"/>
        <item x="40"/>
        <item m="1" x="265"/>
        <item x="44"/>
        <item m="1" x="174"/>
        <item m="1" x="164"/>
        <item m="1" x="249"/>
        <item m="1" x="180"/>
        <item m="1" x="166"/>
        <item m="1" x="168"/>
        <item m="1" x="258"/>
        <item m="1" x="151"/>
        <item x="60"/>
        <item x="61"/>
        <item x="75"/>
        <item x="81"/>
        <item x="83"/>
        <item x="84"/>
        <item x="85"/>
        <item x="86"/>
        <item x="87"/>
        <item m="1" x="169"/>
        <item x="88"/>
        <item m="1" x="197"/>
        <item m="1" x="130"/>
        <item m="1" x="113"/>
        <item m="1" x="260"/>
        <item m="1" x="167"/>
        <item m="1" x="121"/>
        <item x="101"/>
        <item m="1" x="190"/>
        <item x="103"/>
        <item x="104"/>
        <item m="1" x="252"/>
        <item m="1" x="131"/>
        <item m="1" x="248"/>
        <item m="1" x="225"/>
        <item m="1" x="188"/>
        <item m="1" x="157"/>
        <item m="1" x="202"/>
        <item m="1" x="193"/>
        <item m="1" x="149"/>
        <item m="1" x="205"/>
        <item m="1" x="259"/>
        <item m="1" x="209"/>
        <item m="1" x="126"/>
        <item m="1" x="194"/>
        <item m="1" x="124"/>
        <item x="36"/>
        <item x="38"/>
        <item m="1" x="214"/>
        <item m="1" x="118"/>
        <item m="1" x="267"/>
        <item m="1" x="242"/>
        <item m="1" x="161"/>
        <item x="21"/>
        <item m="1" x="251"/>
        <item m="1" x="165"/>
        <item m="1" x="173"/>
        <item m="1" x="275"/>
        <item m="1" x="159"/>
        <item x="107"/>
        <item m="1" x="268"/>
        <item m="1" x="140"/>
        <item m="1" x="272"/>
        <item m="1" x="241"/>
        <item x="4"/>
        <item x="90"/>
        <item m="1" x="254"/>
        <item m="1" x="158"/>
        <item m="1" x="271"/>
        <item m="1" x="236"/>
        <item m="1" x="210"/>
        <item m="1" x="232"/>
        <item x="0"/>
        <item x="1"/>
        <item x="7"/>
        <item x="14"/>
        <item x="15"/>
        <item x="17"/>
        <item x="18"/>
        <item x="20"/>
        <item x="28"/>
        <item x="29"/>
        <item x="30"/>
        <item x="37"/>
        <item x="39"/>
        <item x="41"/>
        <item x="45"/>
        <item x="46"/>
        <item x="47"/>
        <item x="48"/>
        <item x="49"/>
        <item x="50"/>
        <item x="51"/>
        <item x="52"/>
        <item x="53"/>
        <item x="54"/>
        <item x="57"/>
        <item x="59"/>
        <item x="69"/>
        <item x="89"/>
        <item x="91"/>
        <item x="92"/>
        <item x="93"/>
        <item x="94"/>
        <item x="95"/>
        <item x="96"/>
        <item x="97"/>
        <item x="98"/>
        <item x="102"/>
        <item m="1" x="189"/>
        <item m="1" x="223"/>
        <item m="1" x="255"/>
        <item m="1" x="200"/>
        <item m="1" x="235"/>
        <item m="1" x="219"/>
        <item m="1" x="153"/>
        <item m="1" x="135"/>
        <item m="1" x="137"/>
        <item m="1" x="213"/>
        <item m="1" x="238"/>
        <item m="1" x="145"/>
        <item m="1" x="183"/>
        <item m="1" x="211"/>
        <item m="1" x="142"/>
        <item m="1" x="230"/>
        <item m="1" x="172"/>
        <item m="1" x="266"/>
        <item m="1" x="120"/>
        <item m="1" x="201"/>
        <item m="1" x="179"/>
        <item m="1" x="203"/>
        <item m="1" x="222"/>
        <item m="1" x="114"/>
        <item m="1" x="227"/>
        <item m="1" x="119"/>
        <item m="1" x="262"/>
        <item m="1" x="243"/>
        <item x="5"/>
        <item x="11"/>
        <item x="55"/>
        <item x="56"/>
        <item x="68"/>
        <item x="74"/>
        <item t="default"/>
      </items>
    </pivotField>
    <pivotField axis="axisRow" showAll="0">
      <items count="528">
        <item x="8"/>
        <item x="204"/>
        <item x="205"/>
        <item m="1" x="249"/>
        <item x="0"/>
        <item x="207"/>
        <item x="208"/>
        <item m="1" x="443"/>
        <item x="225"/>
        <item m="1" x="411"/>
        <item m="1" x="448"/>
        <item x="24"/>
        <item x="114"/>
        <item m="1" x="412"/>
        <item m="1" x="350"/>
        <item x="195"/>
        <item x="115"/>
        <item m="1" x="355"/>
        <item m="1" x="335"/>
        <item m="1" x="304"/>
        <item x="116"/>
        <item m="1" x="299"/>
        <item x="117"/>
        <item x="140"/>
        <item m="1" x="419"/>
        <item m="1" x="248"/>
        <item x="118"/>
        <item m="1" x="283"/>
        <item m="1" x="515"/>
        <item x="83"/>
        <item x="1"/>
        <item m="1" x="402"/>
        <item m="1" x="357"/>
        <item m="1" x="343"/>
        <item m="1" x="462"/>
        <item x="197"/>
        <item x="66"/>
        <item m="1" x="389"/>
        <item x="68"/>
        <item m="1" x="301"/>
        <item m="1" x="470"/>
        <item x="122"/>
        <item x="65"/>
        <item x="69"/>
        <item x="123"/>
        <item m="1" x="405"/>
        <item x="190"/>
        <item m="1" x="482"/>
        <item x="61"/>
        <item m="1" x="436"/>
        <item m="1" x="228"/>
        <item m="1" x="269"/>
        <item m="1" x="510"/>
        <item m="1" x="489"/>
        <item x="119"/>
        <item x="107"/>
        <item x="223"/>
        <item m="1" x="373"/>
        <item m="1" x="255"/>
        <item x="21"/>
        <item x="44"/>
        <item x="63"/>
        <item x="72"/>
        <item x="81"/>
        <item x="111"/>
        <item x="112"/>
        <item x="128"/>
        <item x="129"/>
        <item x="175"/>
        <item m="1" x="245"/>
        <item m="1" x="364"/>
        <item m="1" x="266"/>
        <item m="1" x="491"/>
        <item m="1" x="287"/>
        <item m="1" x="485"/>
        <item x="28"/>
        <item x="86"/>
        <item m="1" x="456"/>
        <item m="1" x="471"/>
        <item m="1" x="232"/>
        <item m="1" x="483"/>
        <item m="1" x="322"/>
        <item m="1" x="488"/>
        <item m="1" x="486"/>
        <item m="1" x="323"/>
        <item m="1" x="438"/>
        <item m="1" x="437"/>
        <item m="1" x="524"/>
        <item x="126"/>
        <item x="136"/>
        <item x="170"/>
        <item m="1" x="403"/>
        <item m="1" x="320"/>
        <item m="1" x="393"/>
        <item x="39"/>
        <item x="109"/>
        <item m="1" x="363"/>
        <item m="1" x="234"/>
        <item m="1" x="330"/>
        <item m="1" x="344"/>
        <item m="1" x="429"/>
        <item m="1" x="476"/>
        <item m="1" x="285"/>
        <item m="1" x="413"/>
        <item x="26"/>
        <item x="41"/>
        <item m="1" x="501"/>
        <item m="1" x="321"/>
        <item m="1" x="512"/>
        <item m="1" x="417"/>
        <item m="1" x="370"/>
        <item m="1" x="521"/>
        <item m="1" x="312"/>
        <item m="1" x="259"/>
        <item m="1" x="434"/>
        <item m="1" x="523"/>
        <item m="1" x="388"/>
        <item m="1" x="466"/>
        <item m="1" x="454"/>
        <item m="1" x="452"/>
        <item m="1" x="293"/>
        <item m="1" x="519"/>
        <item m="1" x="496"/>
        <item m="1" x="504"/>
        <item m="1" x="313"/>
        <item m="1" x="472"/>
        <item m="1" x="460"/>
        <item m="1" x="379"/>
        <item x="70"/>
        <item x="113"/>
        <item x="137"/>
        <item m="1" x="392"/>
        <item m="1" x="420"/>
        <item m="1" x="372"/>
        <item m="1" x="284"/>
        <item m="1" x="398"/>
        <item m="1" x="525"/>
        <item x="45"/>
        <item x="47"/>
        <item x="120"/>
        <item m="1" x="464"/>
        <item m="1" x="397"/>
        <item m="1" x="246"/>
        <item m="1" x="329"/>
        <item m="1" x="262"/>
        <item m="1" x="487"/>
        <item m="1" x="315"/>
        <item m="1" x="290"/>
        <item m="1" x="307"/>
        <item m="1" x="272"/>
        <item m="1" x="253"/>
        <item m="1" x="494"/>
        <item m="1" x="236"/>
        <item m="1" x="268"/>
        <item m="1" x="356"/>
        <item m="1" x="447"/>
        <item m="1" x="345"/>
        <item m="1" x="274"/>
        <item x="22"/>
        <item x="25"/>
        <item x="156"/>
        <item x="200"/>
        <item x="203"/>
        <item x="209"/>
        <item m="1" x="424"/>
        <item m="1" x="520"/>
        <item m="1" x="276"/>
        <item m="1" x="264"/>
        <item m="1" x="394"/>
        <item m="1" x="421"/>
        <item m="1" x="316"/>
        <item m="1" x="247"/>
        <item m="1" x="500"/>
        <item m="1" x="511"/>
        <item x="14"/>
        <item x="46"/>
        <item m="1" x="427"/>
        <item x="138"/>
        <item x="201"/>
        <item x="202"/>
        <item m="1" x="465"/>
        <item m="1" x="239"/>
        <item m="1" x="401"/>
        <item m="1" x="449"/>
        <item m="1" x="261"/>
        <item m="1" x="250"/>
        <item m="1" x="327"/>
        <item m="1" x="241"/>
        <item m="1" x="458"/>
        <item x="221"/>
        <item m="1" x="407"/>
        <item x="15"/>
        <item x="191"/>
        <item x="108"/>
        <item x="196"/>
        <item x="198"/>
        <item m="1" x="381"/>
        <item m="1" x="325"/>
        <item m="1" x="318"/>
        <item m="1" x="351"/>
        <item m="1" x="311"/>
        <item m="1" x="317"/>
        <item m="1" x="385"/>
        <item m="1" x="305"/>
        <item x="84"/>
        <item x="19"/>
        <item x="23"/>
        <item x="58"/>
        <item x="67"/>
        <item x="154"/>
        <item x="166"/>
        <item x="192"/>
        <item m="1" x="265"/>
        <item m="1" x="423"/>
        <item m="1" x="418"/>
        <item m="1" x="374"/>
        <item m="1" x="367"/>
        <item m="1" x="306"/>
        <item m="1" x="229"/>
        <item x="4"/>
        <item x="5"/>
        <item x="80"/>
        <item x="49"/>
        <item x="153"/>
        <item x="155"/>
        <item x="199"/>
        <item m="1" x="386"/>
        <item m="1" x="260"/>
        <item m="1" x="517"/>
        <item m="1" x="303"/>
        <item m="1" x="495"/>
        <item m="1" x="435"/>
        <item m="1" x="371"/>
        <item m="1" x="280"/>
        <item x="82"/>
        <item x="88"/>
        <item x="92"/>
        <item x="94"/>
        <item x="95"/>
        <item x="96"/>
        <item x="97"/>
        <item x="110"/>
        <item x="139"/>
        <item x="172"/>
        <item x="193"/>
        <item m="1" x="358"/>
        <item m="1" x="468"/>
        <item m="1" x="258"/>
        <item m="1" x="292"/>
        <item m="1" x="281"/>
        <item m="1" x="433"/>
        <item m="1" x="369"/>
        <item m="1" x="380"/>
        <item m="1" x="309"/>
        <item m="1" x="498"/>
        <item m="1" x="361"/>
        <item m="1" x="490"/>
        <item m="1" x="300"/>
        <item m="1" x="455"/>
        <item m="1" x="396"/>
        <item m="1" x="332"/>
        <item m="1" x="298"/>
        <item m="1" x="518"/>
        <item m="1" x="302"/>
        <item x="7"/>
        <item x="42"/>
        <item x="43"/>
        <item x="57"/>
        <item x="89"/>
        <item x="206"/>
        <item x="211"/>
        <item m="1" x="282"/>
        <item m="1" x="422"/>
        <item x="32"/>
        <item m="1" x="294"/>
        <item m="1" x="338"/>
        <item x="16"/>
        <item x="27"/>
        <item x="31"/>
        <item x="93"/>
        <item x="164"/>
        <item x="219"/>
        <item m="1" x="399"/>
        <item m="1" x="271"/>
        <item m="1" x="360"/>
        <item m="1" x="254"/>
        <item m="1" x="326"/>
        <item x="2"/>
        <item x="29"/>
        <item m="1" x="368"/>
        <item x="124"/>
        <item x="185"/>
        <item x="194"/>
        <item x="212"/>
        <item x="224"/>
        <item m="1" x="341"/>
        <item m="1" x="425"/>
        <item m="1" x="416"/>
        <item m="1" x="359"/>
        <item m="1" x="410"/>
        <item x="176"/>
        <item m="1" x="439"/>
        <item m="1" x="503"/>
        <item m="1" x="430"/>
        <item m="1" x="349"/>
        <item x="3"/>
        <item x="30"/>
        <item x="40"/>
        <item x="55"/>
        <item x="85"/>
        <item x="91"/>
        <item x="106"/>
        <item x="121"/>
        <item x="165"/>
        <item x="180"/>
        <item m="1" x="291"/>
        <item x="186"/>
        <item x="218"/>
        <item m="1" x="508"/>
        <item m="1" x="314"/>
        <item m="1" x="474"/>
        <item m="1" x="516"/>
        <item m="1" x="333"/>
        <item m="1" x="431"/>
        <item x="33"/>
        <item x="50"/>
        <item m="1" x="288"/>
        <item x="102"/>
        <item x="104"/>
        <item x="135"/>
        <item x="143"/>
        <item x="173"/>
        <item x="177"/>
        <item x="181"/>
        <item x="188"/>
        <item m="1" x="275"/>
        <item m="1" x="243"/>
        <item m="1" x="375"/>
        <item m="1" x="233"/>
        <item m="1" x="475"/>
        <item m="1" x="384"/>
        <item m="1" x="319"/>
        <item x="20"/>
        <item m="1" x="477"/>
        <item x="103"/>
        <item m="1" x="457"/>
        <item x="146"/>
        <item x="147"/>
        <item x="149"/>
        <item x="184"/>
        <item x="187"/>
        <item x="216"/>
        <item x="226"/>
        <item m="1" x="365"/>
        <item m="1" x="257"/>
        <item m="1" x="362"/>
        <item m="1" x="409"/>
        <item m="1" x="244"/>
        <item m="1" x="513"/>
        <item m="1" x="502"/>
        <item m="1" x="395"/>
        <item m="1" x="459"/>
        <item x="62"/>
        <item x="174"/>
        <item x="145"/>
        <item x="150"/>
        <item x="151"/>
        <item x="59"/>
        <item x="215"/>
        <item m="1" x="286"/>
        <item m="1" x="514"/>
        <item m="1" x="342"/>
        <item m="1" x="263"/>
        <item m="1" x="497"/>
        <item m="1" x="310"/>
        <item m="1" x="426"/>
        <item m="1" x="340"/>
        <item m="1" x="377"/>
        <item m="1" x="278"/>
        <item x="178"/>
        <item m="1" x="509"/>
        <item x="11"/>
        <item x="13"/>
        <item x="34"/>
        <item x="35"/>
        <item m="1" x="353"/>
        <item m="1" x="432"/>
        <item m="1" x="446"/>
        <item x="48"/>
        <item x="52"/>
        <item x="60"/>
        <item x="71"/>
        <item x="87"/>
        <item x="90"/>
        <item x="159"/>
        <item x="167"/>
        <item x="171"/>
        <item x="189"/>
        <item x="210"/>
        <item m="1" x="352"/>
        <item m="1" x="289"/>
        <item m="1" x="440"/>
        <item m="1" x="507"/>
        <item m="1" x="505"/>
        <item m="1" x="238"/>
        <item m="1" x="366"/>
        <item m="1" x="428"/>
        <item m="1" x="492"/>
        <item m="1" x="347"/>
        <item m="1" x="252"/>
        <item m="1" x="400"/>
        <item m="1" x="442"/>
        <item m="1" x="469"/>
        <item m="1" x="346"/>
        <item m="1" x="277"/>
        <item m="1" x="324"/>
        <item m="1" x="237"/>
        <item m="1" x="415"/>
        <item x="38"/>
        <item m="1" x="328"/>
        <item x="51"/>
        <item x="53"/>
        <item x="54"/>
        <item x="56"/>
        <item x="98"/>
        <item x="100"/>
        <item x="179"/>
        <item m="1" x="383"/>
        <item m="1" x="240"/>
        <item x="133"/>
        <item x="134"/>
        <item x="142"/>
        <item x="144"/>
        <item x="148"/>
        <item x="160"/>
        <item x="161"/>
        <item x="162"/>
        <item x="182"/>
        <item x="213"/>
        <item x="214"/>
        <item x="217"/>
        <item m="1" x="354"/>
        <item m="1" x="463"/>
        <item m="1" x="390"/>
        <item m="1" x="522"/>
        <item m="1" x="267"/>
        <item m="1" x="231"/>
        <item m="1" x="506"/>
        <item m="1" x="376"/>
        <item m="1" x="391"/>
        <item m="1" x="382"/>
        <item m="1" x="445"/>
        <item m="1" x="478"/>
        <item m="1" x="308"/>
        <item x="36"/>
        <item x="64"/>
        <item x="79"/>
        <item x="141"/>
        <item x="152"/>
        <item x="158"/>
        <item x="163"/>
        <item m="1" x="441"/>
        <item x="183"/>
        <item m="1" x="414"/>
        <item m="1" x="404"/>
        <item m="1" x="444"/>
        <item m="1" x="493"/>
        <item m="1" x="331"/>
        <item m="1" x="481"/>
        <item m="1" x="339"/>
        <item m="1" x="467"/>
        <item m="1" x="499"/>
        <item m="1" x="387"/>
        <item m="1" x="235"/>
        <item m="1" x="242"/>
        <item x="9"/>
        <item x="37"/>
        <item x="101"/>
        <item x="125"/>
        <item x="168"/>
        <item m="1" x="336"/>
        <item m="1" x="334"/>
        <item m="1" x="297"/>
        <item m="1" x="270"/>
        <item m="1" x="296"/>
        <item m="1" x="256"/>
        <item m="1" x="279"/>
        <item m="1" x="408"/>
        <item m="1" x="337"/>
        <item m="1" x="461"/>
        <item m="1" x="526"/>
        <item m="1" x="295"/>
        <item m="1" x="479"/>
        <item m="1" x="453"/>
        <item m="1" x="378"/>
        <item m="1" x="406"/>
        <item m="1" x="451"/>
        <item m="1" x="480"/>
        <item m="1" x="230"/>
        <item m="1" x="473"/>
        <item x="12"/>
        <item x="130"/>
        <item x="169"/>
        <item x="220"/>
        <item m="1" x="273"/>
        <item m="1" x="450"/>
        <item m="1" x="484"/>
        <item m="1" x="251"/>
        <item m="1" x="348"/>
        <item x="6"/>
        <item x="10"/>
        <item x="17"/>
        <item x="18"/>
        <item x="73"/>
        <item x="74"/>
        <item x="75"/>
        <item x="76"/>
        <item x="77"/>
        <item x="78"/>
        <item x="99"/>
        <item x="105"/>
        <item x="127"/>
        <item x="131"/>
        <item x="132"/>
        <item x="157"/>
        <item x="222"/>
        <item x="227"/>
        <item t="default"/>
      </items>
    </pivotField>
    <pivotField showAll="0"/>
    <pivotField axis="axisCol" showAll="0">
      <items count="11">
        <item h="1" m="1" x="3"/>
        <item h="1" m="1" x="7"/>
        <item h="1" m="1" x="9"/>
        <item h="1" m="1" x="4"/>
        <item h="1" m="1" x="5"/>
        <item h="1" m="1" x="6"/>
        <item h="1" m="1" x="8"/>
        <item x="0"/>
        <item x="1"/>
        <item x="2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2">
    <i>
      <x v="500"/>
    </i>
    <i t="grand">
      <x/>
    </i>
  </rowItems>
  <colFields count="1">
    <field x="3"/>
  </colFields>
  <colItems count="4">
    <i>
      <x v="7"/>
    </i>
    <i>
      <x v="8"/>
    </i>
    <i>
      <x v="9"/>
    </i>
    <i t="grand">
      <x/>
    </i>
  </colItems>
  <pageFields count="1">
    <pageField fld="0" item="210" hier="-1"/>
  </pageFields>
  <dataFields count="1">
    <dataField name="Somme de Montant Reversé" fld="8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À plumes">
  <a:themeElements>
    <a:clrScheme name="À plumes">
      <a:dk1>
        <a:sysClr val="windowText" lastClr="000000"/>
      </a:dk1>
      <a:lt1>
        <a:sysClr val="window" lastClr="FFFFFF"/>
      </a:lt1>
      <a:dk2>
        <a:srgbClr val="121316"/>
      </a:dk2>
      <a:lt2>
        <a:srgbClr val="FEFCF7"/>
      </a:lt2>
      <a:accent1>
        <a:srgbClr val="606372"/>
      </a:accent1>
      <a:accent2>
        <a:srgbClr val="79A8A4"/>
      </a:accent2>
      <a:accent3>
        <a:srgbClr val="B2AD8F"/>
      </a:accent3>
      <a:accent4>
        <a:srgbClr val="AD8082"/>
      </a:accent4>
      <a:accent5>
        <a:srgbClr val="DEC18C"/>
      </a:accent5>
      <a:accent6>
        <a:srgbClr val="92A185"/>
      </a:accent6>
      <a:hlink>
        <a:srgbClr val="85C4D2"/>
      </a:hlink>
      <a:folHlink>
        <a:srgbClr val="8E8CA7"/>
      </a:folHlink>
    </a:clrScheme>
    <a:fontScheme name="À plumes">
      <a:majorFont>
        <a:latin typeface="Century Schoolbook" panose="020406040505050203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 name="À plumes">
      <a:fillStyleLst>
        <a:solidFill>
          <a:schemeClr val="phClr"/>
        </a:solidFill>
        <a:solidFill>
          <a:schemeClr val="phClr">
            <a:tint val="67000"/>
            <a:satMod val="105000"/>
          </a:schemeClr>
        </a:soli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0000"/>
                <a:satMod val="120000"/>
                <a:lumMod val="99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>
              <a:tint val="50000"/>
              <a:shade val="83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25400" dir="5400000" algn="ctr" rotWithShape="0">
              <a:srgbClr val="000000">
                <a:alpha val="20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eathered" id="{EEC9B30E-2747-4D42-BCBE-A02BDEEEA114}" vid="{AACE42CE-5C67-4514-8A89-3472F564E146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sandrine.texereau@groupe3f.fr;" TargetMode="External"/><Relationship Id="rId13" Type="http://schemas.openxmlformats.org/officeDocument/2006/relationships/hyperlink" Target="mailto:steeven.sanna@gmail.com" TargetMode="External"/><Relationship Id="rId18" Type="http://schemas.openxmlformats.org/officeDocument/2006/relationships/hyperlink" Target="mailto:alexandra.delumeau@domaxis.fr" TargetMode="External"/><Relationship Id="rId3" Type="http://schemas.openxmlformats.org/officeDocument/2006/relationships/hyperlink" Target="mailto:progaz.plombier@hotmail.fr" TargetMode="External"/><Relationship Id="rId21" Type="http://schemas.openxmlformats.org/officeDocument/2006/relationships/hyperlink" Target="mailto:florent.grostefan@groupe-arcade.com" TargetMode="External"/><Relationship Id="rId7" Type="http://schemas.openxmlformats.org/officeDocument/2006/relationships/hyperlink" Target="mailto:h7265-re@accor.com" TargetMode="External"/><Relationship Id="rId12" Type="http://schemas.openxmlformats.org/officeDocument/2006/relationships/hyperlink" Target="mailto:aerel.parking@gmail.com" TargetMode="External"/><Relationship Id="rId17" Type="http://schemas.openxmlformats.org/officeDocument/2006/relationships/hyperlink" Target="mailto:H9462-AM@accor.com" TargetMode="External"/><Relationship Id="rId2" Type="http://schemas.openxmlformats.org/officeDocument/2006/relationships/hyperlink" Target="mailto:eabeille-batier@tagerim.fr" TargetMode="External"/><Relationship Id="rId16" Type="http://schemas.openxmlformats.org/officeDocument/2006/relationships/hyperlink" Target="mailto:mdemeyer@octa-architecture.fr" TargetMode="External"/><Relationship Id="rId20" Type="http://schemas.openxmlformats.org/officeDocument/2006/relationships/hyperlink" Target="mailto:emmanuel.picardat@plurial.fr" TargetMode="External"/><Relationship Id="rId1" Type="http://schemas.openxmlformats.org/officeDocument/2006/relationships/hyperlink" Target="mailto:Frederic.DEMAZEAU@transdev.com" TargetMode="External"/><Relationship Id="rId6" Type="http://schemas.openxmlformats.org/officeDocument/2006/relationships/hyperlink" Target="mailto:tdamay@notre-logis.fr" TargetMode="External"/><Relationship Id="rId11" Type="http://schemas.openxmlformats.org/officeDocument/2006/relationships/hyperlink" Target="mailto:gianfranco.floris@appartcity.com&#160;;&#160;celia.garah@appartcity.com&#160;;&#160;sanah.lakhdi@appartcity.com" TargetMode="External"/><Relationship Id="rId24" Type="http://schemas.openxmlformats.org/officeDocument/2006/relationships/printerSettings" Target="../printerSettings/printerSettings1.bin"/><Relationship Id="rId5" Type="http://schemas.openxmlformats.org/officeDocument/2006/relationships/hyperlink" Target="mailto:direction.ferney@odalys.fr" TargetMode="External"/><Relationship Id="rId15" Type="http://schemas.openxmlformats.org/officeDocument/2006/relationships/hyperlink" Target="mailto:frederic.sala@citadines.com&#160;" TargetMode="External"/><Relationship Id="rId23" Type="http://schemas.openxmlformats.org/officeDocument/2006/relationships/hyperlink" Target="mailto:brienne@hoteldebrienne.com" TargetMode="External"/><Relationship Id="rId10" Type="http://schemas.openxmlformats.org/officeDocument/2006/relationships/hyperlink" Target="mailto:therese.riviere@neotoa.fr" TargetMode="External"/><Relationship Id="rId19" Type="http://schemas.openxmlformats.org/officeDocument/2006/relationships/hyperlink" Target="mailto:cdebaille@ophmontreuillois.fr" TargetMode="External"/><Relationship Id="rId4" Type="http://schemas.openxmlformats.org/officeDocument/2006/relationships/hyperlink" Target="mailto:C.ROME@saemes.fr&#160;;&#160;S.TABUREL@saemes.fr" TargetMode="External"/><Relationship Id="rId9" Type="http://schemas.openxmlformats.org/officeDocument/2006/relationships/hyperlink" Target="mailto:jpinto-ferreira@lfrancilien.fr" TargetMode="External"/><Relationship Id="rId14" Type="http://schemas.openxmlformats.org/officeDocument/2006/relationships/hyperlink" Target="mailto:H9401-BO@accor.com" TargetMode="External"/><Relationship Id="rId22" Type="http://schemas.openxmlformats.org/officeDocument/2006/relationships/hyperlink" Target="mailto:noemie.dompeyre@erilia.f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2.xml"/><Relationship Id="rId2" Type="http://schemas.openxmlformats.org/officeDocument/2006/relationships/hyperlink" Target="mailto:facuration@zenpark.com" TargetMode="External"/><Relationship Id="rId1" Type="http://schemas.openxmlformats.org/officeDocument/2006/relationships/hyperlink" Target="mailto:facturation@zenpark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IV60"/>
  <sheetViews>
    <sheetView workbookViewId="0"/>
  </sheetViews>
  <sheetFormatPr baseColWidth="10" defaultColWidth="11.61328125" defaultRowHeight="16.2"/>
  <cols>
    <col min="2" max="2" width="13.61328125" style="8" customWidth="1"/>
    <col min="3" max="3" width="11.3828125" style="8" customWidth="1"/>
    <col min="4" max="4" width="8.4609375" style="8" customWidth="1"/>
    <col min="5" max="5" width="11.61328125" style="8"/>
    <col min="6" max="6" width="8.4609375" style="8" customWidth="1"/>
    <col min="7" max="7" width="28.61328125" style="8" customWidth="1"/>
    <col min="8" max="10" width="11.61328125" style="8"/>
    <col min="11" max="11" width="13.61328125" style="8" customWidth="1"/>
    <col min="12" max="12" width="11.61328125" style="8"/>
    <col min="13" max="13" width="11" style="8" customWidth="1"/>
    <col min="14" max="14" width="15.23046875" style="8" customWidth="1"/>
    <col min="15" max="17" width="14.4609375" style="8" customWidth="1"/>
    <col min="18" max="16384" width="11.61328125" style="8"/>
  </cols>
  <sheetData>
    <row r="1" spans="1:256" customFormat="1">
      <c r="A1" s="10">
        <v>1</v>
      </c>
      <c r="B1" s="11">
        <v>2</v>
      </c>
      <c r="C1" s="10">
        <v>3</v>
      </c>
      <c r="D1" s="11">
        <v>4</v>
      </c>
      <c r="E1" s="10">
        <v>5</v>
      </c>
      <c r="F1" s="11">
        <v>6</v>
      </c>
      <c r="G1" s="10">
        <v>7</v>
      </c>
      <c r="H1" s="11">
        <v>8</v>
      </c>
      <c r="I1" s="10">
        <v>9</v>
      </c>
      <c r="J1" s="11">
        <v>10</v>
      </c>
      <c r="K1" s="10">
        <v>11</v>
      </c>
      <c r="L1" s="11">
        <v>12</v>
      </c>
      <c r="M1" s="10">
        <v>13</v>
      </c>
      <c r="N1" s="11">
        <v>14</v>
      </c>
      <c r="O1" s="10">
        <v>15</v>
      </c>
      <c r="P1" s="11">
        <v>16</v>
      </c>
      <c r="Q1" s="10">
        <v>17</v>
      </c>
      <c r="R1" s="11">
        <v>18</v>
      </c>
      <c r="S1" s="10">
        <v>19</v>
      </c>
      <c r="T1" s="11">
        <v>20</v>
      </c>
      <c r="U1" s="10">
        <v>21</v>
      </c>
      <c r="V1" s="11">
        <v>22</v>
      </c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</row>
    <row r="2" spans="1:256" ht="32.1" customHeight="1">
      <c r="A2" s="1" t="s">
        <v>111</v>
      </c>
      <c r="B2" s="1" t="s">
        <v>77</v>
      </c>
      <c r="C2" s="1" t="s">
        <v>108</v>
      </c>
      <c r="D2" s="1" t="s">
        <v>72</v>
      </c>
      <c r="E2" s="1" t="s">
        <v>21</v>
      </c>
      <c r="F2" s="1" t="s">
        <v>74</v>
      </c>
      <c r="G2" s="1" t="s">
        <v>75</v>
      </c>
      <c r="H2" s="1" t="s">
        <v>66</v>
      </c>
      <c r="I2" s="1" t="s">
        <v>48</v>
      </c>
      <c r="J2" s="1" t="s">
        <v>97</v>
      </c>
      <c r="K2" s="1" t="s">
        <v>98</v>
      </c>
      <c r="L2" s="1" t="s">
        <v>99</v>
      </c>
      <c r="M2" s="1" t="s">
        <v>85</v>
      </c>
      <c r="N2" s="1" t="s">
        <v>86</v>
      </c>
      <c r="O2" s="1" t="s">
        <v>87</v>
      </c>
      <c r="P2" s="1" t="s">
        <v>88</v>
      </c>
      <c r="Q2" s="1" t="s">
        <v>76</v>
      </c>
    </row>
    <row r="3" spans="1:256" ht="56.1" customHeight="1">
      <c r="A3" s="2" t="s">
        <v>61</v>
      </c>
      <c r="B3" s="2" t="s">
        <v>61</v>
      </c>
      <c r="C3" s="2" t="s">
        <v>93</v>
      </c>
      <c r="D3" s="2" t="s">
        <v>95</v>
      </c>
      <c r="E3" s="2" t="s">
        <v>95</v>
      </c>
      <c r="F3" s="3">
        <v>45</v>
      </c>
      <c r="G3" s="2" t="s">
        <v>128</v>
      </c>
      <c r="H3" s="2"/>
      <c r="I3" s="2"/>
      <c r="J3" s="9">
        <v>3</v>
      </c>
      <c r="K3" s="2" t="s">
        <v>96</v>
      </c>
      <c r="L3" s="9">
        <v>79</v>
      </c>
      <c r="M3" s="9">
        <v>76</v>
      </c>
      <c r="N3" s="2" t="s">
        <v>59</v>
      </c>
      <c r="O3" s="2" t="s">
        <v>57</v>
      </c>
      <c r="P3" s="2" t="s">
        <v>100</v>
      </c>
      <c r="Q3" s="2"/>
    </row>
    <row r="4" spans="1:256" ht="45.9" customHeight="1">
      <c r="A4" s="4" t="s">
        <v>69</v>
      </c>
      <c r="B4" s="4" t="s">
        <v>69</v>
      </c>
      <c r="C4" s="4"/>
      <c r="D4" s="4"/>
      <c r="E4" s="4"/>
      <c r="F4" s="4">
        <v>15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256" ht="20.100000000000001" customHeight="1">
      <c r="A5" s="6" t="s">
        <v>73</v>
      </c>
      <c r="B5" s="6" t="s">
        <v>73</v>
      </c>
      <c r="C5" s="6"/>
      <c r="D5" s="6"/>
      <c r="E5" s="6"/>
      <c r="F5" s="6">
        <v>20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</row>
    <row r="6" spans="1:256" ht="20.100000000000001" customHeight="1">
      <c r="A6" s="4" t="s">
        <v>5</v>
      </c>
      <c r="B6" s="4" t="s">
        <v>5</v>
      </c>
      <c r="C6" s="4"/>
      <c r="D6" s="4"/>
      <c r="E6" s="4"/>
      <c r="F6" s="4">
        <v>5</v>
      </c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256" ht="20.100000000000001" customHeight="1">
      <c r="A7" s="6" t="s">
        <v>37</v>
      </c>
      <c r="B7" s="6" t="s">
        <v>6</v>
      </c>
      <c r="C7" s="6"/>
      <c r="D7" s="6"/>
      <c r="E7" s="6"/>
      <c r="F7" s="6">
        <v>23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</row>
    <row r="8" spans="1:256" ht="20.100000000000001" customHeight="1">
      <c r="A8" s="4" t="s">
        <v>8</v>
      </c>
      <c r="B8" s="4" t="s">
        <v>6</v>
      </c>
      <c r="C8" s="5"/>
      <c r="D8" s="5"/>
      <c r="E8" s="5"/>
      <c r="F8" s="5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256" ht="20.100000000000001" customHeight="1">
      <c r="A9" s="6" t="s">
        <v>33</v>
      </c>
      <c r="B9" s="6" t="s">
        <v>6</v>
      </c>
      <c r="C9" s="7"/>
      <c r="D9" s="7"/>
      <c r="E9" s="7"/>
      <c r="F9" s="7"/>
      <c r="G9" s="6"/>
      <c r="H9" s="6"/>
      <c r="I9" s="6"/>
      <c r="J9" s="6"/>
      <c r="K9" s="6"/>
      <c r="L9" s="6"/>
      <c r="M9" s="6"/>
      <c r="N9" s="6"/>
      <c r="O9" s="6"/>
      <c r="P9" s="6"/>
      <c r="Q9" s="6"/>
    </row>
    <row r="10" spans="1:256" ht="20.100000000000001" customHeight="1">
      <c r="A10" s="4" t="s">
        <v>60</v>
      </c>
      <c r="B10" s="4" t="s">
        <v>6</v>
      </c>
      <c r="C10" s="5"/>
      <c r="D10" s="5"/>
      <c r="E10" s="5"/>
      <c r="F10" s="5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1:256" ht="20.100000000000001" customHeight="1">
      <c r="A11" s="6"/>
      <c r="B11" s="7"/>
      <c r="C11" s="7"/>
      <c r="D11" s="7"/>
      <c r="E11" s="7"/>
      <c r="F11" s="7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</row>
    <row r="12" spans="1:256" ht="20.100000000000001" customHeight="1">
      <c r="A12" s="4"/>
      <c r="B12" s="5"/>
      <c r="C12" s="5"/>
      <c r="D12" s="5"/>
      <c r="E12" s="5"/>
      <c r="F12" s="5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</row>
    <row r="13" spans="1:256" ht="20.100000000000001" customHeight="1">
      <c r="A13" s="6"/>
      <c r="B13" s="7"/>
      <c r="C13" s="7"/>
      <c r="D13" s="7"/>
      <c r="E13" s="7"/>
      <c r="F13" s="7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</row>
    <row r="14" spans="1:256" ht="20.100000000000001" customHeight="1">
      <c r="A14" s="4"/>
      <c r="B14" s="5"/>
      <c r="C14" s="5"/>
      <c r="D14" s="5"/>
      <c r="E14" s="5"/>
      <c r="F14" s="5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256" ht="20.100000000000001" customHeight="1">
      <c r="A15" s="6"/>
      <c r="B15" s="7"/>
      <c r="C15" s="7"/>
      <c r="D15" s="7"/>
      <c r="E15" s="7"/>
      <c r="F15" s="7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</row>
    <row r="16" spans="1:256" ht="20.100000000000001" customHeight="1">
      <c r="A16" s="4"/>
      <c r="B16" s="5"/>
      <c r="C16" s="5"/>
      <c r="D16" s="5"/>
      <c r="E16" s="5"/>
      <c r="F16" s="5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256" ht="20.100000000000001" customHeight="1">
      <c r="A17" s="6"/>
      <c r="B17" s="7"/>
      <c r="C17" s="7"/>
      <c r="D17" s="7"/>
      <c r="E17" s="7"/>
      <c r="F17" s="7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</row>
    <row r="18" spans="1:256" ht="20.100000000000001" customHeight="1">
      <c r="A18" s="4"/>
      <c r="B18" s="5"/>
      <c r="C18" s="5"/>
      <c r="D18" s="5"/>
      <c r="E18" s="5"/>
      <c r="F18" s="5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256" customFormat="1" ht="20.100000000000001" customHeight="1">
      <c r="A19" s="6"/>
      <c r="B19" s="7"/>
      <c r="C19" s="7"/>
      <c r="D19" s="7"/>
      <c r="E19" s="7"/>
      <c r="F19" s="7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</row>
    <row r="20" spans="1:256" customFormat="1" ht="20.100000000000001" customHeight="1">
      <c r="A20" s="4"/>
      <c r="B20" s="5"/>
      <c r="C20" s="5"/>
      <c r="D20" s="5"/>
      <c r="E20" s="5"/>
      <c r="F20" s="5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</row>
    <row r="21" spans="1:256" customFormat="1" ht="20.100000000000001" customHeight="1">
      <c r="A21" s="6"/>
      <c r="B21" s="7"/>
      <c r="C21" s="7"/>
      <c r="D21" s="7"/>
      <c r="E21" s="7"/>
      <c r="F21" s="7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</row>
    <row r="22" spans="1:256" customFormat="1" ht="20.100000000000001" customHeight="1">
      <c r="A22" s="4"/>
      <c r="B22" s="5"/>
      <c r="C22" s="5"/>
      <c r="D22" s="5"/>
      <c r="E22" s="5"/>
      <c r="F22" s="5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</row>
    <row r="23" spans="1:256" customFormat="1" ht="20.100000000000001" customHeight="1">
      <c r="A23" s="6"/>
      <c r="B23" s="7"/>
      <c r="C23" s="7"/>
      <c r="D23" s="7"/>
      <c r="E23" s="7"/>
      <c r="F23" s="7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</row>
    <row r="24" spans="1:256" customFormat="1" ht="20.100000000000001" customHeight="1">
      <c r="A24" s="4"/>
      <c r="B24" s="5"/>
      <c r="C24" s="5"/>
      <c r="D24" s="5"/>
      <c r="E24" s="5"/>
      <c r="F24" s="5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</row>
    <row r="25" spans="1:256" customFormat="1" ht="20.100000000000001" customHeight="1">
      <c r="A25" s="6"/>
      <c r="B25" s="7"/>
      <c r="C25" s="7"/>
      <c r="D25" s="7"/>
      <c r="E25" s="7"/>
      <c r="F25" s="7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</row>
    <row r="26" spans="1:256" customFormat="1" ht="20.100000000000001" customHeight="1">
      <c r="A26" s="4"/>
      <c r="B26" s="5"/>
      <c r="C26" s="5"/>
      <c r="D26" s="5"/>
      <c r="E26" s="5"/>
      <c r="F26" s="5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</row>
    <row r="27" spans="1:256" customFormat="1" ht="20.100000000000001" customHeight="1">
      <c r="A27" s="6"/>
      <c r="B27" s="7"/>
      <c r="C27" s="7"/>
      <c r="D27" s="7"/>
      <c r="E27" s="7"/>
      <c r="F27" s="7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</row>
    <row r="28" spans="1:256" customFormat="1" ht="20.100000000000001" customHeight="1">
      <c r="A28" s="4"/>
      <c r="B28" s="5"/>
      <c r="C28" s="5"/>
      <c r="D28" s="5"/>
      <c r="E28" s="5"/>
      <c r="F28" s="5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</row>
    <row r="29" spans="1:256" customFormat="1" ht="20.100000000000001" customHeight="1">
      <c r="A29" s="6"/>
      <c r="B29" s="7"/>
      <c r="C29" s="7"/>
      <c r="D29" s="7"/>
      <c r="E29" s="7"/>
      <c r="F29" s="7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</row>
    <row r="30" spans="1:256" customFormat="1" ht="20.100000000000001" customHeight="1">
      <c r="A30" s="4"/>
      <c r="B30" s="5"/>
      <c r="C30" s="5"/>
      <c r="D30" s="5"/>
      <c r="E30" s="5"/>
      <c r="F30" s="5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</row>
    <row r="31" spans="1:256" customFormat="1" ht="20.100000000000001" customHeight="1">
      <c r="A31" s="6"/>
      <c r="B31" s="7"/>
      <c r="C31" s="7"/>
      <c r="D31" s="7"/>
      <c r="E31" s="7"/>
      <c r="F31" s="7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</row>
    <row r="32" spans="1:256" customFormat="1" ht="20.100000000000001" customHeight="1">
      <c r="A32" s="4"/>
      <c r="B32" s="5"/>
      <c r="C32" s="5"/>
      <c r="D32" s="5"/>
      <c r="E32" s="5"/>
      <c r="F32" s="5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</row>
    <row r="33" spans="1:256" customFormat="1" ht="20.100000000000001" customHeight="1">
      <c r="A33" s="6"/>
      <c r="B33" s="7"/>
      <c r="C33" s="7"/>
      <c r="D33" s="7"/>
      <c r="E33" s="7"/>
      <c r="F33" s="7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</row>
    <row r="34" spans="1:256" customFormat="1" ht="20.100000000000001" customHeight="1">
      <c r="A34" s="4"/>
      <c r="B34" s="5"/>
      <c r="C34" s="5"/>
      <c r="D34" s="5"/>
      <c r="E34" s="5"/>
      <c r="F34" s="5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</row>
    <row r="35" spans="1:256" customFormat="1" ht="20.100000000000001" customHeight="1">
      <c r="A35" s="6"/>
      <c r="B35" s="7"/>
      <c r="C35" s="7"/>
      <c r="D35" s="7"/>
      <c r="E35" s="7"/>
      <c r="F35" s="7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</row>
    <row r="36" spans="1:256" customFormat="1" ht="20.100000000000001" customHeight="1">
      <c r="A36" s="4"/>
      <c r="B36" s="5"/>
      <c r="C36" s="5"/>
      <c r="D36" s="5"/>
      <c r="E36" s="5"/>
      <c r="F36" s="5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</row>
    <row r="37" spans="1:256" customFormat="1" ht="20.100000000000001" customHeight="1">
      <c r="A37" s="6"/>
      <c r="B37" s="7"/>
      <c r="C37" s="7"/>
      <c r="D37" s="7"/>
      <c r="E37" s="7"/>
      <c r="F37" s="7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</row>
    <row r="38" spans="1:256" customFormat="1" ht="20.100000000000001" customHeight="1">
      <c r="A38" s="4"/>
      <c r="B38" s="5"/>
      <c r="C38" s="5"/>
      <c r="D38" s="5"/>
      <c r="E38" s="5"/>
      <c r="F38" s="5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</row>
    <row r="39" spans="1:256" customFormat="1" ht="20.100000000000001" customHeight="1">
      <c r="A39" s="6"/>
      <c r="B39" s="7"/>
      <c r="C39" s="7"/>
      <c r="D39" s="7"/>
      <c r="E39" s="7"/>
      <c r="F39" s="7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</row>
    <row r="40" spans="1:256" customFormat="1" ht="20.100000000000001" customHeight="1">
      <c r="A40" s="4"/>
      <c r="B40" s="5"/>
      <c r="C40" s="5"/>
      <c r="D40" s="5"/>
      <c r="E40" s="5"/>
      <c r="F40" s="5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</row>
    <row r="41" spans="1:256" customFormat="1" ht="20.100000000000001" customHeight="1">
      <c r="A41" s="6"/>
      <c r="B41" s="7"/>
      <c r="C41" s="7"/>
      <c r="D41" s="7"/>
      <c r="E41" s="7"/>
      <c r="F41" s="7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</row>
    <row r="42" spans="1:256" customFormat="1" ht="20.100000000000001" customHeight="1">
      <c r="A42" s="4"/>
      <c r="B42" s="5"/>
      <c r="C42" s="5"/>
      <c r="D42" s="5"/>
      <c r="E42" s="5"/>
      <c r="F42" s="5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</row>
    <row r="43" spans="1:256" customFormat="1" ht="20.100000000000001" customHeight="1">
      <c r="A43" s="6"/>
      <c r="B43" s="7"/>
      <c r="C43" s="7"/>
      <c r="D43" s="7"/>
      <c r="E43" s="7"/>
      <c r="F43" s="7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</row>
    <row r="44" spans="1:256" customFormat="1" ht="20.100000000000001" customHeight="1">
      <c r="A44" s="4"/>
      <c r="B44" s="5"/>
      <c r="C44" s="5"/>
      <c r="D44" s="5"/>
      <c r="E44" s="5"/>
      <c r="F44" s="5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</row>
    <row r="45" spans="1:256" customFormat="1" ht="20.100000000000001" customHeight="1">
      <c r="A45" s="6"/>
      <c r="B45" s="7"/>
      <c r="C45" s="7"/>
      <c r="D45" s="7"/>
      <c r="E45" s="7"/>
      <c r="F45" s="7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</row>
    <row r="46" spans="1:256" customFormat="1" ht="20.100000000000001" customHeight="1">
      <c r="A46" s="4"/>
      <c r="B46" s="5"/>
      <c r="C46" s="5"/>
      <c r="D46" s="5"/>
      <c r="E46" s="5"/>
      <c r="F46" s="5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</row>
    <row r="47" spans="1:256" customFormat="1" ht="20.100000000000001" customHeight="1">
      <c r="A47" s="6"/>
      <c r="B47" s="7"/>
      <c r="C47" s="7"/>
      <c r="D47" s="7"/>
      <c r="E47" s="7"/>
      <c r="F47" s="7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</row>
    <row r="48" spans="1:256" customFormat="1" ht="20.100000000000001" customHeight="1">
      <c r="A48" s="4"/>
      <c r="B48" s="5"/>
      <c r="C48" s="5"/>
      <c r="D48" s="5"/>
      <c r="E48" s="5"/>
      <c r="F48" s="5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</row>
    <row r="49" spans="1:256" customFormat="1" ht="20.100000000000001" customHeight="1">
      <c r="A49" s="6"/>
      <c r="B49" s="7"/>
      <c r="C49" s="7"/>
      <c r="D49" s="7"/>
      <c r="E49" s="7"/>
      <c r="F49" s="7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</row>
    <row r="50" spans="1:256" customFormat="1" ht="20.100000000000001" customHeight="1">
      <c r="A50" s="4"/>
      <c r="B50" s="5"/>
      <c r="C50" s="5"/>
      <c r="D50" s="5"/>
      <c r="E50" s="5"/>
      <c r="F50" s="5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</row>
    <row r="51" spans="1:256" customFormat="1" ht="20.100000000000001" customHeight="1">
      <c r="A51" s="6"/>
      <c r="B51" s="7"/>
      <c r="C51" s="7"/>
      <c r="D51" s="7"/>
      <c r="E51" s="7"/>
      <c r="F51" s="7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</row>
    <row r="52" spans="1:256" customFormat="1" ht="20.100000000000001" customHeight="1">
      <c r="A52" s="4"/>
      <c r="B52" s="5"/>
      <c r="C52" s="5"/>
      <c r="D52" s="5"/>
      <c r="E52" s="5"/>
      <c r="F52" s="5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</row>
    <row r="53" spans="1:256" customFormat="1" ht="20.100000000000001" customHeight="1">
      <c r="A53" s="6"/>
      <c r="B53" s="7"/>
      <c r="C53" s="7"/>
      <c r="D53" s="7"/>
      <c r="E53" s="7"/>
      <c r="F53" s="7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</row>
    <row r="54" spans="1:256" customFormat="1" ht="20.100000000000001" customHeight="1">
      <c r="A54" s="4"/>
      <c r="B54" s="5"/>
      <c r="C54" s="5"/>
      <c r="D54" s="5"/>
      <c r="E54" s="5"/>
      <c r="F54" s="5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</row>
    <row r="55" spans="1:256" customFormat="1" ht="20.100000000000001" customHeight="1">
      <c r="A55" s="6"/>
      <c r="B55" s="7"/>
      <c r="C55" s="7"/>
      <c r="D55" s="7"/>
      <c r="E55" s="7"/>
      <c r="F55" s="7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</row>
    <row r="56" spans="1:256" customFormat="1" ht="20.100000000000001" customHeight="1">
      <c r="A56" s="4"/>
      <c r="B56" s="5"/>
      <c r="C56" s="5"/>
      <c r="D56" s="5"/>
      <c r="E56" s="5"/>
      <c r="F56" s="5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</row>
    <row r="57" spans="1:256" customFormat="1" ht="20.100000000000001" customHeight="1">
      <c r="A57" s="6"/>
      <c r="B57" s="7"/>
      <c r="C57" s="7"/>
      <c r="D57" s="7"/>
      <c r="E57" s="7"/>
      <c r="F57" s="7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</row>
    <row r="58" spans="1:256" customFormat="1" ht="20.100000000000001" customHeight="1">
      <c r="A58" s="4"/>
      <c r="B58" s="5"/>
      <c r="C58" s="5"/>
      <c r="D58" s="5"/>
      <c r="E58" s="5"/>
      <c r="F58" s="5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</row>
    <row r="59" spans="1:256" customFormat="1" ht="20.100000000000001" customHeight="1">
      <c r="A59" s="6"/>
      <c r="B59" s="7"/>
      <c r="C59" s="7"/>
      <c r="D59" s="7"/>
      <c r="E59" s="7"/>
      <c r="F59" s="7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</row>
    <row r="60" spans="1:256" customFormat="1" ht="20.100000000000001" customHeight="1">
      <c r="A60" s="4"/>
      <c r="B60" s="5"/>
      <c r="C60" s="5"/>
      <c r="D60" s="5"/>
      <c r="E60" s="5"/>
      <c r="F60" s="5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</row>
  </sheetData>
  <phoneticPr fontId="3" type="noConversion"/>
  <conditionalFormatting sqref="C3:Q60">
    <cfRule type="cellIs" dxfId="89" priority="1" stopIfTrue="1" operator="lessThan">
      <formula>0</formula>
    </cfRule>
    <cfRule type="cellIs" dxfId="88" priority="2" stopIfTrue="1" operator="greaterThan">
      <formula>0</formula>
    </cfRule>
    <cfRule type="cellIs" dxfId="87" priority="3" stopIfTrue="1" operator="equal">
      <formula>0</formula>
    </cfRule>
  </conditionalFormatting>
  <pageMargins left="0" right="0" top="0" bottom="0" header="0" footer="0"/>
  <headerFooter>
    <oddFooter>&amp;"HelveticaNeue-Light,Regular"&amp;11&amp;P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 filterMode="1">
    <pageSetUpPr fitToPage="1"/>
  </sheetPr>
  <dimension ref="A1:HU224"/>
  <sheetViews>
    <sheetView zoomScale="80" zoomScaleNormal="80" zoomScalePageLayoutView="85" workbookViewId="0">
      <pane xSplit="1" ySplit="9" topLeftCell="B10" activePane="bottomRight" state="frozen"/>
      <selection pane="topRight" activeCell="B1" sqref="B1"/>
      <selection pane="bottomLeft" activeCell="A3" sqref="A3"/>
      <selection pane="bottomRight" activeCell="P3" sqref="P3"/>
    </sheetView>
  </sheetViews>
  <sheetFormatPr baseColWidth="10" defaultColWidth="27.15234375" defaultRowHeight="15.6" outlineLevelCol="1"/>
  <cols>
    <col min="1" max="1" width="30.765625" style="12" bestFit="1" customWidth="1"/>
    <col min="2" max="2" width="16.15234375" style="12" customWidth="1" outlineLevel="1"/>
    <col min="3" max="3" width="27.15234375" style="12" customWidth="1" outlineLevel="1"/>
    <col min="4" max="4" width="25.765625" style="12" customWidth="1" outlineLevel="1"/>
    <col min="5" max="5" width="22.765625" style="12" customWidth="1" outlineLevel="1"/>
    <col min="6" max="6" width="20" style="12" customWidth="1" outlineLevel="1"/>
    <col min="7" max="7" width="29.765625" style="136" customWidth="1" outlineLevel="1"/>
    <col min="8" max="8" width="13.23046875" style="43" bestFit="1" customWidth="1"/>
    <col min="9" max="9" width="19.765625" style="43" customWidth="1" outlineLevel="1"/>
    <col min="10" max="10" width="26.4609375" style="12" customWidth="1" outlineLevel="1"/>
    <col min="11" max="11" width="10" style="43" customWidth="1" outlineLevel="1"/>
    <col min="12" max="12" width="20.3828125" style="12" customWidth="1" outlineLevel="1"/>
    <col min="13" max="13" width="27.15234375" style="42"/>
    <col min="14" max="14" width="17.61328125" style="42" customWidth="1"/>
    <col min="15" max="16384" width="27.15234375" style="12"/>
  </cols>
  <sheetData>
    <row r="1" spans="1:229" s="41" customFormat="1" ht="28.8" customHeight="1">
      <c r="A1" s="124">
        <v>1</v>
      </c>
      <c r="B1" s="80">
        <v>2</v>
      </c>
      <c r="C1" s="80">
        <v>3</v>
      </c>
      <c r="D1" s="80">
        <v>4</v>
      </c>
      <c r="E1" s="80">
        <v>5</v>
      </c>
      <c r="F1" s="80">
        <v>6</v>
      </c>
      <c r="G1" s="135">
        <v>7</v>
      </c>
      <c r="H1" s="135">
        <v>8</v>
      </c>
      <c r="I1" s="135">
        <v>9</v>
      </c>
      <c r="J1" s="135">
        <v>10</v>
      </c>
      <c r="K1" s="135">
        <v>11</v>
      </c>
      <c r="L1" s="135">
        <v>12</v>
      </c>
      <c r="M1" s="135">
        <v>13</v>
      </c>
      <c r="N1" s="135">
        <v>14</v>
      </c>
      <c r="O1" s="135">
        <v>15</v>
      </c>
      <c r="P1" s="135">
        <v>16</v>
      </c>
      <c r="Q1" s="135">
        <v>17</v>
      </c>
      <c r="R1" s="151" t="s">
        <v>2268</v>
      </c>
      <c r="S1" s="151" t="s">
        <v>2278</v>
      </c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  <c r="DX1" s="40"/>
      <c r="DY1" s="40"/>
      <c r="DZ1" s="40"/>
      <c r="EA1" s="40"/>
      <c r="EB1" s="40"/>
      <c r="EC1" s="40"/>
      <c r="ED1" s="40"/>
      <c r="EE1" s="40"/>
      <c r="EF1" s="40"/>
      <c r="EG1" s="40"/>
      <c r="EH1" s="40"/>
      <c r="EI1" s="40"/>
      <c r="EJ1" s="40"/>
      <c r="EK1" s="40"/>
      <c r="EL1" s="40"/>
      <c r="EM1" s="40"/>
      <c r="EN1" s="40"/>
      <c r="EO1" s="40"/>
      <c r="EP1" s="40"/>
      <c r="EQ1" s="40"/>
      <c r="ER1" s="40"/>
      <c r="ES1" s="40"/>
      <c r="ET1" s="40"/>
      <c r="EU1" s="40"/>
      <c r="EV1" s="40"/>
      <c r="EW1" s="40"/>
      <c r="EX1" s="40"/>
      <c r="EY1" s="40"/>
      <c r="EZ1" s="40"/>
      <c r="FA1" s="40"/>
      <c r="FB1" s="40"/>
      <c r="FC1" s="40"/>
      <c r="FD1" s="40"/>
      <c r="FE1" s="40"/>
      <c r="FF1" s="40"/>
      <c r="FG1" s="40"/>
      <c r="FH1" s="40"/>
      <c r="FI1" s="40"/>
      <c r="FJ1" s="40"/>
      <c r="FK1" s="40"/>
      <c r="FL1" s="40"/>
      <c r="FM1" s="40"/>
      <c r="FN1" s="40"/>
      <c r="FO1" s="40"/>
      <c r="FP1" s="40"/>
      <c r="FQ1" s="40"/>
      <c r="FR1" s="40"/>
      <c r="FS1" s="40"/>
      <c r="FT1" s="40"/>
      <c r="FU1" s="40"/>
      <c r="FV1" s="40"/>
      <c r="FW1" s="40"/>
      <c r="FX1" s="40"/>
      <c r="FY1" s="40"/>
      <c r="FZ1" s="40"/>
      <c r="GA1" s="40"/>
      <c r="GB1" s="40"/>
      <c r="GC1" s="40"/>
      <c r="GD1" s="40"/>
      <c r="GE1" s="40"/>
      <c r="GF1" s="40"/>
      <c r="GG1" s="40"/>
      <c r="GH1" s="40"/>
      <c r="GI1" s="40"/>
      <c r="GJ1" s="40"/>
      <c r="GK1" s="40"/>
      <c r="GL1" s="40"/>
      <c r="GM1" s="40"/>
      <c r="GN1" s="40"/>
      <c r="GO1" s="40"/>
      <c r="GP1" s="40"/>
      <c r="GQ1" s="40"/>
      <c r="GR1" s="40"/>
      <c r="GS1" s="40"/>
      <c r="GT1" s="40"/>
      <c r="GU1" s="40"/>
      <c r="GV1" s="40"/>
      <c r="GW1" s="40"/>
      <c r="GX1" s="40"/>
      <c r="GY1" s="40"/>
      <c r="GZ1" s="40"/>
      <c r="HA1" s="40"/>
      <c r="HB1" s="40"/>
      <c r="HC1" s="40"/>
      <c r="HD1" s="40"/>
      <c r="HE1" s="40"/>
      <c r="HF1" s="40"/>
      <c r="HG1" s="40"/>
      <c r="HH1" s="40"/>
      <c r="HI1" s="40"/>
      <c r="HJ1" s="40"/>
      <c r="HK1" s="40"/>
      <c r="HL1" s="40"/>
      <c r="HM1" s="40"/>
      <c r="HN1" s="40"/>
      <c r="HO1" s="40"/>
      <c r="HP1" s="40"/>
      <c r="HQ1" s="40"/>
      <c r="HR1" s="40"/>
      <c r="HS1" s="40"/>
      <c r="HT1" s="40"/>
      <c r="HU1" s="40"/>
    </row>
    <row r="2" spans="1:229" s="41" customFormat="1" ht="28.8" customHeight="1">
      <c r="A2" s="139" t="s">
        <v>148</v>
      </c>
      <c r="B2" s="139" t="s">
        <v>149</v>
      </c>
      <c r="C2" s="139" t="s">
        <v>150</v>
      </c>
      <c r="D2" s="139" t="s">
        <v>151</v>
      </c>
      <c r="E2" s="139" t="s">
        <v>152</v>
      </c>
      <c r="F2" s="139" t="s">
        <v>153</v>
      </c>
      <c r="G2" s="140" t="s">
        <v>154</v>
      </c>
      <c r="H2" s="141" t="s">
        <v>78</v>
      </c>
      <c r="I2" s="141" t="s">
        <v>89</v>
      </c>
      <c r="J2" s="139" t="s">
        <v>90</v>
      </c>
      <c r="K2" s="141" t="s">
        <v>10</v>
      </c>
      <c r="L2" s="139" t="s">
        <v>11</v>
      </c>
      <c r="M2" s="139" t="s">
        <v>138</v>
      </c>
      <c r="N2" s="139" t="s">
        <v>139</v>
      </c>
      <c r="O2" s="139" t="s">
        <v>2012</v>
      </c>
      <c r="P2" s="139" t="s">
        <v>2262</v>
      </c>
      <c r="Q2" s="139" t="s">
        <v>2275</v>
      </c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  <c r="DX2" s="40"/>
      <c r="DY2" s="40"/>
      <c r="DZ2" s="40"/>
      <c r="EA2" s="40"/>
      <c r="EB2" s="40"/>
      <c r="EC2" s="40"/>
      <c r="ED2" s="40"/>
      <c r="EE2" s="40"/>
      <c r="EF2" s="40"/>
      <c r="EG2" s="40"/>
      <c r="EH2" s="40"/>
      <c r="EI2" s="40"/>
      <c r="EJ2" s="40"/>
      <c r="EK2" s="40"/>
      <c r="EL2" s="40"/>
      <c r="EM2" s="40"/>
      <c r="EN2" s="40"/>
      <c r="EO2" s="40"/>
      <c r="EP2" s="40"/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  <c r="FC2" s="40"/>
      <c r="FD2" s="40"/>
      <c r="FE2" s="40"/>
      <c r="FF2" s="40"/>
      <c r="FG2" s="40"/>
      <c r="FH2" s="40"/>
      <c r="FI2" s="40"/>
      <c r="FJ2" s="40"/>
      <c r="FK2" s="40"/>
      <c r="FL2" s="40"/>
      <c r="FM2" s="40"/>
      <c r="FN2" s="40"/>
      <c r="FO2" s="40"/>
      <c r="FP2" s="40"/>
      <c r="FQ2" s="40"/>
      <c r="FR2" s="40"/>
      <c r="FS2" s="40"/>
      <c r="FT2" s="40"/>
      <c r="FU2" s="40"/>
      <c r="FV2" s="40"/>
      <c r="FW2" s="40"/>
      <c r="FX2" s="40"/>
      <c r="FY2" s="40"/>
      <c r="FZ2" s="40"/>
      <c r="GA2" s="40"/>
      <c r="GB2" s="40"/>
      <c r="GC2" s="40"/>
      <c r="GD2" s="40"/>
      <c r="GE2" s="40"/>
      <c r="GF2" s="40"/>
      <c r="GG2" s="40"/>
      <c r="GH2" s="40"/>
      <c r="GI2" s="40"/>
      <c r="GJ2" s="40"/>
      <c r="GK2" s="40"/>
      <c r="GL2" s="40"/>
      <c r="GM2" s="40"/>
      <c r="GN2" s="40"/>
      <c r="GO2" s="40"/>
      <c r="GP2" s="40"/>
      <c r="GQ2" s="40"/>
      <c r="GR2" s="40"/>
      <c r="GS2" s="40"/>
      <c r="GT2" s="40"/>
      <c r="GU2" s="40"/>
      <c r="GV2" s="40"/>
      <c r="GW2" s="40"/>
      <c r="GX2" s="40"/>
      <c r="GY2" s="40"/>
      <c r="GZ2" s="40"/>
      <c r="HA2" s="40"/>
      <c r="HB2" s="40"/>
      <c r="HC2" s="40"/>
      <c r="HD2" s="40"/>
      <c r="HE2" s="40"/>
      <c r="HF2" s="40"/>
      <c r="HG2" s="40"/>
      <c r="HH2" s="40"/>
      <c r="HI2" s="40"/>
      <c r="HJ2" s="40"/>
      <c r="HK2" s="40"/>
      <c r="HL2" s="40"/>
      <c r="HM2" s="40"/>
      <c r="HN2" s="40"/>
      <c r="HO2" s="40"/>
      <c r="HP2" s="40"/>
      <c r="HQ2" s="40"/>
      <c r="HR2" s="40"/>
      <c r="HS2" s="40"/>
      <c r="HT2" s="40"/>
      <c r="HU2" s="40"/>
    </row>
    <row r="3" spans="1:229" s="41" customFormat="1" ht="28.8" customHeight="1">
      <c r="A3" s="124" t="s">
        <v>2143</v>
      </c>
      <c r="B3" s="80" t="s">
        <v>290</v>
      </c>
      <c r="C3" s="80"/>
      <c r="D3" s="80" t="s">
        <v>1097</v>
      </c>
      <c r="E3" s="80" t="s">
        <v>1096</v>
      </c>
      <c r="F3" s="80" t="s">
        <v>31</v>
      </c>
      <c r="G3" s="135" t="s">
        <v>34</v>
      </c>
      <c r="H3" s="81">
        <v>0.2</v>
      </c>
      <c r="I3" s="81"/>
      <c r="J3" s="79"/>
      <c r="K3" s="81"/>
      <c r="L3" s="79"/>
      <c r="M3" s="82" t="s">
        <v>1098</v>
      </c>
      <c r="N3" s="82" t="s">
        <v>294</v>
      </c>
      <c r="O3" s="82" t="s">
        <v>316</v>
      </c>
      <c r="P3" s="142">
        <v>0.2</v>
      </c>
      <c r="Q3" s="40">
        <f>SUMIF(Data_P!A:A,CONCATENATE(A3,"_",R$1),Data_P!J:J)</f>
        <v>287.2</v>
      </c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40"/>
      <c r="DA3" s="40"/>
      <c r="DB3" s="40"/>
      <c r="DC3" s="40"/>
      <c r="DD3" s="40"/>
      <c r="DE3" s="40"/>
      <c r="DF3" s="40"/>
      <c r="DG3" s="40"/>
      <c r="DH3" s="40"/>
      <c r="DI3" s="40"/>
      <c r="DJ3" s="40"/>
      <c r="DK3" s="40"/>
      <c r="DL3" s="40"/>
      <c r="DM3" s="40"/>
      <c r="DN3" s="40"/>
      <c r="DO3" s="40"/>
      <c r="DP3" s="40"/>
      <c r="DQ3" s="40"/>
      <c r="DR3" s="40"/>
      <c r="DS3" s="40"/>
      <c r="DT3" s="40"/>
      <c r="DU3" s="40"/>
      <c r="DV3" s="40"/>
      <c r="DW3" s="40"/>
      <c r="DX3" s="40"/>
      <c r="DY3" s="40"/>
      <c r="DZ3" s="40"/>
      <c r="EA3" s="40"/>
      <c r="EB3" s="40"/>
      <c r="EC3" s="40"/>
      <c r="ED3" s="40"/>
      <c r="EE3" s="40"/>
      <c r="EF3" s="40"/>
      <c r="EG3" s="40"/>
      <c r="EH3" s="40"/>
      <c r="EI3" s="40"/>
      <c r="EJ3" s="40"/>
      <c r="EK3" s="40"/>
      <c r="EL3" s="40"/>
      <c r="EM3" s="40"/>
      <c r="EN3" s="40"/>
      <c r="EO3" s="40"/>
      <c r="EP3" s="40"/>
      <c r="EQ3" s="40"/>
      <c r="ER3" s="40"/>
      <c r="ES3" s="40"/>
      <c r="ET3" s="40"/>
      <c r="EU3" s="40"/>
      <c r="EV3" s="40"/>
      <c r="EW3" s="40"/>
      <c r="EX3" s="40"/>
      <c r="EY3" s="40"/>
      <c r="EZ3" s="40"/>
      <c r="FA3" s="40"/>
      <c r="FB3" s="40"/>
      <c r="FC3" s="40"/>
      <c r="FD3" s="40"/>
      <c r="FE3" s="40"/>
      <c r="FF3" s="40"/>
      <c r="FG3" s="40"/>
      <c r="FH3" s="40"/>
      <c r="FI3" s="40"/>
      <c r="FJ3" s="40"/>
      <c r="FK3" s="40"/>
      <c r="FL3" s="40"/>
      <c r="FM3" s="40"/>
      <c r="FN3" s="40"/>
      <c r="FO3" s="40"/>
      <c r="FP3" s="40"/>
      <c r="FQ3" s="40"/>
      <c r="FR3" s="40"/>
      <c r="FS3" s="40"/>
      <c r="FT3" s="40"/>
      <c r="FU3" s="40"/>
      <c r="FV3" s="40"/>
      <c r="FW3" s="40"/>
      <c r="FX3" s="40"/>
      <c r="FY3" s="40"/>
      <c r="FZ3" s="40"/>
      <c r="GA3" s="40"/>
      <c r="GB3" s="40"/>
      <c r="GC3" s="40"/>
      <c r="GD3" s="40"/>
      <c r="GE3" s="40"/>
      <c r="GF3" s="40"/>
      <c r="GG3" s="40"/>
      <c r="GH3" s="40"/>
      <c r="GI3" s="40"/>
      <c r="GJ3" s="40"/>
      <c r="GK3" s="40"/>
      <c r="GL3" s="40"/>
      <c r="GM3" s="40"/>
      <c r="GN3" s="40"/>
      <c r="GO3" s="40"/>
      <c r="GP3" s="40"/>
      <c r="GQ3" s="40"/>
      <c r="GR3" s="40"/>
      <c r="GS3" s="40"/>
      <c r="GT3" s="40"/>
      <c r="GU3" s="40"/>
      <c r="GV3" s="40"/>
      <c r="GW3" s="40"/>
      <c r="GX3" s="40"/>
      <c r="GY3" s="40"/>
      <c r="GZ3" s="40"/>
      <c r="HA3" s="40"/>
      <c r="HB3" s="40"/>
      <c r="HC3" s="40"/>
      <c r="HD3" s="40"/>
      <c r="HE3" s="40"/>
      <c r="HF3" s="40"/>
      <c r="HG3" s="40"/>
      <c r="HH3" s="40"/>
      <c r="HI3" s="40"/>
      <c r="HJ3" s="40"/>
      <c r="HK3" s="40"/>
      <c r="HL3" s="40"/>
      <c r="HM3" s="40"/>
      <c r="HN3" s="40"/>
      <c r="HO3" s="40"/>
      <c r="HP3" s="40"/>
      <c r="HQ3" s="40"/>
      <c r="HR3" s="40"/>
      <c r="HS3" s="40"/>
      <c r="HT3" s="40"/>
      <c r="HU3" s="40"/>
    </row>
    <row r="4" spans="1:229" s="41" customFormat="1" ht="28.8" customHeight="1">
      <c r="A4" s="124" t="s">
        <v>2145</v>
      </c>
      <c r="B4" s="80" t="s">
        <v>289</v>
      </c>
      <c r="C4" s="80"/>
      <c r="D4" s="80" t="s">
        <v>1097</v>
      </c>
      <c r="E4" s="80" t="s">
        <v>67</v>
      </c>
      <c r="F4" s="80" t="s">
        <v>31</v>
      </c>
      <c r="G4" s="135" t="s">
        <v>34</v>
      </c>
      <c r="H4" s="81">
        <v>0.25</v>
      </c>
      <c r="I4" s="81">
        <v>-0.05</v>
      </c>
      <c r="J4" s="79" t="s">
        <v>109</v>
      </c>
      <c r="K4" s="81"/>
      <c r="L4" s="79"/>
      <c r="M4" s="82" t="s">
        <v>1098</v>
      </c>
      <c r="N4" s="82" t="s">
        <v>294</v>
      </c>
      <c r="O4" s="82" t="s">
        <v>316</v>
      </c>
      <c r="P4" s="142">
        <v>0.2</v>
      </c>
      <c r="Q4" s="40">
        <f>SUMIF(Data_P!A:A,CONCATENATE(A4,"_",R$1),Data_P!J:J)</f>
        <v>1994.06</v>
      </c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40"/>
      <c r="DE4" s="40"/>
      <c r="DF4" s="40"/>
      <c r="DG4" s="40"/>
      <c r="DH4" s="40"/>
      <c r="DI4" s="40"/>
      <c r="DJ4" s="40"/>
      <c r="DK4" s="40"/>
      <c r="DL4" s="40"/>
      <c r="DM4" s="40"/>
      <c r="DN4" s="40"/>
      <c r="DO4" s="40"/>
      <c r="DP4" s="40"/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40"/>
      <c r="EW4" s="40"/>
      <c r="EX4" s="40"/>
      <c r="EY4" s="40"/>
      <c r="EZ4" s="40"/>
      <c r="FA4" s="40"/>
      <c r="FB4" s="40"/>
      <c r="FC4" s="40"/>
      <c r="FD4" s="40"/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40"/>
      <c r="GO4" s="40"/>
      <c r="GP4" s="40"/>
      <c r="GQ4" s="40"/>
      <c r="GR4" s="40"/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40"/>
      <c r="HT4" s="40"/>
      <c r="HU4" s="40"/>
    </row>
    <row r="5" spans="1:229" s="41" customFormat="1" ht="28.8" customHeight="1">
      <c r="A5" s="124" t="s">
        <v>1250</v>
      </c>
      <c r="B5" s="80" t="s">
        <v>964</v>
      </c>
      <c r="C5" s="80"/>
      <c r="D5" s="80" t="s">
        <v>965</v>
      </c>
      <c r="E5" s="80" t="s">
        <v>966</v>
      </c>
      <c r="F5" s="80" t="s">
        <v>1155</v>
      </c>
      <c r="G5" s="135" t="s">
        <v>1955</v>
      </c>
      <c r="H5" s="81">
        <v>0.5</v>
      </c>
      <c r="I5" s="81">
        <v>-0.1</v>
      </c>
      <c r="J5" s="79" t="s">
        <v>399</v>
      </c>
      <c r="K5" s="81">
        <v>-0.1</v>
      </c>
      <c r="L5" s="79" t="s">
        <v>967</v>
      </c>
      <c r="M5" s="82" t="s">
        <v>1311</v>
      </c>
      <c r="N5" s="82" t="s">
        <v>1077</v>
      </c>
      <c r="O5" s="82" t="s">
        <v>316</v>
      </c>
      <c r="P5" s="142">
        <v>0.2</v>
      </c>
      <c r="Q5" s="40">
        <f>SUMIF(Data_P!A:A,CONCATENATE(A5,"_",R$1),Data_P!J:J)</f>
        <v>797.12</v>
      </c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40"/>
      <c r="DE5" s="40"/>
      <c r="DF5" s="40"/>
      <c r="DG5" s="40"/>
      <c r="DH5" s="40"/>
      <c r="DI5" s="40"/>
      <c r="DJ5" s="40"/>
      <c r="DK5" s="40"/>
      <c r="DL5" s="40"/>
      <c r="DM5" s="40"/>
      <c r="DN5" s="40"/>
      <c r="DO5" s="40"/>
      <c r="DP5" s="40"/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40"/>
      <c r="EW5" s="40"/>
      <c r="EX5" s="40"/>
      <c r="EY5" s="40"/>
      <c r="EZ5" s="40"/>
      <c r="FA5" s="40"/>
      <c r="FB5" s="40"/>
      <c r="FC5" s="40"/>
      <c r="FD5" s="40"/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40"/>
      <c r="GO5" s="40"/>
      <c r="GP5" s="40"/>
      <c r="GQ5" s="40"/>
      <c r="GR5" s="40"/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40"/>
      <c r="HT5" s="40"/>
      <c r="HU5" s="40"/>
    </row>
    <row r="6" spans="1:229" s="41" customFormat="1" ht="28.8" customHeight="1">
      <c r="A6" s="124" t="s">
        <v>226</v>
      </c>
      <c r="B6" s="80" t="s">
        <v>166</v>
      </c>
      <c r="C6" s="80"/>
      <c r="D6" s="80" t="s">
        <v>200</v>
      </c>
      <c r="E6" s="80" t="s">
        <v>201</v>
      </c>
      <c r="F6" s="80" t="s">
        <v>202</v>
      </c>
      <c r="G6" s="135" t="s">
        <v>203</v>
      </c>
      <c r="H6" s="81">
        <v>0.4</v>
      </c>
      <c r="I6" s="81">
        <v>-0.05</v>
      </c>
      <c r="J6" s="79" t="s">
        <v>204</v>
      </c>
      <c r="K6" s="81">
        <v>-0.05</v>
      </c>
      <c r="L6" s="79" t="s">
        <v>205</v>
      </c>
      <c r="M6" s="82" t="s">
        <v>324</v>
      </c>
      <c r="N6" s="82" t="s">
        <v>206</v>
      </c>
      <c r="O6" s="82" t="s">
        <v>317</v>
      </c>
      <c r="P6" s="142">
        <v>0.2</v>
      </c>
      <c r="Q6" s="40">
        <f>SUMIF(Data_P!A:A,CONCATENATE(A6,"_",R$1),Data_P!J:J)</f>
        <v>759.92</v>
      </c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40"/>
      <c r="DE6" s="40"/>
      <c r="DF6" s="40"/>
      <c r="DG6" s="40"/>
      <c r="DH6" s="40"/>
      <c r="DI6" s="40"/>
      <c r="DJ6" s="40"/>
      <c r="DK6" s="40"/>
      <c r="DL6" s="40"/>
      <c r="DM6" s="40"/>
      <c r="DN6" s="40"/>
      <c r="DO6" s="40"/>
      <c r="DP6" s="40"/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/>
      <c r="ER6" s="40"/>
      <c r="ES6" s="40"/>
      <c r="ET6" s="40"/>
      <c r="EU6" s="40"/>
      <c r="EV6" s="40"/>
      <c r="EW6" s="40"/>
      <c r="EX6" s="40"/>
      <c r="EY6" s="40"/>
      <c r="EZ6" s="40"/>
      <c r="FA6" s="40"/>
      <c r="FB6" s="40"/>
      <c r="FC6" s="40"/>
      <c r="FD6" s="40"/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40"/>
      <c r="GO6" s="40"/>
      <c r="GP6" s="40"/>
      <c r="GQ6" s="40"/>
      <c r="GR6" s="40"/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40"/>
      <c r="HT6" s="40"/>
      <c r="HU6" s="40"/>
    </row>
    <row r="7" spans="1:229" s="41" customFormat="1" ht="28.8" customHeight="1">
      <c r="A7" s="124" t="s">
        <v>1226</v>
      </c>
      <c r="B7" s="80" t="s">
        <v>1956</v>
      </c>
      <c r="C7" s="80"/>
      <c r="D7" s="80" t="s">
        <v>1957</v>
      </c>
      <c r="E7" s="80" t="s">
        <v>1289</v>
      </c>
      <c r="F7" s="80" t="s">
        <v>1958</v>
      </c>
      <c r="G7" s="135" t="s">
        <v>2041</v>
      </c>
      <c r="H7" s="81">
        <v>0.25</v>
      </c>
      <c r="I7" s="81"/>
      <c r="J7" s="79"/>
      <c r="K7" s="81"/>
      <c r="L7" s="79"/>
      <c r="M7" s="82" t="s">
        <v>1959</v>
      </c>
      <c r="N7" s="82" t="s">
        <v>240</v>
      </c>
      <c r="O7" s="82" t="s">
        <v>317</v>
      </c>
      <c r="P7" s="142">
        <v>0.2</v>
      </c>
      <c r="Q7" s="40">
        <f>SUMIF(Data_P!A:A,CONCATENATE(A7,"_",R$1),Data_P!J:J)</f>
        <v>21.13</v>
      </c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0"/>
      <c r="DR7" s="40"/>
      <c r="DS7" s="40"/>
      <c r="DT7" s="40"/>
      <c r="DU7" s="40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40"/>
      <c r="EW7" s="40"/>
      <c r="EX7" s="40"/>
      <c r="EY7" s="40"/>
      <c r="EZ7" s="40"/>
      <c r="FA7" s="40"/>
      <c r="FB7" s="40"/>
      <c r="FC7" s="40"/>
      <c r="FD7" s="40"/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40"/>
      <c r="GO7" s="40"/>
      <c r="GP7" s="40"/>
      <c r="GQ7" s="40"/>
      <c r="GR7" s="40"/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40"/>
      <c r="HT7" s="40"/>
      <c r="HU7" s="40"/>
    </row>
    <row r="8" spans="1:229" s="41" customFormat="1" ht="28.8" customHeight="1">
      <c r="A8" s="124" t="s">
        <v>1227</v>
      </c>
      <c r="B8" s="80" t="s">
        <v>1228</v>
      </c>
      <c r="C8" s="80"/>
      <c r="D8" s="80" t="s">
        <v>1290</v>
      </c>
      <c r="E8" s="80" t="s">
        <v>1291</v>
      </c>
      <c r="F8" s="80" t="s">
        <v>1292</v>
      </c>
      <c r="G8" s="135" t="s">
        <v>2273</v>
      </c>
      <c r="H8" s="81">
        <v>0.25</v>
      </c>
      <c r="I8" s="81"/>
      <c r="J8" s="79"/>
      <c r="K8" s="81"/>
      <c r="L8" s="79"/>
      <c r="M8" s="82"/>
      <c r="N8" s="82"/>
      <c r="O8" s="82" t="s">
        <v>317</v>
      </c>
      <c r="P8" s="142">
        <v>0.2</v>
      </c>
      <c r="Q8" s="40">
        <f>SUMIF(Data_P!A:A,CONCATENATE(A8,"_",R$1),Data_P!J:J)</f>
        <v>6</v>
      </c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40"/>
      <c r="DE8" s="40"/>
      <c r="DF8" s="40"/>
      <c r="DG8" s="40"/>
      <c r="DH8" s="40"/>
      <c r="DI8" s="40"/>
      <c r="DJ8" s="40"/>
      <c r="DK8" s="40"/>
      <c r="DL8" s="40"/>
      <c r="DM8" s="40"/>
      <c r="DN8" s="40"/>
      <c r="DO8" s="40"/>
      <c r="DP8" s="40"/>
      <c r="DQ8" s="40"/>
      <c r="DR8" s="40"/>
      <c r="DS8" s="40"/>
      <c r="DT8" s="40"/>
      <c r="DU8" s="40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40"/>
      <c r="EW8" s="40"/>
      <c r="EX8" s="40"/>
      <c r="EY8" s="40"/>
      <c r="EZ8" s="40"/>
      <c r="FA8" s="40"/>
      <c r="FB8" s="40"/>
      <c r="FC8" s="40"/>
      <c r="FD8" s="40"/>
      <c r="FE8" s="40"/>
      <c r="FF8" s="40"/>
      <c r="FG8" s="40"/>
      <c r="FH8" s="40"/>
      <c r="FI8" s="40"/>
      <c r="FJ8" s="40"/>
      <c r="FK8" s="40"/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40"/>
      <c r="GO8" s="40"/>
      <c r="GP8" s="40"/>
      <c r="GQ8" s="40"/>
      <c r="GR8" s="40"/>
      <c r="GS8" s="40"/>
      <c r="GT8" s="40"/>
      <c r="GU8" s="40"/>
      <c r="GV8" s="40"/>
      <c r="GW8" s="40"/>
      <c r="GX8" s="40"/>
      <c r="GY8" s="40"/>
      <c r="GZ8" s="40"/>
      <c r="HA8" s="40"/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40"/>
      <c r="HT8" s="40"/>
      <c r="HU8" s="40"/>
    </row>
    <row r="9" spans="1:229" s="41" customFormat="1" ht="28.8" customHeight="1">
      <c r="A9" s="124" t="s">
        <v>1230</v>
      </c>
      <c r="B9" s="80" t="s">
        <v>1229</v>
      </c>
      <c r="C9" s="80"/>
      <c r="D9" s="80" t="s">
        <v>1293</v>
      </c>
      <c r="E9" s="80" t="s">
        <v>1294</v>
      </c>
      <c r="F9" s="80" t="s">
        <v>1295</v>
      </c>
      <c r="G9" s="135" t="s">
        <v>2042</v>
      </c>
      <c r="H9" s="81">
        <v>0.25</v>
      </c>
      <c r="I9" s="81"/>
      <c r="J9" s="79"/>
      <c r="K9" s="81"/>
      <c r="L9" s="79"/>
      <c r="M9" s="82"/>
      <c r="N9" s="82"/>
      <c r="O9" s="82" t="s">
        <v>317</v>
      </c>
      <c r="P9" s="142">
        <v>0.2</v>
      </c>
      <c r="Q9" s="40">
        <f>SUMIF(Data_P!A:A,CONCATENATE(A9,"_",R$1),Data_P!J:J)</f>
        <v>148.5</v>
      </c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40"/>
      <c r="BP9" s="40"/>
      <c r="BQ9" s="40"/>
      <c r="BR9" s="40"/>
      <c r="BS9" s="40"/>
      <c r="BT9" s="40"/>
      <c r="BU9" s="40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40"/>
      <c r="DE9" s="40"/>
      <c r="DF9" s="40"/>
      <c r="DG9" s="40"/>
      <c r="DH9" s="40"/>
      <c r="DI9" s="40"/>
      <c r="DJ9" s="40"/>
      <c r="DK9" s="40"/>
      <c r="DL9" s="40"/>
      <c r="DM9" s="40"/>
      <c r="DN9" s="40"/>
      <c r="DO9" s="40"/>
      <c r="DP9" s="40"/>
      <c r="DQ9" s="40"/>
      <c r="DR9" s="40"/>
      <c r="DS9" s="40"/>
      <c r="DT9" s="40"/>
      <c r="DU9" s="40"/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40"/>
      <c r="EW9" s="40"/>
      <c r="EX9" s="40"/>
      <c r="EY9" s="40"/>
      <c r="EZ9" s="40"/>
      <c r="FA9" s="40"/>
      <c r="FB9" s="40"/>
      <c r="FC9" s="40"/>
      <c r="FD9" s="40"/>
      <c r="FE9" s="40"/>
      <c r="FF9" s="40"/>
      <c r="FG9" s="40"/>
      <c r="FH9" s="40"/>
      <c r="FI9" s="40"/>
      <c r="FJ9" s="40"/>
      <c r="FK9" s="40"/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40"/>
      <c r="GO9" s="40"/>
      <c r="GP9" s="40"/>
      <c r="GQ9" s="40"/>
      <c r="GR9" s="40"/>
      <c r="GS9" s="40"/>
      <c r="GT9" s="40"/>
      <c r="GU9" s="40"/>
      <c r="GV9" s="40"/>
      <c r="GW9" s="40"/>
      <c r="GX9" s="40"/>
      <c r="GY9" s="40"/>
      <c r="GZ9" s="40"/>
      <c r="HA9" s="40"/>
      <c r="HB9" s="40"/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40"/>
      <c r="HT9" s="40"/>
      <c r="HU9" s="40"/>
    </row>
    <row r="10" spans="1:229" s="41" customFormat="1" ht="28.8" customHeight="1">
      <c r="A10" s="124" t="s">
        <v>2146</v>
      </c>
      <c r="B10" s="80" t="s">
        <v>2173</v>
      </c>
      <c r="C10" s="80"/>
      <c r="D10" s="80" t="s">
        <v>2175</v>
      </c>
      <c r="E10" s="80" t="s">
        <v>2174</v>
      </c>
      <c r="F10" s="80" t="s">
        <v>2176</v>
      </c>
      <c r="G10" s="135" t="s">
        <v>2177</v>
      </c>
      <c r="H10" s="81">
        <v>0.23</v>
      </c>
      <c r="I10" s="81"/>
      <c r="J10" s="79"/>
      <c r="K10" s="81"/>
      <c r="L10" s="79"/>
      <c r="M10" s="82"/>
      <c r="N10" s="82"/>
      <c r="O10" s="82" t="s">
        <v>316</v>
      </c>
      <c r="P10" s="142">
        <v>0.2</v>
      </c>
      <c r="Q10" s="40">
        <f>SUMIF(Data_P!A:A,CONCATENATE(A10,"_",R$1),Data_P!J:J)</f>
        <v>109.34</v>
      </c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40"/>
      <c r="DE10" s="40"/>
      <c r="DF10" s="40"/>
      <c r="DG10" s="40"/>
      <c r="DH10" s="40"/>
      <c r="DI10" s="40"/>
      <c r="DJ10" s="40"/>
      <c r="DK10" s="40"/>
      <c r="DL10" s="40"/>
      <c r="DM10" s="40"/>
      <c r="DN10" s="40"/>
      <c r="DO10" s="40"/>
      <c r="DP10" s="40"/>
      <c r="DQ10" s="40"/>
      <c r="DR10" s="40"/>
      <c r="DS10" s="40"/>
      <c r="DT10" s="40"/>
      <c r="DU10" s="40"/>
      <c r="DV10" s="40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40"/>
      <c r="EW10" s="40"/>
      <c r="EX10" s="40"/>
      <c r="EY10" s="40"/>
      <c r="EZ10" s="40"/>
      <c r="FA10" s="40"/>
      <c r="FB10" s="40"/>
      <c r="FC10" s="40"/>
      <c r="FD10" s="40"/>
      <c r="FE10" s="40"/>
      <c r="FF10" s="40"/>
      <c r="FG10" s="40"/>
      <c r="FH10" s="40"/>
      <c r="FI10" s="40"/>
      <c r="FJ10" s="40"/>
      <c r="FK10" s="40"/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40"/>
      <c r="GO10" s="40"/>
      <c r="GP10" s="40"/>
      <c r="GQ10" s="40"/>
      <c r="GR10" s="40"/>
      <c r="GS10" s="40"/>
      <c r="GT10" s="40"/>
      <c r="GU10" s="40"/>
      <c r="GV10" s="40"/>
      <c r="GW10" s="40"/>
      <c r="GX10" s="40"/>
      <c r="GY10" s="40"/>
      <c r="GZ10" s="40"/>
      <c r="HA10" s="40"/>
      <c r="HB10" s="40"/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40"/>
      <c r="HT10" s="40"/>
      <c r="HU10" s="40"/>
    </row>
    <row r="11" spans="1:229" s="41" customFormat="1" ht="28.8" customHeight="1">
      <c r="A11" s="124" t="s">
        <v>227</v>
      </c>
      <c r="B11" s="80" t="s">
        <v>143</v>
      </c>
      <c r="C11" s="80"/>
      <c r="D11" s="80" t="s">
        <v>145</v>
      </c>
      <c r="E11" s="80" t="s">
        <v>146</v>
      </c>
      <c r="F11" s="80" t="s">
        <v>998</v>
      </c>
      <c r="G11" s="135" t="s">
        <v>999</v>
      </c>
      <c r="H11" s="81">
        <v>0.5</v>
      </c>
      <c r="I11" s="81">
        <v>-0.1</v>
      </c>
      <c r="J11" s="79" t="s">
        <v>144</v>
      </c>
      <c r="K11" s="81"/>
      <c r="L11" s="79"/>
      <c r="M11" s="82" t="s">
        <v>239</v>
      </c>
      <c r="N11" s="82" t="s">
        <v>240</v>
      </c>
      <c r="O11" s="82" t="s">
        <v>316</v>
      </c>
      <c r="P11" s="142">
        <v>0.2</v>
      </c>
      <c r="Q11" s="40">
        <f>SUMIF(Data_P!A:A,CONCATENATE(A11,"_",R$1),Data_P!J:J)</f>
        <v>1745.4</v>
      </c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40"/>
      <c r="BQ11" s="40"/>
      <c r="BR11" s="40"/>
      <c r="BS11" s="40"/>
      <c r="BT11" s="40"/>
      <c r="BU11" s="40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40"/>
      <c r="DE11" s="40"/>
      <c r="DF11" s="40"/>
      <c r="DG11" s="40"/>
      <c r="DH11" s="40"/>
      <c r="DI11" s="40"/>
      <c r="DJ11" s="40"/>
      <c r="DK11" s="40"/>
      <c r="DL11" s="40"/>
      <c r="DM11" s="40"/>
      <c r="DN11" s="40"/>
      <c r="DO11" s="40"/>
      <c r="DP11" s="40"/>
      <c r="DQ11" s="40"/>
      <c r="DR11" s="40"/>
      <c r="DS11" s="40"/>
      <c r="DT11" s="40"/>
      <c r="DU11" s="40"/>
      <c r="DV11" s="40"/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40"/>
      <c r="EW11" s="40"/>
      <c r="EX11" s="40"/>
      <c r="EY11" s="40"/>
      <c r="EZ11" s="40"/>
      <c r="FA11" s="40"/>
      <c r="FB11" s="40"/>
      <c r="FC11" s="40"/>
      <c r="FD11" s="40"/>
      <c r="FE11" s="40"/>
      <c r="FF11" s="40"/>
      <c r="FG11" s="40"/>
      <c r="FH11" s="40"/>
      <c r="FI11" s="40"/>
      <c r="FJ11" s="40"/>
      <c r="FK11" s="40"/>
      <c r="FL11" s="40"/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40"/>
      <c r="GO11" s="40"/>
      <c r="GP11" s="40"/>
      <c r="GQ11" s="40"/>
      <c r="GR11" s="40"/>
      <c r="GS11" s="40"/>
      <c r="GT11" s="40"/>
      <c r="GU11" s="40"/>
      <c r="GV11" s="40"/>
      <c r="GW11" s="40"/>
      <c r="GX11" s="40"/>
      <c r="GY11" s="40"/>
      <c r="GZ11" s="40"/>
      <c r="HA11" s="40"/>
      <c r="HB11" s="40"/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40"/>
      <c r="HT11" s="40"/>
      <c r="HU11" s="40"/>
    </row>
    <row r="12" spans="1:229" s="41" customFormat="1" ht="28.8" customHeight="1">
      <c r="A12" s="124" t="s">
        <v>2043</v>
      </c>
      <c r="B12" s="80" t="s">
        <v>643</v>
      </c>
      <c r="C12" s="80"/>
      <c r="D12" s="80" t="s">
        <v>887</v>
      </c>
      <c r="E12" s="80" t="s">
        <v>644</v>
      </c>
      <c r="F12" s="80" t="s">
        <v>645</v>
      </c>
      <c r="G12" s="135" t="s">
        <v>2013</v>
      </c>
      <c r="H12" s="81">
        <v>0.3</v>
      </c>
      <c r="I12" s="81"/>
      <c r="J12" s="79"/>
      <c r="K12" s="81"/>
      <c r="L12" s="79"/>
      <c r="M12" s="82" t="s">
        <v>991</v>
      </c>
      <c r="N12" s="82" t="s">
        <v>431</v>
      </c>
      <c r="O12" s="82" t="s">
        <v>317</v>
      </c>
      <c r="P12" s="142">
        <v>0.2</v>
      </c>
      <c r="Q12" s="40">
        <f>SUMIF(Data_P!A:A,CONCATENATE(A12,"_",R$1),Data_P!J:J)</f>
        <v>2327.37</v>
      </c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  <c r="BU12" s="40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40"/>
      <c r="DE12" s="40"/>
      <c r="DF12" s="40"/>
      <c r="DG12" s="40"/>
      <c r="DH12" s="40"/>
      <c r="DI12" s="40"/>
      <c r="DJ12" s="40"/>
      <c r="DK12" s="40"/>
      <c r="DL12" s="40"/>
      <c r="DM12" s="40"/>
      <c r="DN12" s="40"/>
      <c r="DO12" s="40"/>
      <c r="DP12" s="40"/>
      <c r="DQ12" s="40"/>
      <c r="DR12" s="40"/>
      <c r="DS12" s="40"/>
      <c r="DT12" s="40"/>
      <c r="DU12" s="40"/>
      <c r="DV12" s="40"/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40"/>
      <c r="EW12" s="40"/>
      <c r="EX12" s="40"/>
      <c r="EY12" s="40"/>
      <c r="EZ12" s="40"/>
      <c r="FA12" s="40"/>
      <c r="FB12" s="40"/>
      <c r="FC12" s="40"/>
      <c r="FD12" s="40"/>
      <c r="FE12" s="40"/>
      <c r="FF12" s="40"/>
      <c r="FG12" s="40"/>
      <c r="FH12" s="40"/>
      <c r="FI12" s="40"/>
      <c r="FJ12" s="40"/>
      <c r="FK12" s="40"/>
      <c r="FL12" s="40"/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40"/>
      <c r="GO12" s="40"/>
      <c r="GP12" s="40"/>
      <c r="GQ12" s="40"/>
      <c r="GR12" s="40"/>
      <c r="GS12" s="40"/>
      <c r="GT12" s="40"/>
      <c r="GU12" s="40"/>
      <c r="GV12" s="40"/>
      <c r="GW12" s="40"/>
      <c r="GX12" s="40"/>
      <c r="GY12" s="40"/>
      <c r="GZ12" s="40"/>
      <c r="HA12" s="40"/>
      <c r="HB12" s="40"/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40"/>
      <c r="HT12" s="40"/>
      <c r="HU12" s="40"/>
    </row>
    <row r="13" spans="1:229" s="41" customFormat="1" ht="28.8" customHeight="1">
      <c r="A13" s="124" t="s">
        <v>2276</v>
      </c>
      <c r="B13" s="80"/>
      <c r="C13" s="80" t="s">
        <v>2277</v>
      </c>
      <c r="D13" s="80"/>
      <c r="E13" s="80"/>
      <c r="F13" s="80"/>
      <c r="G13" s="135"/>
      <c r="H13" s="81"/>
      <c r="I13" s="81"/>
      <c r="J13" s="79"/>
      <c r="K13" s="81"/>
      <c r="L13" s="79"/>
      <c r="M13" s="82"/>
      <c r="N13" s="82"/>
      <c r="O13" s="82"/>
      <c r="P13" s="142">
        <v>0.2</v>
      </c>
      <c r="Q13" s="40">
        <f>SUMIF(Data_P!A:A,CONCATENATE(A13,"_",R$1),Data_P!J:J)</f>
        <v>0</v>
      </c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40"/>
      <c r="DE13" s="40"/>
      <c r="DF13" s="40"/>
      <c r="DG13" s="40"/>
      <c r="DH13" s="40"/>
      <c r="DI13" s="40"/>
      <c r="DJ13" s="40"/>
      <c r="DK13" s="40"/>
      <c r="DL13" s="40"/>
      <c r="DM13" s="40"/>
      <c r="DN13" s="40"/>
      <c r="DO13" s="40"/>
      <c r="DP13" s="40"/>
      <c r="DQ13" s="40"/>
      <c r="DR13" s="40"/>
      <c r="DS13" s="40"/>
      <c r="DT13" s="40"/>
      <c r="DU13" s="40"/>
      <c r="DV13" s="40"/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40"/>
      <c r="EW13" s="40"/>
      <c r="EX13" s="40"/>
      <c r="EY13" s="40"/>
      <c r="EZ13" s="40"/>
      <c r="FA13" s="40"/>
      <c r="FB13" s="40"/>
      <c r="FC13" s="40"/>
      <c r="FD13" s="40"/>
      <c r="FE13" s="40"/>
      <c r="FF13" s="40"/>
      <c r="FG13" s="40"/>
      <c r="FH13" s="40"/>
      <c r="FI13" s="40"/>
      <c r="FJ13" s="40"/>
      <c r="FK13" s="40"/>
      <c r="FL13" s="40"/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40"/>
      <c r="GO13" s="40"/>
      <c r="GP13" s="40"/>
      <c r="GQ13" s="40"/>
      <c r="GR13" s="40"/>
      <c r="GS13" s="40"/>
      <c r="GT13" s="40"/>
      <c r="GU13" s="40"/>
      <c r="GV13" s="40"/>
      <c r="GW13" s="40"/>
      <c r="GX13" s="40"/>
      <c r="GY13" s="40"/>
      <c r="GZ13" s="40"/>
      <c r="HA13" s="40"/>
      <c r="HB13" s="40"/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40"/>
      <c r="HT13" s="40"/>
      <c r="HU13" s="40"/>
    </row>
    <row r="14" spans="1:229" s="41" customFormat="1" ht="28.8" customHeight="1">
      <c r="A14" s="124" t="s">
        <v>880</v>
      </c>
      <c r="B14" s="80" t="s">
        <v>2341</v>
      </c>
      <c r="C14" s="80" t="s">
        <v>2363</v>
      </c>
      <c r="D14" s="80" t="s">
        <v>2344</v>
      </c>
      <c r="E14" s="80" t="s">
        <v>1575</v>
      </c>
      <c r="F14" s="135" t="s">
        <v>2345</v>
      </c>
      <c r="G14" s="81" t="s">
        <v>2346</v>
      </c>
      <c r="H14" s="81">
        <v>0.4</v>
      </c>
      <c r="I14" s="81">
        <v>-0.05</v>
      </c>
      <c r="J14" s="79" t="s">
        <v>399</v>
      </c>
      <c r="K14" s="81"/>
      <c r="L14" s="79"/>
      <c r="M14" s="82" t="s">
        <v>2359</v>
      </c>
      <c r="N14" s="82" t="s">
        <v>262</v>
      </c>
      <c r="O14" s="82" t="s">
        <v>317</v>
      </c>
      <c r="P14" s="142">
        <v>0.2</v>
      </c>
      <c r="Q14" s="40">
        <f>SUMIF(Data_P!A:A,CONCATENATE(A14,"_",R$1),Data_P!J:J)</f>
        <v>595.49</v>
      </c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40"/>
      <c r="DE14" s="40"/>
      <c r="DF14" s="40"/>
      <c r="DG14" s="40"/>
      <c r="DH14" s="40"/>
      <c r="DI14" s="40"/>
      <c r="DJ14" s="40"/>
      <c r="DK14" s="40"/>
      <c r="DL14" s="40"/>
      <c r="DM14" s="40"/>
      <c r="DN14" s="40"/>
      <c r="DO14" s="40"/>
      <c r="DP14" s="40"/>
      <c r="DQ14" s="40"/>
      <c r="DR14" s="40"/>
      <c r="DS14" s="40"/>
      <c r="DT14" s="40"/>
      <c r="DU14" s="40"/>
      <c r="DV14" s="40"/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40"/>
      <c r="EW14" s="40"/>
      <c r="EX14" s="40"/>
      <c r="EY14" s="40"/>
      <c r="EZ14" s="40"/>
      <c r="FA14" s="40"/>
      <c r="FB14" s="40"/>
      <c r="FC14" s="40"/>
      <c r="FD14" s="40"/>
      <c r="FE14" s="40"/>
      <c r="FF14" s="40"/>
      <c r="FG14" s="40"/>
      <c r="FH14" s="40"/>
      <c r="FI14" s="40"/>
      <c r="FJ14" s="40"/>
      <c r="FK14" s="40"/>
      <c r="FL14" s="40"/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40"/>
      <c r="GO14" s="40"/>
      <c r="GP14" s="40"/>
      <c r="GQ14" s="40"/>
      <c r="GR14" s="40"/>
      <c r="GS14" s="40"/>
      <c r="GT14" s="40"/>
      <c r="GU14" s="40"/>
      <c r="GV14" s="40"/>
      <c r="GW14" s="40"/>
      <c r="GX14" s="40"/>
      <c r="GY14" s="40"/>
      <c r="GZ14" s="40"/>
      <c r="HA14" s="40"/>
      <c r="HB14" s="40"/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40"/>
      <c r="HT14" s="40"/>
      <c r="HU14" s="40"/>
    </row>
    <row r="15" spans="1:229" s="41" customFormat="1" ht="28.8" customHeight="1">
      <c r="A15" s="124" t="s">
        <v>1674</v>
      </c>
      <c r="B15" s="80" t="s">
        <v>917</v>
      </c>
      <c r="C15" s="80"/>
      <c r="D15" s="80" t="s">
        <v>918</v>
      </c>
      <c r="E15" s="80" t="s">
        <v>919</v>
      </c>
      <c r="F15" s="80" t="s">
        <v>920</v>
      </c>
      <c r="G15" s="135" t="s">
        <v>2169</v>
      </c>
      <c r="H15" s="81">
        <v>0.35</v>
      </c>
      <c r="I15" s="81"/>
      <c r="J15" s="79"/>
      <c r="K15" s="81"/>
      <c r="L15" s="79"/>
      <c r="M15" s="82" t="s">
        <v>856</v>
      </c>
      <c r="N15" s="82" t="s">
        <v>240</v>
      </c>
      <c r="O15" s="82" t="s">
        <v>316</v>
      </c>
      <c r="P15" s="142">
        <v>0.2</v>
      </c>
      <c r="Q15" s="40">
        <f>SUMIF(Data_P!A:A,CONCATENATE(A15,"_",R$1),Data_P!J:J)</f>
        <v>223.42</v>
      </c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0"/>
      <c r="BO15" s="40"/>
      <c r="BP15" s="40"/>
      <c r="BQ15" s="40"/>
      <c r="BR15" s="40"/>
      <c r="BS15" s="40"/>
      <c r="BT15" s="40"/>
      <c r="BU15" s="40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40"/>
      <c r="DE15" s="40"/>
      <c r="DF15" s="40"/>
      <c r="DG15" s="40"/>
      <c r="DH15" s="40"/>
      <c r="DI15" s="40"/>
      <c r="DJ15" s="40"/>
      <c r="DK15" s="40"/>
      <c r="DL15" s="40"/>
      <c r="DM15" s="40"/>
      <c r="DN15" s="40"/>
      <c r="DO15" s="40"/>
      <c r="DP15" s="40"/>
      <c r="DQ15" s="40"/>
      <c r="DR15" s="40"/>
      <c r="DS15" s="40"/>
      <c r="DT15" s="40"/>
      <c r="DU15" s="40"/>
      <c r="DV15" s="40"/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40"/>
      <c r="EW15" s="40"/>
      <c r="EX15" s="40"/>
      <c r="EY15" s="40"/>
      <c r="EZ15" s="40"/>
      <c r="FA15" s="40"/>
      <c r="FB15" s="40"/>
      <c r="FC15" s="40"/>
      <c r="FD15" s="40"/>
      <c r="FE15" s="40"/>
      <c r="FF15" s="40"/>
      <c r="FG15" s="40"/>
      <c r="FH15" s="40"/>
      <c r="FI15" s="40"/>
      <c r="FJ15" s="40"/>
      <c r="FK15" s="40"/>
      <c r="FL15" s="40"/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40"/>
      <c r="GO15" s="40"/>
      <c r="GP15" s="40"/>
      <c r="GQ15" s="40"/>
      <c r="GR15" s="40"/>
      <c r="GS15" s="40"/>
      <c r="GT15" s="40"/>
      <c r="GU15" s="40"/>
      <c r="GV15" s="40"/>
      <c r="GW15" s="40"/>
      <c r="GX15" s="40"/>
      <c r="GY15" s="40"/>
      <c r="GZ15" s="40"/>
      <c r="HA15" s="40"/>
      <c r="HB15" s="40"/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40"/>
      <c r="HT15" s="40"/>
      <c r="HU15" s="40"/>
    </row>
    <row r="16" spans="1:229" s="41" customFormat="1" ht="28.8" customHeight="1">
      <c r="A16" s="124" t="s">
        <v>1199</v>
      </c>
      <c r="B16" s="80" t="s">
        <v>1200</v>
      </c>
      <c r="C16" s="80"/>
      <c r="D16" s="80" t="s">
        <v>1201</v>
      </c>
      <c r="E16" s="80" t="s">
        <v>1202</v>
      </c>
      <c r="F16" s="80" t="s">
        <v>1203</v>
      </c>
      <c r="G16" s="135" t="s">
        <v>2044</v>
      </c>
      <c r="H16" s="81">
        <v>0.35</v>
      </c>
      <c r="I16" s="81"/>
      <c r="J16" s="79"/>
      <c r="K16" s="81"/>
      <c r="L16" s="79"/>
      <c r="M16" s="82" t="s">
        <v>856</v>
      </c>
      <c r="N16" s="82" t="s">
        <v>240</v>
      </c>
      <c r="O16" s="82" t="s">
        <v>316</v>
      </c>
      <c r="P16" s="142">
        <v>0.2</v>
      </c>
      <c r="Q16" s="40">
        <f>SUMIF(Data_P!A:A,CONCATENATE(A16,"_",R$1),Data_P!J:J)</f>
        <v>47.61</v>
      </c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0"/>
      <c r="BO16" s="40"/>
      <c r="BP16" s="40"/>
      <c r="BQ16" s="40"/>
      <c r="BR16" s="40"/>
      <c r="BS16" s="40"/>
      <c r="BT16" s="40"/>
      <c r="BU16" s="40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40"/>
      <c r="DB16" s="40"/>
      <c r="DC16" s="40"/>
      <c r="DD16" s="40"/>
      <c r="DE16" s="40"/>
      <c r="DF16" s="40"/>
      <c r="DG16" s="40"/>
      <c r="DH16" s="40"/>
      <c r="DI16" s="40"/>
      <c r="DJ16" s="40"/>
      <c r="DK16" s="40"/>
      <c r="DL16" s="40"/>
      <c r="DM16" s="40"/>
      <c r="DN16" s="40"/>
      <c r="DO16" s="40"/>
      <c r="DP16" s="40"/>
      <c r="DQ16" s="40"/>
      <c r="DR16" s="40"/>
      <c r="DS16" s="40"/>
      <c r="DT16" s="40"/>
      <c r="DU16" s="40"/>
      <c r="DV16" s="40"/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40"/>
      <c r="EW16" s="40"/>
      <c r="EX16" s="40"/>
      <c r="EY16" s="40"/>
      <c r="EZ16" s="40"/>
      <c r="FA16" s="40"/>
      <c r="FB16" s="40"/>
      <c r="FC16" s="40"/>
      <c r="FD16" s="40"/>
      <c r="FE16" s="40"/>
      <c r="FF16" s="40"/>
      <c r="FG16" s="40"/>
      <c r="FH16" s="40"/>
      <c r="FI16" s="40"/>
      <c r="FJ16" s="40"/>
      <c r="FK16" s="40"/>
      <c r="FL16" s="40"/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40"/>
      <c r="GD16" s="40"/>
      <c r="GE16" s="40"/>
      <c r="GF16" s="40"/>
      <c r="GG16" s="40"/>
      <c r="GH16" s="40"/>
      <c r="GI16" s="40"/>
      <c r="GJ16" s="40"/>
      <c r="GK16" s="40"/>
      <c r="GL16" s="40"/>
      <c r="GM16" s="40"/>
      <c r="GN16" s="40"/>
      <c r="GO16" s="40"/>
      <c r="GP16" s="40"/>
      <c r="GQ16" s="40"/>
      <c r="GR16" s="40"/>
      <c r="GS16" s="40"/>
      <c r="GT16" s="40"/>
      <c r="GU16" s="40"/>
      <c r="GV16" s="40"/>
      <c r="GW16" s="40"/>
      <c r="GX16" s="40"/>
      <c r="GY16" s="40"/>
      <c r="GZ16" s="40"/>
      <c r="HA16" s="40"/>
      <c r="HB16" s="40"/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40"/>
      <c r="HT16" s="40"/>
      <c r="HU16" s="40"/>
    </row>
    <row r="17" spans="1:229" s="41" customFormat="1" ht="28.8" customHeight="1">
      <c r="A17" s="124" t="s">
        <v>2045</v>
      </c>
      <c r="B17" s="80" t="s">
        <v>346</v>
      </c>
      <c r="C17" s="80"/>
      <c r="D17" s="80" t="s">
        <v>347</v>
      </c>
      <c r="E17" s="80" t="s">
        <v>348</v>
      </c>
      <c r="F17" s="80" t="s">
        <v>349</v>
      </c>
      <c r="G17" s="135" t="s">
        <v>2044</v>
      </c>
      <c r="H17" s="81">
        <v>0.35</v>
      </c>
      <c r="I17" s="81"/>
      <c r="J17" s="79"/>
      <c r="K17" s="81"/>
      <c r="L17" s="79"/>
      <c r="M17" s="82" t="s">
        <v>856</v>
      </c>
      <c r="N17" s="82" t="s">
        <v>240</v>
      </c>
      <c r="O17" s="82" t="s">
        <v>316</v>
      </c>
      <c r="P17" s="142">
        <v>0.2</v>
      </c>
      <c r="Q17" s="40">
        <f>SUMIF(Data_P!A:A,CONCATENATE(A17,"_",R$1),Data_P!J:J)</f>
        <v>767.9</v>
      </c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0"/>
      <c r="BO17" s="40"/>
      <c r="BP17" s="40"/>
      <c r="BQ17" s="40"/>
      <c r="BR17" s="40"/>
      <c r="BS17" s="40"/>
      <c r="BT17" s="40"/>
      <c r="BU17" s="40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40"/>
      <c r="DE17" s="40"/>
      <c r="DF17" s="40"/>
      <c r="DG17" s="40"/>
      <c r="DH17" s="40"/>
      <c r="DI17" s="40"/>
      <c r="DJ17" s="40"/>
      <c r="DK17" s="40"/>
      <c r="DL17" s="40"/>
      <c r="DM17" s="40"/>
      <c r="DN17" s="40"/>
      <c r="DO17" s="40"/>
      <c r="DP17" s="40"/>
      <c r="DQ17" s="40"/>
      <c r="DR17" s="40"/>
      <c r="DS17" s="40"/>
      <c r="DT17" s="40"/>
      <c r="DU17" s="40"/>
      <c r="DV17" s="40"/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40"/>
      <c r="EW17" s="40"/>
      <c r="EX17" s="40"/>
      <c r="EY17" s="40"/>
      <c r="EZ17" s="40"/>
      <c r="FA17" s="40"/>
      <c r="FB17" s="40"/>
      <c r="FC17" s="40"/>
      <c r="FD17" s="40"/>
      <c r="FE17" s="40"/>
      <c r="FF17" s="40"/>
      <c r="FG17" s="40"/>
      <c r="FH17" s="40"/>
      <c r="FI17" s="40"/>
      <c r="FJ17" s="40"/>
      <c r="FK17" s="40"/>
      <c r="FL17" s="40"/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40"/>
      <c r="GD17" s="40"/>
      <c r="GE17" s="40"/>
      <c r="GF17" s="40"/>
      <c r="GG17" s="40"/>
      <c r="GH17" s="40"/>
      <c r="GI17" s="40"/>
      <c r="GJ17" s="40"/>
      <c r="GK17" s="40"/>
      <c r="GL17" s="40"/>
      <c r="GM17" s="40"/>
      <c r="GN17" s="40"/>
      <c r="GO17" s="40"/>
      <c r="GP17" s="40"/>
      <c r="GQ17" s="40"/>
      <c r="GR17" s="40"/>
      <c r="GS17" s="40"/>
      <c r="GT17" s="40"/>
      <c r="GU17" s="40"/>
      <c r="GV17" s="40"/>
      <c r="GW17" s="40"/>
      <c r="GX17" s="40"/>
      <c r="GY17" s="40"/>
      <c r="GZ17" s="40"/>
      <c r="HA17" s="40"/>
      <c r="HB17" s="40"/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40"/>
      <c r="HT17" s="40"/>
      <c r="HU17" s="40"/>
    </row>
    <row r="18" spans="1:229" s="41" customFormat="1" ht="28.8" customHeight="1">
      <c r="A18" s="124" t="s">
        <v>2046</v>
      </c>
      <c r="B18" s="80" t="s">
        <v>625</v>
      </c>
      <c r="C18" s="80"/>
      <c r="D18" s="80" t="s">
        <v>626</v>
      </c>
      <c r="E18" s="80" t="s">
        <v>348</v>
      </c>
      <c r="F18" s="80" t="s">
        <v>627</v>
      </c>
      <c r="G18" s="135" t="s">
        <v>2044</v>
      </c>
      <c r="H18" s="81">
        <v>0.35</v>
      </c>
      <c r="I18" s="81"/>
      <c r="J18" s="79"/>
      <c r="K18" s="81"/>
      <c r="L18" s="79"/>
      <c r="M18" s="82" t="s">
        <v>856</v>
      </c>
      <c r="N18" s="82" t="s">
        <v>240</v>
      </c>
      <c r="O18" s="82" t="s">
        <v>316</v>
      </c>
      <c r="P18" s="142">
        <v>0.2</v>
      </c>
      <c r="Q18" s="40">
        <f>SUMIF(Data_P!A:A,CONCATENATE(A18,"_",R$1),Data_P!J:J)</f>
        <v>915.41</v>
      </c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0"/>
      <c r="BO18" s="40"/>
      <c r="BP18" s="40"/>
      <c r="BQ18" s="40"/>
      <c r="BR18" s="40"/>
      <c r="BS18" s="40"/>
      <c r="BT18" s="40"/>
      <c r="BU18" s="40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40"/>
      <c r="DB18" s="40"/>
      <c r="DC18" s="40"/>
      <c r="DD18" s="40"/>
      <c r="DE18" s="40"/>
      <c r="DF18" s="40"/>
      <c r="DG18" s="40"/>
      <c r="DH18" s="40"/>
      <c r="DI18" s="40"/>
      <c r="DJ18" s="40"/>
      <c r="DK18" s="40"/>
      <c r="DL18" s="40"/>
      <c r="DM18" s="40"/>
      <c r="DN18" s="40"/>
      <c r="DO18" s="40"/>
      <c r="DP18" s="40"/>
      <c r="DQ18" s="40"/>
      <c r="DR18" s="40"/>
      <c r="DS18" s="40"/>
      <c r="DT18" s="40"/>
      <c r="DU18" s="40"/>
      <c r="DV18" s="40"/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40"/>
      <c r="EW18" s="40"/>
      <c r="EX18" s="40"/>
      <c r="EY18" s="40"/>
      <c r="EZ18" s="40"/>
      <c r="FA18" s="40"/>
      <c r="FB18" s="40"/>
      <c r="FC18" s="40"/>
      <c r="FD18" s="40"/>
      <c r="FE18" s="40"/>
      <c r="FF18" s="40"/>
      <c r="FG18" s="40"/>
      <c r="FH18" s="40"/>
      <c r="FI18" s="40"/>
      <c r="FJ18" s="40"/>
      <c r="FK18" s="40"/>
      <c r="FL18" s="40"/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40"/>
      <c r="GD18" s="40"/>
      <c r="GE18" s="40"/>
      <c r="GF18" s="40"/>
      <c r="GG18" s="40"/>
      <c r="GH18" s="40"/>
      <c r="GI18" s="40"/>
      <c r="GJ18" s="40"/>
      <c r="GK18" s="40"/>
      <c r="GL18" s="40"/>
      <c r="GM18" s="40"/>
      <c r="GN18" s="40"/>
      <c r="GO18" s="40"/>
      <c r="GP18" s="40"/>
      <c r="GQ18" s="40"/>
      <c r="GR18" s="40"/>
      <c r="GS18" s="40"/>
      <c r="GT18" s="40"/>
      <c r="GU18" s="40"/>
      <c r="GV18" s="40"/>
      <c r="GW18" s="40"/>
      <c r="GX18" s="40"/>
      <c r="GY18" s="40"/>
      <c r="GZ18" s="40"/>
      <c r="HA18" s="40"/>
      <c r="HB18" s="40"/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40"/>
      <c r="HT18" s="40"/>
      <c r="HU18" s="40"/>
    </row>
    <row r="19" spans="1:229" s="41" customFormat="1" ht="28.8" customHeight="1">
      <c r="A19" s="124" t="s">
        <v>938</v>
      </c>
      <c r="B19" s="80" t="s">
        <v>921</v>
      </c>
      <c r="C19" s="80"/>
      <c r="D19" s="80" t="s">
        <v>922</v>
      </c>
      <c r="E19" s="80" t="s">
        <v>923</v>
      </c>
      <c r="F19" s="80" t="s">
        <v>924</v>
      </c>
      <c r="G19" s="135" t="s">
        <v>2044</v>
      </c>
      <c r="H19" s="81">
        <v>0.35</v>
      </c>
      <c r="I19" s="81"/>
      <c r="J19" s="79"/>
      <c r="K19" s="81"/>
      <c r="L19" s="79"/>
      <c r="M19" s="82" t="s">
        <v>856</v>
      </c>
      <c r="N19" s="82" t="s">
        <v>240</v>
      </c>
      <c r="O19" s="82" t="s">
        <v>316</v>
      </c>
      <c r="P19" s="142">
        <v>0.2</v>
      </c>
      <c r="Q19" s="40">
        <f>SUMIF(Data_P!A:A,CONCATENATE(A19,"_",R$1),Data_P!J:J)</f>
        <v>388.77</v>
      </c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0"/>
      <c r="DT19" s="40"/>
      <c r="DU19" s="40"/>
      <c r="DV19" s="40"/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  <c r="FA19" s="40"/>
      <c r="FB19" s="40"/>
      <c r="FC19" s="40"/>
      <c r="FD19" s="40"/>
      <c r="FE19" s="40"/>
      <c r="FF19" s="40"/>
      <c r="FG19" s="40"/>
      <c r="FH19" s="40"/>
      <c r="FI19" s="40"/>
      <c r="FJ19" s="40"/>
      <c r="FK19" s="40"/>
      <c r="FL19" s="40"/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40"/>
      <c r="GO19" s="40"/>
      <c r="GP19" s="40"/>
      <c r="GQ19" s="40"/>
      <c r="GR19" s="40"/>
      <c r="GS19" s="40"/>
      <c r="GT19" s="40"/>
      <c r="GU19" s="40"/>
      <c r="GV19" s="40"/>
      <c r="GW19" s="40"/>
      <c r="GX19" s="40"/>
      <c r="GY19" s="40"/>
      <c r="GZ19" s="40"/>
      <c r="HA19" s="40"/>
      <c r="HB19" s="40"/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40"/>
      <c r="HT19" s="40"/>
      <c r="HU19" s="40"/>
    </row>
    <row r="20" spans="1:229" s="41" customFormat="1" ht="28.8" customHeight="1">
      <c r="A20" s="124" t="s">
        <v>2149</v>
      </c>
      <c r="B20" s="80" t="s">
        <v>253</v>
      </c>
      <c r="C20" s="80"/>
      <c r="D20" s="80" t="s">
        <v>255</v>
      </c>
      <c r="E20" s="80" t="s">
        <v>256</v>
      </c>
      <c r="F20" s="80" t="s">
        <v>481</v>
      </c>
      <c r="G20" s="135" t="s">
        <v>2044</v>
      </c>
      <c r="H20" s="81">
        <v>0.35</v>
      </c>
      <c r="I20" s="81"/>
      <c r="J20" s="79"/>
      <c r="K20" s="81"/>
      <c r="L20" s="79"/>
      <c r="M20" s="82" t="s">
        <v>856</v>
      </c>
      <c r="N20" s="82" t="s">
        <v>240</v>
      </c>
      <c r="O20" s="82" t="s">
        <v>316</v>
      </c>
      <c r="P20" s="142">
        <v>0.2</v>
      </c>
      <c r="Q20" s="40">
        <f>SUMIF(Data_P!A:A,CONCATENATE(A20,"_",R$1),Data_P!J:J)</f>
        <v>884.97</v>
      </c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0"/>
      <c r="DT20" s="40"/>
      <c r="DU20" s="40"/>
      <c r="DV20" s="40"/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40"/>
      <c r="EW20" s="40"/>
      <c r="EX20" s="40"/>
      <c r="EY20" s="40"/>
      <c r="EZ20" s="40"/>
      <c r="FA20" s="40"/>
      <c r="FB20" s="40"/>
      <c r="FC20" s="40"/>
      <c r="FD20" s="40"/>
      <c r="FE20" s="40"/>
      <c r="FF20" s="40"/>
      <c r="FG20" s="40"/>
      <c r="FH20" s="40"/>
      <c r="FI20" s="40"/>
      <c r="FJ20" s="40"/>
      <c r="FK20" s="40"/>
      <c r="FL20" s="40"/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40"/>
      <c r="GD20" s="40"/>
      <c r="GE20" s="40"/>
      <c r="GF20" s="40"/>
      <c r="GG20" s="40"/>
      <c r="GH20" s="40"/>
      <c r="GI20" s="40"/>
      <c r="GJ20" s="40"/>
      <c r="GK20" s="40"/>
      <c r="GL20" s="40"/>
      <c r="GM20" s="40"/>
      <c r="GN20" s="40"/>
      <c r="GO20" s="40"/>
      <c r="GP20" s="40"/>
      <c r="GQ20" s="40"/>
      <c r="GR20" s="40"/>
      <c r="GS20" s="40"/>
      <c r="GT20" s="40"/>
      <c r="GU20" s="40"/>
      <c r="GV20" s="40"/>
      <c r="GW20" s="40"/>
      <c r="GX20" s="40"/>
      <c r="GY20" s="40"/>
      <c r="GZ20" s="40"/>
      <c r="HA20" s="40"/>
      <c r="HB20" s="40"/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40"/>
      <c r="HT20" s="40"/>
      <c r="HU20" s="40"/>
    </row>
    <row r="21" spans="1:229" s="41" customFormat="1" ht="28.8" customHeight="1">
      <c r="A21" s="124" t="s">
        <v>2150</v>
      </c>
      <c r="B21" s="80" t="s">
        <v>254</v>
      </c>
      <c r="C21" s="80"/>
      <c r="D21" s="80" t="s">
        <v>169</v>
      </c>
      <c r="E21" s="80" t="s">
        <v>170</v>
      </c>
      <c r="F21" s="80" t="s">
        <v>171</v>
      </c>
      <c r="G21" s="135" t="s">
        <v>2044</v>
      </c>
      <c r="H21" s="81">
        <v>0.35</v>
      </c>
      <c r="I21" s="81"/>
      <c r="J21" s="79"/>
      <c r="K21" s="81"/>
      <c r="L21" s="79"/>
      <c r="M21" s="82" t="s">
        <v>856</v>
      </c>
      <c r="N21" s="82" t="s">
        <v>240</v>
      </c>
      <c r="O21" s="82" t="s">
        <v>316</v>
      </c>
      <c r="P21" s="142">
        <v>0.2</v>
      </c>
      <c r="Q21" s="40">
        <f>SUMIF(Data_P!A:A,CONCATENATE(A21,"_",R$1),Data_P!J:J)</f>
        <v>722.31</v>
      </c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  <c r="BP21" s="40"/>
      <c r="BQ21" s="40"/>
      <c r="BR21" s="40"/>
      <c r="BS21" s="40"/>
      <c r="BT21" s="40"/>
      <c r="BU21" s="40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40"/>
      <c r="CX21" s="40"/>
      <c r="CY21" s="40"/>
      <c r="CZ21" s="40"/>
      <c r="DA21" s="40"/>
      <c r="DB21" s="40"/>
      <c r="DC21" s="40"/>
      <c r="DD21" s="40"/>
      <c r="DE21" s="40"/>
      <c r="DF21" s="40"/>
      <c r="DG21" s="40"/>
      <c r="DH21" s="40"/>
      <c r="DI21" s="40"/>
      <c r="DJ21" s="40"/>
      <c r="DK21" s="40"/>
      <c r="DL21" s="40"/>
      <c r="DM21" s="40"/>
      <c r="DN21" s="40"/>
      <c r="DO21" s="40"/>
      <c r="DP21" s="40"/>
      <c r="DQ21" s="40"/>
      <c r="DR21" s="40"/>
      <c r="DS21" s="40"/>
      <c r="DT21" s="40"/>
      <c r="DU21" s="40"/>
      <c r="DV21" s="40"/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  <c r="FA21" s="40"/>
      <c r="FB21" s="40"/>
      <c r="FC21" s="40"/>
      <c r="FD21" s="40"/>
      <c r="FE21" s="40"/>
      <c r="FF21" s="40"/>
      <c r="FG21" s="40"/>
      <c r="FH21" s="40"/>
      <c r="FI21" s="40"/>
      <c r="FJ21" s="40"/>
      <c r="FK21" s="40"/>
      <c r="FL21" s="40"/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40"/>
      <c r="GD21" s="40"/>
      <c r="GE21" s="40"/>
      <c r="GF21" s="40"/>
      <c r="GG21" s="40"/>
      <c r="GH21" s="40"/>
      <c r="GI21" s="40"/>
      <c r="GJ21" s="40"/>
      <c r="GK21" s="40"/>
      <c r="GL21" s="40"/>
      <c r="GM21" s="40"/>
      <c r="GN21" s="40"/>
      <c r="GO21" s="40"/>
      <c r="GP21" s="40"/>
      <c r="GQ21" s="40"/>
      <c r="GR21" s="40"/>
      <c r="GS21" s="40"/>
      <c r="GT21" s="40"/>
      <c r="GU21" s="40"/>
      <c r="GV21" s="40"/>
      <c r="GW21" s="40"/>
      <c r="GX21" s="40"/>
      <c r="GY21" s="40"/>
      <c r="GZ21" s="40"/>
      <c r="HA21" s="40"/>
      <c r="HB21" s="40"/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40"/>
      <c r="HT21" s="40"/>
      <c r="HU21" s="40"/>
    </row>
    <row r="22" spans="1:229" s="41" customFormat="1" ht="28.8" customHeight="1">
      <c r="A22" s="124" t="s">
        <v>1675</v>
      </c>
      <c r="B22" s="80" t="s">
        <v>522</v>
      </c>
      <c r="C22" s="80"/>
      <c r="D22" s="80" t="s">
        <v>523</v>
      </c>
      <c r="E22" s="80" t="s">
        <v>524</v>
      </c>
      <c r="F22" s="80" t="s">
        <v>525</v>
      </c>
      <c r="G22" s="135" t="s">
        <v>2044</v>
      </c>
      <c r="H22" s="81">
        <v>0.35</v>
      </c>
      <c r="I22" s="81">
        <v>-0.1</v>
      </c>
      <c r="J22" s="79" t="s">
        <v>399</v>
      </c>
      <c r="K22" s="81"/>
      <c r="L22" s="79"/>
      <c r="M22" s="82" t="s">
        <v>856</v>
      </c>
      <c r="N22" s="82" t="s">
        <v>240</v>
      </c>
      <c r="O22" s="82" t="s">
        <v>316</v>
      </c>
      <c r="P22" s="142">
        <v>0.2</v>
      </c>
      <c r="Q22" s="40">
        <f>SUMIF(Data_P!A:A,CONCATENATE(A22,"_",R$1),Data_P!J:J)</f>
        <v>245.19</v>
      </c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/>
      <c r="BQ22" s="40"/>
      <c r="BR22" s="40"/>
      <c r="BS22" s="40"/>
      <c r="BT22" s="40"/>
      <c r="BU22" s="40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40"/>
      <c r="CX22" s="40"/>
      <c r="CY22" s="40"/>
      <c r="CZ22" s="40"/>
      <c r="DA22" s="40"/>
      <c r="DB22" s="40"/>
      <c r="DC22" s="40"/>
      <c r="DD22" s="40"/>
      <c r="DE22" s="40"/>
      <c r="DF22" s="40"/>
      <c r="DG22" s="40"/>
      <c r="DH22" s="40"/>
      <c r="DI22" s="40"/>
      <c r="DJ22" s="40"/>
      <c r="DK22" s="40"/>
      <c r="DL22" s="40"/>
      <c r="DM22" s="40"/>
      <c r="DN22" s="40"/>
      <c r="DO22" s="40"/>
      <c r="DP22" s="40"/>
      <c r="DQ22" s="40"/>
      <c r="DR22" s="40"/>
      <c r="DS22" s="40"/>
      <c r="DT22" s="40"/>
      <c r="DU22" s="40"/>
      <c r="DV22" s="40"/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40"/>
      <c r="EN22" s="40"/>
      <c r="EO22" s="40"/>
      <c r="EP22" s="40"/>
      <c r="EQ22" s="40"/>
      <c r="ER22" s="40"/>
      <c r="ES22" s="40"/>
      <c r="ET22" s="40"/>
      <c r="EU22" s="40"/>
      <c r="EV22" s="40"/>
      <c r="EW22" s="40"/>
      <c r="EX22" s="40"/>
      <c r="EY22" s="40"/>
      <c r="EZ22" s="40"/>
      <c r="FA22" s="40"/>
      <c r="FB22" s="40"/>
      <c r="FC22" s="40"/>
      <c r="FD22" s="40"/>
      <c r="FE22" s="40"/>
      <c r="FF22" s="40"/>
      <c r="FG22" s="40"/>
      <c r="FH22" s="40"/>
      <c r="FI22" s="40"/>
      <c r="FJ22" s="40"/>
      <c r="FK22" s="40"/>
      <c r="FL22" s="40"/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40"/>
      <c r="GD22" s="40"/>
      <c r="GE22" s="40"/>
      <c r="GF22" s="40"/>
      <c r="GG22" s="40"/>
      <c r="GH22" s="40"/>
      <c r="GI22" s="40"/>
      <c r="GJ22" s="40"/>
      <c r="GK22" s="40"/>
      <c r="GL22" s="40"/>
      <c r="GM22" s="40"/>
      <c r="GN22" s="40"/>
      <c r="GO22" s="40"/>
      <c r="GP22" s="40"/>
      <c r="GQ22" s="40"/>
      <c r="GR22" s="40"/>
      <c r="GS22" s="40"/>
      <c r="GT22" s="40"/>
      <c r="GU22" s="40"/>
      <c r="GV22" s="40"/>
      <c r="GW22" s="40"/>
      <c r="GX22" s="40"/>
      <c r="GY22" s="40"/>
      <c r="GZ22" s="40"/>
      <c r="HA22" s="40"/>
      <c r="HB22" s="40"/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40"/>
      <c r="HT22" s="40"/>
      <c r="HU22" s="40"/>
    </row>
    <row r="23" spans="1:229" s="41" customFormat="1" ht="28.8" customHeight="1">
      <c r="A23" s="124" t="s">
        <v>2047</v>
      </c>
      <c r="B23" s="80" t="s">
        <v>1163</v>
      </c>
      <c r="C23" s="80" t="s">
        <v>1164</v>
      </c>
      <c r="D23" s="80" t="s">
        <v>1165</v>
      </c>
      <c r="E23" s="80" t="s">
        <v>1166</v>
      </c>
      <c r="F23" s="80" t="s">
        <v>1167</v>
      </c>
      <c r="G23" s="135" t="s">
        <v>2044</v>
      </c>
      <c r="H23" s="81">
        <v>0.35</v>
      </c>
      <c r="I23" s="81"/>
      <c r="J23" s="79"/>
      <c r="K23" s="81"/>
      <c r="L23" s="79"/>
      <c r="M23" s="82" t="s">
        <v>856</v>
      </c>
      <c r="N23" s="82" t="s">
        <v>240</v>
      </c>
      <c r="O23" s="82" t="s">
        <v>316</v>
      </c>
      <c r="P23" s="142">
        <v>0.2</v>
      </c>
      <c r="Q23" s="40">
        <f>SUMIF(Data_P!A:A,CONCATENATE(A23,"_",R$1),Data_P!J:J)</f>
        <v>621.02</v>
      </c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40"/>
      <c r="EN23" s="40"/>
      <c r="EO23" s="40"/>
      <c r="EP23" s="40"/>
      <c r="EQ23" s="40"/>
      <c r="ER23" s="40"/>
      <c r="ES23" s="40"/>
      <c r="ET23" s="40"/>
      <c r="EU23" s="40"/>
      <c r="EV23" s="40"/>
      <c r="EW23" s="40"/>
      <c r="EX23" s="40"/>
      <c r="EY23" s="40"/>
      <c r="EZ23" s="40"/>
      <c r="FA23" s="40"/>
      <c r="FB23" s="40"/>
      <c r="FC23" s="40"/>
      <c r="FD23" s="40"/>
      <c r="FE23" s="40"/>
      <c r="FF23" s="40"/>
      <c r="FG23" s="40"/>
      <c r="FH23" s="40"/>
      <c r="FI23" s="40"/>
      <c r="FJ23" s="40"/>
      <c r="FK23" s="40"/>
      <c r="FL23" s="40"/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40"/>
      <c r="GD23" s="40"/>
      <c r="GE23" s="40"/>
      <c r="GF23" s="40"/>
      <c r="GG23" s="40"/>
      <c r="GH23" s="40"/>
      <c r="GI23" s="40"/>
      <c r="GJ23" s="40"/>
      <c r="GK23" s="40"/>
      <c r="GL23" s="40"/>
      <c r="GM23" s="40"/>
      <c r="GN23" s="40"/>
      <c r="GO23" s="40"/>
      <c r="GP23" s="40"/>
      <c r="GQ23" s="40"/>
      <c r="GR23" s="40"/>
      <c r="GS23" s="40"/>
      <c r="GT23" s="40"/>
      <c r="GU23" s="40"/>
      <c r="GV23" s="40"/>
      <c r="GW23" s="40"/>
      <c r="GX23" s="40"/>
      <c r="GY23" s="40"/>
      <c r="GZ23" s="40"/>
      <c r="HA23" s="40"/>
      <c r="HB23" s="40"/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40"/>
      <c r="HT23" s="40"/>
      <c r="HU23" s="40"/>
    </row>
    <row r="24" spans="1:229" s="41" customFormat="1" ht="28.8" customHeight="1">
      <c r="A24" s="124" t="s">
        <v>1883</v>
      </c>
      <c r="B24" s="80" t="s">
        <v>451</v>
      </c>
      <c r="C24" s="80"/>
      <c r="D24" s="80" t="s">
        <v>1194</v>
      </c>
      <c r="E24" s="80" t="s">
        <v>1195</v>
      </c>
      <c r="F24" s="80" t="s">
        <v>1193</v>
      </c>
      <c r="G24" s="135" t="s">
        <v>1192</v>
      </c>
      <c r="H24" s="81">
        <v>0.25</v>
      </c>
      <c r="I24" s="81"/>
      <c r="J24" s="79"/>
      <c r="K24" s="81"/>
      <c r="L24" s="79"/>
      <c r="M24" s="82"/>
      <c r="N24" s="82"/>
      <c r="O24" s="82" t="s">
        <v>316</v>
      </c>
      <c r="P24" s="142">
        <v>0.2</v>
      </c>
      <c r="Q24" s="40">
        <f>SUMIF(Data_P!A:A,CONCATENATE(A24,"_",R$1),Data_P!J:J)</f>
        <v>60.4</v>
      </c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0"/>
      <c r="BO24" s="40"/>
      <c r="BP24" s="40"/>
      <c r="BQ24" s="40"/>
      <c r="BR24" s="40"/>
      <c r="BS24" s="40"/>
      <c r="BT24" s="40"/>
      <c r="BU24" s="40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0"/>
      <c r="CJ24" s="40"/>
      <c r="CK24" s="40"/>
      <c r="CL24" s="40"/>
      <c r="CM24" s="40"/>
      <c r="CN24" s="40"/>
      <c r="CO24" s="40"/>
      <c r="CP24" s="40"/>
      <c r="CQ24" s="40"/>
      <c r="CR24" s="40"/>
      <c r="CS24" s="40"/>
      <c r="CT24" s="40"/>
      <c r="CU24" s="40"/>
      <c r="CV24" s="40"/>
      <c r="CW24" s="40"/>
      <c r="CX24" s="40"/>
      <c r="CY24" s="40"/>
      <c r="CZ24" s="40"/>
      <c r="DA24" s="40"/>
      <c r="DB24" s="40"/>
      <c r="DC24" s="40"/>
      <c r="DD24" s="40"/>
      <c r="DE24" s="40"/>
      <c r="DF24" s="40"/>
      <c r="DG24" s="40"/>
      <c r="DH24" s="40"/>
      <c r="DI24" s="40"/>
      <c r="DJ24" s="40"/>
      <c r="DK24" s="40"/>
      <c r="DL24" s="40"/>
      <c r="DM24" s="40"/>
      <c r="DN24" s="40"/>
      <c r="DO24" s="40"/>
      <c r="DP24" s="40"/>
      <c r="DQ24" s="40"/>
      <c r="DR24" s="40"/>
      <c r="DS24" s="40"/>
      <c r="DT24" s="40"/>
      <c r="DU24" s="40"/>
      <c r="DV24" s="40"/>
      <c r="DW24" s="40"/>
      <c r="DX24" s="40"/>
      <c r="DY24" s="40"/>
      <c r="DZ24" s="40"/>
      <c r="EA24" s="40"/>
      <c r="EB24" s="40"/>
      <c r="EC24" s="40"/>
      <c r="ED24" s="40"/>
      <c r="EE24" s="40"/>
      <c r="EF24" s="40"/>
      <c r="EG24" s="40"/>
      <c r="EH24" s="40"/>
      <c r="EI24" s="40"/>
      <c r="EJ24" s="40"/>
      <c r="EK24" s="40"/>
      <c r="EL24" s="40"/>
      <c r="EM24" s="40"/>
      <c r="EN24" s="40"/>
      <c r="EO24" s="40"/>
      <c r="EP24" s="40"/>
      <c r="EQ24" s="40"/>
      <c r="ER24" s="40"/>
      <c r="ES24" s="40"/>
      <c r="ET24" s="40"/>
      <c r="EU24" s="40"/>
      <c r="EV24" s="40"/>
      <c r="EW24" s="40"/>
      <c r="EX24" s="40"/>
      <c r="EY24" s="40"/>
      <c r="EZ24" s="40"/>
      <c r="FA24" s="40"/>
      <c r="FB24" s="40"/>
      <c r="FC24" s="40"/>
      <c r="FD24" s="40"/>
      <c r="FE24" s="40"/>
      <c r="FF24" s="40"/>
      <c r="FG24" s="40"/>
      <c r="FH24" s="40"/>
      <c r="FI24" s="40"/>
      <c r="FJ24" s="40"/>
      <c r="FK24" s="40"/>
      <c r="FL24" s="40"/>
      <c r="FM24" s="40"/>
      <c r="FN24" s="40"/>
      <c r="FO24" s="40"/>
      <c r="FP24" s="40"/>
      <c r="FQ24" s="40"/>
      <c r="FR24" s="40"/>
      <c r="FS24" s="40"/>
      <c r="FT24" s="40"/>
      <c r="FU24" s="40"/>
      <c r="FV24" s="40"/>
      <c r="FW24" s="40"/>
      <c r="FX24" s="40"/>
      <c r="FY24" s="40"/>
      <c r="FZ24" s="40"/>
      <c r="GA24" s="40"/>
      <c r="GB24" s="40"/>
      <c r="GC24" s="40"/>
      <c r="GD24" s="40"/>
      <c r="GE24" s="40"/>
      <c r="GF24" s="40"/>
      <c r="GG24" s="40"/>
      <c r="GH24" s="40"/>
      <c r="GI24" s="40"/>
      <c r="GJ24" s="40"/>
      <c r="GK24" s="40"/>
      <c r="GL24" s="40"/>
      <c r="GM24" s="40"/>
      <c r="GN24" s="40"/>
      <c r="GO24" s="40"/>
      <c r="GP24" s="40"/>
      <c r="GQ24" s="40"/>
      <c r="GR24" s="40"/>
      <c r="GS24" s="40"/>
      <c r="GT24" s="40"/>
      <c r="GU24" s="40"/>
      <c r="GV24" s="40"/>
      <c r="GW24" s="40"/>
      <c r="GX24" s="40"/>
      <c r="GY24" s="40"/>
      <c r="GZ24" s="40"/>
      <c r="HA24" s="40"/>
      <c r="HB24" s="40"/>
      <c r="HC24" s="40"/>
      <c r="HD24" s="40"/>
      <c r="HE24" s="40"/>
      <c r="HF24" s="40"/>
      <c r="HG24" s="40"/>
      <c r="HH24" s="40"/>
      <c r="HI24" s="40"/>
      <c r="HJ24" s="40"/>
      <c r="HK24" s="40"/>
      <c r="HL24" s="40"/>
      <c r="HM24" s="40"/>
      <c r="HN24" s="40"/>
      <c r="HO24" s="40"/>
      <c r="HP24" s="40"/>
      <c r="HQ24" s="40"/>
      <c r="HR24" s="40"/>
      <c r="HS24" s="40"/>
      <c r="HT24" s="40"/>
      <c r="HU24" s="40"/>
    </row>
    <row r="25" spans="1:229" s="41" customFormat="1" ht="28.8" customHeight="1">
      <c r="A25" s="124" t="s">
        <v>2048</v>
      </c>
      <c r="B25" s="80" t="s">
        <v>1204</v>
      </c>
      <c r="C25" s="80" t="s">
        <v>1206</v>
      </c>
      <c r="D25" s="80" t="s">
        <v>1238</v>
      </c>
      <c r="E25" s="80" t="s">
        <v>1239</v>
      </c>
      <c r="F25" s="80" t="s">
        <v>1240</v>
      </c>
      <c r="G25" s="135" t="s">
        <v>1297</v>
      </c>
      <c r="H25" s="81">
        <v>0.4</v>
      </c>
      <c r="I25" s="81">
        <v>-0.05</v>
      </c>
      <c r="J25" s="79" t="s">
        <v>399</v>
      </c>
      <c r="K25" s="81">
        <v>-0.1</v>
      </c>
      <c r="L25" s="79" t="s">
        <v>1205</v>
      </c>
      <c r="M25" s="82" t="s">
        <v>1650</v>
      </c>
      <c r="N25" s="82" t="s">
        <v>1649</v>
      </c>
      <c r="O25" s="82" t="s">
        <v>317</v>
      </c>
      <c r="P25" s="142">
        <v>0.2</v>
      </c>
      <c r="Q25" s="40">
        <f>SUMIF(Data_P!A:A,CONCATENATE(A25,"_",R$1),Data_P!J:J)</f>
        <v>2055.64</v>
      </c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0"/>
      <c r="BO25" s="40"/>
      <c r="BP25" s="40"/>
      <c r="BQ25" s="40"/>
      <c r="BR25" s="40"/>
      <c r="BS25" s="40"/>
      <c r="BT25" s="40"/>
      <c r="BU25" s="40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0"/>
      <c r="CJ25" s="40"/>
      <c r="CK25" s="40"/>
      <c r="CL25" s="40"/>
      <c r="CM25" s="40"/>
      <c r="CN25" s="40"/>
      <c r="CO25" s="40"/>
      <c r="CP25" s="40"/>
      <c r="CQ25" s="40"/>
      <c r="CR25" s="40"/>
      <c r="CS25" s="40"/>
      <c r="CT25" s="40"/>
      <c r="CU25" s="40"/>
      <c r="CV25" s="40"/>
      <c r="CW25" s="40"/>
      <c r="CX25" s="40"/>
      <c r="CY25" s="40"/>
      <c r="CZ25" s="40"/>
      <c r="DA25" s="40"/>
      <c r="DB25" s="40"/>
      <c r="DC25" s="40"/>
      <c r="DD25" s="40"/>
      <c r="DE25" s="40"/>
      <c r="DF25" s="40"/>
      <c r="DG25" s="40"/>
      <c r="DH25" s="40"/>
      <c r="DI25" s="40"/>
      <c r="DJ25" s="40"/>
      <c r="DK25" s="40"/>
      <c r="DL25" s="40"/>
      <c r="DM25" s="40"/>
      <c r="DN25" s="40"/>
      <c r="DO25" s="40"/>
      <c r="DP25" s="40"/>
      <c r="DQ25" s="40"/>
      <c r="DR25" s="40"/>
      <c r="DS25" s="40"/>
      <c r="DT25" s="40"/>
      <c r="DU25" s="40"/>
      <c r="DV25" s="40"/>
      <c r="DW25" s="40"/>
      <c r="DX25" s="40"/>
      <c r="DY25" s="40"/>
      <c r="DZ25" s="40"/>
      <c r="EA25" s="40"/>
      <c r="EB25" s="40"/>
      <c r="EC25" s="40"/>
      <c r="ED25" s="40"/>
      <c r="EE25" s="40"/>
      <c r="EF25" s="40"/>
      <c r="EG25" s="40"/>
      <c r="EH25" s="40"/>
      <c r="EI25" s="40"/>
      <c r="EJ25" s="40"/>
      <c r="EK25" s="40"/>
      <c r="EL25" s="40"/>
      <c r="EM25" s="40"/>
      <c r="EN25" s="40"/>
      <c r="EO25" s="40"/>
      <c r="EP25" s="40"/>
      <c r="EQ25" s="40"/>
      <c r="ER25" s="40"/>
      <c r="ES25" s="40"/>
      <c r="ET25" s="40"/>
      <c r="EU25" s="40"/>
      <c r="EV25" s="40"/>
      <c r="EW25" s="40"/>
      <c r="EX25" s="40"/>
      <c r="EY25" s="40"/>
      <c r="EZ25" s="40"/>
      <c r="FA25" s="40"/>
      <c r="FB25" s="40"/>
      <c r="FC25" s="40"/>
      <c r="FD25" s="40"/>
      <c r="FE25" s="40"/>
      <c r="FF25" s="40"/>
      <c r="FG25" s="40"/>
      <c r="FH25" s="40"/>
      <c r="FI25" s="40"/>
      <c r="FJ25" s="40"/>
      <c r="FK25" s="40"/>
      <c r="FL25" s="40"/>
      <c r="FM25" s="40"/>
      <c r="FN25" s="40"/>
      <c r="FO25" s="40"/>
      <c r="FP25" s="40"/>
      <c r="FQ25" s="40"/>
      <c r="FR25" s="40"/>
      <c r="FS25" s="40"/>
      <c r="FT25" s="40"/>
      <c r="FU25" s="40"/>
      <c r="FV25" s="40"/>
      <c r="FW25" s="40"/>
      <c r="FX25" s="40"/>
      <c r="FY25" s="40"/>
      <c r="FZ25" s="40"/>
      <c r="GA25" s="40"/>
      <c r="GB25" s="40"/>
      <c r="GC25" s="40"/>
      <c r="GD25" s="40"/>
      <c r="GE25" s="40"/>
      <c r="GF25" s="40"/>
      <c r="GG25" s="40"/>
      <c r="GH25" s="40"/>
      <c r="GI25" s="40"/>
      <c r="GJ25" s="40"/>
      <c r="GK25" s="40"/>
      <c r="GL25" s="40"/>
      <c r="GM25" s="40"/>
      <c r="GN25" s="40"/>
      <c r="GO25" s="40"/>
      <c r="GP25" s="40"/>
      <c r="GQ25" s="40"/>
      <c r="GR25" s="40"/>
      <c r="GS25" s="40"/>
      <c r="GT25" s="40"/>
      <c r="GU25" s="40"/>
      <c r="GV25" s="40"/>
      <c r="GW25" s="40"/>
      <c r="GX25" s="40"/>
      <c r="GY25" s="40"/>
      <c r="GZ25" s="40"/>
      <c r="HA25" s="40"/>
      <c r="HB25" s="40"/>
      <c r="HC25" s="40"/>
      <c r="HD25" s="40"/>
      <c r="HE25" s="40"/>
      <c r="HF25" s="40"/>
      <c r="HG25" s="40"/>
      <c r="HH25" s="40"/>
      <c r="HI25" s="40"/>
      <c r="HJ25" s="40"/>
      <c r="HK25" s="40"/>
      <c r="HL25" s="40"/>
      <c r="HM25" s="40"/>
      <c r="HN25" s="40"/>
      <c r="HO25" s="40"/>
      <c r="HP25" s="40"/>
      <c r="HQ25" s="40"/>
      <c r="HR25" s="40"/>
      <c r="HS25" s="40"/>
      <c r="HT25" s="40"/>
      <c r="HU25" s="40"/>
    </row>
    <row r="26" spans="1:229" s="41" customFormat="1" ht="28.8" customHeight="1">
      <c r="A26" s="124" t="s">
        <v>2049</v>
      </c>
      <c r="B26" s="80" t="s">
        <v>1207</v>
      </c>
      <c r="C26" s="80"/>
      <c r="D26" s="80" t="s">
        <v>1326</v>
      </c>
      <c r="E26" s="80" t="s">
        <v>337</v>
      </c>
      <c r="F26" s="80" t="s">
        <v>1327</v>
      </c>
      <c r="G26" s="135" t="s">
        <v>2014</v>
      </c>
      <c r="H26" s="81">
        <v>0.4</v>
      </c>
      <c r="I26" s="81"/>
      <c r="J26" s="79"/>
      <c r="K26" s="81"/>
      <c r="L26" s="79"/>
      <c r="M26" s="82" t="s">
        <v>1423</v>
      </c>
      <c r="N26" s="82" t="s">
        <v>1424</v>
      </c>
      <c r="O26" s="82" t="s">
        <v>316</v>
      </c>
      <c r="P26" s="142">
        <v>0.2</v>
      </c>
      <c r="Q26" s="40">
        <f>SUMIF(Data_P!A:A,CONCATENATE(A26,"_",R$1),Data_P!J:J)</f>
        <v>2714.44</v>
      </c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0"/>
      <c r="CJ26" s="40"/>
      <c r="CK26" s="40"/>
      <c r="CL26" s="40"/>
      <c r="CM26" s="40"/>
      <c r="CN26" s="40"/>
      <c r="CO26" s="40"/>
      <c r="CP26" s="40"/>
      <c r="CQ26" s="40"/>
      <c r="CR26" s="40"/>
      <c r="CS26" s="40"/>
      <c r="CT26" s="40"/>
      <c r="CU26" s="40"/>
      <c r="CV26" s="40"/>
      <c r="CW26" s="40"/>
      <c r="CX26" s="40"/>
      <c r="CY26" s="40"/>
      <c r="CZ26" s="40"/>
      <c r="DA26" s="40"/>
      <c r="DB26" s="40"/>
      <c r="DC26" s="40"/>
      <c r="DD26" s="40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40"/>
      <c r="DP26" s="40"/>
      <c r="DQ26" s="40"/>
      <c r="DR26" s="40"/>
      <c r="DS26" s="40"/>
      <c r="DT26" s="40"/>
      <c r="DU26" s="40"/>
      <c r="DV26" s="40"/>
      <c r="DW26" s="40"/>
      <c r="DX26" s="40"/>
      <c r="DY26" s="40"/>
      <c r="DZ26" s="40"/>
      <c r="EA26" s="40"/>
      <c r="EB26" s="40"/>
      <c r="EC26" s="40"/>
      <c r="ED26" s="40"/>
      <c r="EE26" s="40"/>
      <c r="EF26" s="40"/>
      <c r="EG26" s="40"/>
      <c r="EH26" s="40"/>
      <c r="EI26" s="40"/>
      <c r="EJ26" s="40"/>
      <c r="EK26" s="40"/>
      <c r="EL26" s="40"/>
      <c r="EM26" s="40"/>
      <c r="EN26" s="40"/>
      <c r="EO26" s="40"/>
      <c r="EP26" s="40"/>
      <c r="EQ26" s="40"/>
      <c r="ER26" s="40"/>
      <c r="ES26" s="40"/>
      <c r="ET26" s="40"/>
      <c r="EU26" s="40"/>
      <c r="EV26" s="40"/>
      <c r="EW26" s="40"/>
      <c r="EX26" s="40"/>
      <c r="EY26" s="40"/>
      <c r="EZ26" s="40"/>
      <c r="FA26" s="40"/>
      <c r="FB26" s="40"/>
      <c r="FC26" s="40"/>
      <c r="FD26" s="40"/>
      <c r="FE26" s="40"/>
      <c r="FF26" s="40"/>
      <c r="FG26" s="40"/>
      <c r="FH26" s="40"/>
      <c r="FI26" s="40"/>
      <c r="FJ26" s="40"/>
      <c r="FK26" s="40"/>
      <c r="FL26" s="40"/>
      <c r="FM26" s="40"/>
      <c r="FN26" s="40"/>
      <c r="FO26" s="40"/>
      <c r="FP26" s="40"/>
      <c r="FQ26" s="40"/>
      <c r="FR26" s="40"/>
      <c r="FS26" s="40"/>
      <c r="FT26" s="40"/>
      <c r="FU26" s="40"/>
      <c r="FV26" s="40"/>
      <c r="FW26" s="40"/>
      <c r="FX26" s="40"/>
      <c r="FY26" s="40"/>
      <c r="FZ26" s="40"/>
      <c r="GA26" s="40"/>
      <c r="GB26" s="40"/>
      <c r="GC26" s="40"/>
      <c r="GD26" s="40"/>
      <c r="GE26" s="40"/>
      <c r="GF26" s="40"/>
      <c r="GG26" s="40"/>
      <c r="GH26" s="40"/>
      <c r="GI26" s="40"/>
      <c r="GJ26" s="40"/>
      <c r="GK26" s="40"/>
      <c r="GL26" s="40"/>
      <c r="GM26" s="40"/>
      <c r="GN26" s="40"/>
      <c r="GO26" s="40"/>
      <c r="GP26" s="40"/>
      <c r="GQ26" s="40"/>
      <c r="GR26" s="40"/>
      <c r="GS26" s="40"/>
      <c r="GT26" s="40"/>
      <c r="GU26" s="40"/>
      <c r="GV26" s="40"/>
      <c r="GW26" s="40"/>
      <c r="GX26" s="40"/>
      <c r="GY26" s="40"/>
      <c r="GZ26" s="40"/>
      <c r="HA26" s="40"/>
      <c r="HB26" s="40"/>
      <c r="HC26" s="40"/>
      <c r="HD26" s="40"/>
      <c r="HE26" s="40"/>
      <c r="HF26" s="40"/>
      <c r="HG26" s="40"/>
      <c r="HH26" s="40"/>
      <c r="HI26" s="40"/>
      <c r="HJ26" s="40"/>
      <c r="HK26" s="40"/>
      <c r="HL26" s="40"/>
      <c r="HM26" s="40"/>
      <c r="HN26" s="40"/>
      <c r="HO26" s="40"/>
      <c r="HP26" s="40"/>
      <c r="HQ26" s="40"/>
      <c r="HR26" s="40"/>
      <c r="HS26" s="40"/>
      <c r="HT26" s="40"/>
      <c r="HU26" s="40"/>
    </row>
    <row r="27" spans="1:229" s="41" customFormat="1" ht="28.8" customHeight="1">
      <c r="A27" s="124" t="s">
        <v>1175</v>
      </c>
      <c r="B27" s="80" t="s">
        <v>1231</v>
      </c>
      <c r="C27" s="80"/>
      <c r="D27" s="80"/>
      <c r="E27" s="80"/>
      <c r="F27" s="80"/>
      <c r="G27" s="135"/>
      <c r="H27" s="81"/>
      <c r="I27" s="81"/>
      <c r="J27" s="79"/>
      <c r="K27" s="81"/>
      <c r="L27" s="79"/>
      <c r="M27" s="82"/>
      <c r="N27" s="82"/>
      <c r="O27" s="82"/>
      <c r="P27" s="142">
        <v>0.2</v>
      </c>
      <c r="Q27" s="40">
        <f>SUMIF(Data_P!A:A,CONCATENATE(A27,"_",R$1),Data_P!J:J)</f>
        <v>-151.58000000000001</v>
      </c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40"/>
      <c r="CW27" s="40"/>
      <c r="CX27" s="40"/>
      <c r="CY27" s="40"/>
      <c r="CZ27" s="40"/>
      <c r="DA27" s="40"/>
      <c r="DB27" s="40"/>
      <c r="DC27" s="40"/>
      <c r="DD27" s="40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40"/>
      <c r="DP27" s="40"/>
      <c r="DQ27" s="40"/>
      <c r="DR27" s="40"/>
      <c r="DS27" s="40"/>
      <c r="DT27" s="40"/>
      <c r="DU27" s="40"/>
      <c r="DV27" s="40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40"/>
      <c r="ET27" s="40"/>
      <c r="EU27" s="40"/>
      <c r="EV27" s="40"/>
      <c r="EW27" s="40"/>
      <c r="EX27" s="40"/>
      <c r="EY27" s="40"/>
      <c r="EZ27" s="40"/>
      <c r="FA27" s="40"/>
      <c r="FB27" s="40"/>
      <c r="FC27" s="40"/>
      <c r="FD27" s="40"/>
      <c r="FE27" s="40"/>
      <c r="FF27" s="40"/>
      <c r="FG27" s="40"/>
      <c r="FH27" s="40"/>
      <c r="FI27" s="40"/>
      <c r="FJ27" s="40"/>
      <c r="FK27" s="40"/>
      <c r="FL27" s="40"/>
      <c r="FM27" s="40"/>
      <c r="FN27" s="40"/>
      <c r="FO27" s="40"/>
      <c r="FP27" s="40"/>
      <c r="FQ27" s="40"/>
      <c r="FR27" s="40"/>
      <c r="FS27" s="40"/>
      <c r="FT27" s="40"/>
      <c r="FU27" s="40"/>
      <c r="FV27" s="40"/>
      <c r="FW27" s="40"/>
      <c r="FX27" s="40"/>
      <c r="FY27" s="40"/>
      <c r="FZ27" s="40"/>
      <c r="GA27" s="40"/>
      <c r="GB27" s="40"/>
      <c r="GC27" s="40"/>
      <c r="GD27" s="40"/>
      <c r="GE27" s="40"/>
      <c r="GF27" s="40"/>
      <c r="GG27" s="40"/>
      <c r="GH27" s="40"/>
      <c r="GI27" s="40"/>
      <c r="GJ27" s="40"/>
      <c r="GK27" s="40"/>
      <c r="GL27" s="40"/>
      <c r="GM27" s="40"/>
      <c r="GN27" s="40"/>
      <c r="GO27" s="40"/>
      <c r="GP27" s="40"/>
      <c r="GQ27" s="40"/>
      <c r="GR27" s="40"/>
      <c r="GS27" s="40"/>
      <c r="GT27" s="40"/>
      <c r="GU27" s="40"/>
      <c r="GV27" s="40"/>
      <c r="GW27" s="40"/>
      <c r="GX27" s="40"/>
      <c r="GY27" s="40"/>
      <c r="GZ27" s="40"/>
      <c r="HA27" s="40"/>
      <c r="HB27" s="40"/>
      <c r="HC27" s="40"/>
      <c r="HD27" s="40"/>
      <c r="HE27" s="40"/>
      <c r="HF27" s="40"/>
      <c r="HG27" s="40"/>
      <c r="HH27" s="40"/>
      <c r="HI27" s="40"/>
      <c r="HJ27" s="40"/>
      <c r="HK27" s="40"/>
      <c r="HL27" s="40"/>
      <c r="HM27" s="40"/>
      <c r="HN27" s="40"/>
      <c r="HO27" s="40"/>
      <c r="HP27" s="40"/>
      <c r="HQ27" s="40"/>
      <c r="HR27" s="40"/>
      <c r="HS27" s="40"/>
      <c r="HT27" s="40"/>
      <c r="HU27" s="40"/>
    </row>
    <row r="28" spans="1:229" s="41" customFormat="1" ht="28.8" customHeight="1">
      <c r="A28" s="124" t="s">
        <v>2050</v>
      </c>
      <c r="B28" s="80" t="s">
        <v>1574</v>
      </c>
      <c r="C28" s="80"/>
      <c r="D28" s="80" t="s">
        <v>1582</v>
      </c>
      <c r="E28" s="80" t="s">
        <v>1575</v>
      </c>
      <c r="F28" s="80" t="s">
        <v>1576</v>
      </c>
      <c r="G28" s="135" t="s">
        <v>1577</v>
      </c>
      <c r="H28" s="81">
        <v>0.35</v>
      </c>
      <c r="I28" s="81">
        <v>-0.05</v>
      </c>
      <c r="J28" s="79" t="s">
        <v>399</v>
      </c>
      <c r="K28" s="81"/>
      <c r="L28" s="79"/>
      <c r="M28" s="82" t="s">
        <v>1597</v>
      </c>
      <c r="N28" s="82" t="s">
        <v>539</v>
      </c>
      <c r="O28" s="82" t="s">
        <v>316</v>
      </c>
      <c r="P28" s="142">
        <v>0.2</v>
      </c>
      <c r="Q28" s="40">
        <f>SUMIF(Data_P!A:A,CONCATENATE(A28,"_",R$1),Data_P!J:J)</f>
        <v>179.8</v>
      </c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  <c r="BU28" s="40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0"/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40"/>
      <c r="DB28" s="40"/>
      <c r="DC28" s="40"/>
      <c r="DD28" s="40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40"/>
      <c r="DP28" s="40"/>
      <c r="DQ28" s="40"/>
      <c r="DR28" s="40"/>
      <c r="DS28" s="40"/>
      <c r="DT28" s="40"/>
      <c r="DU28" s="40"/>
      <c r="DV28" s="40"/>
      <c r="DW28" s="40"/>
      <c r="DX28" s="40"/>
      <c r="DY28" s="40"/>
      <c r="DZ28" s="40"/>
      <c r="EA28" s="40"/>
      <c r="EB28" s="40"/>
      <c r="EC28" s="40"/>
      <c r="ED28" s="40"/>
      <c r="EE28" s="40"/>
      <c r="EF28" s="40"/>
      <c r="EG28" s="40"/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40"/>
      <c r="EV28" s="40"/>
      <c r="EW28" s="40"/>
      <c r="EX28" s="40"/>
      <c r="EY28" s="40"/>
      <c r="EZ28" s="40"/>
      <c r="FA28" s="40"/>
      <c r="FB28" s="40"/>
      <c r="FC28" s="40"/>
      <c r="FD28" s="40"/>
      <c r="FE28" s="40"/>
      <c r="FF28" s="40"/>
      <c r="FG28" s="40"/>
      <c r="FH28" s="40"/>
      <c r="FI28" s="40"/>
      <c r="FJ28" s="40"/>
      <c r="FK28" s="40"/>
      <c r="FL28" s="40"/>
      <c r="FM28" s="40"/>
      <c r="FN28" s="40"/>
      <c r="FO28" s="40"/>
      <c r="FP28" s="40"/>
      <c r="FQ28" s="40"/>
      <c r="FR28" s="40"/>
      <c r="FS28" s="40"/>
      <c r="FT28" s="40"/>
      <c r="FU28" s="40"/>
      <c r="FV28" s="40"/>
      <c r="FW28" s="40"/>
      <c r="FX28" s="40"/>
      <c r="FY28" s="40"/>
      <c r="FZ28" s="40"/>
      <c r="GA28" s="40"/>
      <c r="GB28" s="40"/>
      <c r="GC28" s="40"/>
      <c r="GD28" s="40"/>
      <c r="GE28" s="40"/>
      <c r="GF28" s="40"/>
      <c r="GG28" s="40"/>
      <c r="GH28" s="40"/>
      <c r="GI28" s="40"/>
      <c r="GJ28" s="40"/>
      <c r="GK28" s="40"/>
      <c r="GL28" s="40"/>
      <c r="GM28" s="40"/>
      <c r="GN28" s="40"/>
      <c r="GO28" s="40"/>
      <c r="GP28" s="40"/>
      <c r="GQ28" s="40"/>
      <c r="GR28" s="40"/>
      <c r="GS28" s="40"/>
      <c r="GT28" s="40"/>
      <c r="GU28" s="40"/>
      <c r="GV28" s="40"/>
      <c r="GW28" s="40"/>
      <c r="GX28" s="40"/>
      <c r="GY28" s="40"/>
      <c r="GZ28" s="40"/>
      <c r="HA28" s="40"/>
      <c r="HB28" s="40"/>
      <c r="HC28" s="40"/>
      <c r="HD28" s="40"/>
      <c r="HE28" s="40"/>
      <c r="HF28" s="40"/>
      <c r="HG28" s="40"/>
      <c r="HH28" s="40"/>
      <c r="HI28" s="40"/>
      <c r="HJ28" s="40"/>
      <c r="HK28" s="40"/>
      <c r="HL28" s="40"/>
      <c r="HM28" s="40"/>
      <c r="HN28" s="40"/>
      <c r="HO28" s="40"/>
      <c r="HP28" s="40"/>
      <c r="HQ28" s="40"/>
      <c r="HR28" s="40"/>
      <c r="HS28" s="40"/>
      <c r="HT28" s="40"/>
      <c r="HU28" s="40"/>
    </row>
    <row r="29" spans="1:229" s="41" customFormat="1" ht="28.8" customHeight="1">
      <c r="A29" s="124" t="s">
        <v>1692</v>
      </c>
      <c r="B29" s="80" t="s">
        <v>1693</v>
      </c>
      <c r="C29" s="80"/>
      <c r="D29" s="80" t="s">
        <v>1694</v>
      </c>
      <c r="E29" s="80" t="s">
        <v>1695</v>
      </c>
      <c r="F29" s="80" t="s">
        <v>1696</v>
      </c>
      <c r="G29" s="135" t="s">
        <v>1697</v>
      </c>
      <c r="H29" s="81">
        <v>0.4</v>
      </c>
      <c r="I29" s="81"/>
      <c r="J29" s="79"/>
      <c r="K29" s="81"/>
      <c r="L29" s="79"/>
      <c r="M29" s="82"/>
      <c r="N29" s="82"/>
      <c r="O29" s="82" t="s">
        <v>317</v>
      </c>
      <c r="P29" s="142">
        <v>0.2</v>
      </c>
      <c r="Q29" s="40">
        <f>SUMIF(Data_P!A:A,CONCATENATE(A29,"_",R$1),Data_P!J:J)</f>
        <v>425.78</v>
      </c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40"/>
      <c r="BP29" s="40"/>
      <c r="BQ29" s="40"/>
      <c r="BR29" s="40"/>
      <c r="BS29" s="40"/>
      <c r="BT29" s="40"/>
      <c r="BU29" s="40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0"/>
      <c r="CJ29" s="40"/>
      <c r="CK29" s="40"/>
      <c r="CL29" s="40"/>
      <c r="CM29" s="40"/>
      <c r="CN29" s="40"/>
      <c r="CO29" s="40"/>
      <c r="CP29" s="40"/>
      <c r="CQ29" s="40"/>
      <c r="CR29" s="40"/>
      <c r="CS29" s="40"/>
      <c r="CT29" s="40"/>
      <c r="CU29" s="40"/>
      <c r="CV29" s="40"/>
      <c r="CW29" s="40"/>
      <c r="CX29" s="40"/>
      <c r="CY29" s="40"/>
      <c r="CZ29" s="40"/>
      <c r="DA29" s="40"/>
      <c r="DB29" s="40"/>
      <c r="DC29" s="40"/>
      <c r="DD29" s="40"/>
      <c r="DE29" s="40"/>
      <c r="DF29" s="40"/>
      <c r="DG29" s="40"/>
      <c r="DH29" s="40"/>
      <c r="DI29" s="40"/>
      <c r="DJ29" s="40"/>
      <c r="DK29" s="40"/>
      <c r="DL29" s="40"/>
      <c r="DM29" s="40"/>
      <c r="DN29" s="40"/>
      <c r="DO29" s="40"/>
      <c r="DP29" s="40"/>
      <c r="DQ29" s="40"/>
      <c r="DR29" s="40"/>
      <c r="DS29" s="40"/>
      <c r="DT29" s="40"/>
      <c r="DU29" s="40"/>
      <c r="DV29" s="40"/>
      <c r="DW29" s="40"/>
      <c r="DX29" s="40"/>
      <c r="DY29" s="40"/>
      <c r="DZ29" s="40"/>
      <c r="EA29" s="40"/>
      <c r="EB29" s="40"/>
      <c r="EC29" s="40"/>
      <c r="ED29" s="40"/>
      <c r="EE29" s="40"/>
      <c r="EF29" s="40"/>
      <c r="EG29" s="40"/>
      <c r="EH29" s="40"/>
      <c r="EI29" s="40"/>
      <c r="EJ29" s="40"/>
      <c r="EK29" s="40"/>
      <c r="EL29" s="40"/>
      <c r="EM29" s="40"/>
      <c r="EN29" s="40"/>
      <c r="EO29" s="40"/>
      <c r="EP29" s="40"/>
      <c r="EQ29" s="40"/>
      <c r="ER29" s="40"/>
      <c r="ES29" s="40"/>
      <c r="ET29" s="40"/>
      <c r="EU29" s="40"/>
      <c r="EV29" s="40"/>
      <c r="EW29" s="40"/>
      <c r="EX29" s="40"/>
      <c r="EY29" s="40"/>
      <c r="EZ29" s="40"/>
      <c r="FA29" s="40"/>
      <c r="FB29" s="40"/>
      <c r="FC29" s="40"/>
      <c r="FD29" s="40"/>
      <c r="FE29" s="40"/>
      <c r="FF29" s="40"/>
      <c r="FG29" s="40"/>
      <c r="FH29" s="40"/>
      <c r="FI29" s="40"/>
      <c r="FJ29" s="40"/>
      <c r="FK29" s="40"/>
      <c r="FL29" s="40"/>
      <c r="FM29" s="40"/>
      <c r="FN29" s="40"/>
      <c r="FO29" s="40"/>
      <c r="FP29" s="40"/>
      <c r="FQ29" s="40"/>
      <c r="FR29" s="40"/>
      <c r="FS29" s="40"/>
      <c r="FT29" s="40"/>
      <c r="FU29" s="40"/>
      <c r="FV29" s="40"/>
      <c r="FW29" s="40"/>
      <c r="FX29" s="40"/>
      <c r="FY29" s="40"/>
      <c r="FZ29" s="40"/>
      <c r="GA29" s="40"/>
      <c r="GB29" s="40"/>
      <c r="GC29" s="40"/>
      <c r="GD29" s="40"/>
      <c r="GE29" s="40"/>
      <c r="GF29" s="40"/>
      <c r="GG29" s="40"/>
      <c r="GH29" s="40"/>
      <c r="GI29" s="40"/>
      <c r="GJ29" s="40"/>
      <c r="GK29" s="40"/>
      <c r="GL29" s="40"/>
      <c r="GM29" s="40"/>
      <c r="GN29" s="40"/>
      <c r="GO29" s="40"/>
      <c r="GP29" s="40"/>
      <c r="GQ29" s="40"/>
      <c r="GR29" s="40"/>
      <c r="GS29" s="40"/>
      <c r="GT29" s="40"/>
      <c r="GU29" s="40"/>
      <c r="GV29" s="40"/>
      <c r="GW29" s="40"/>
      <c r="GX29" s="40"/>
      <c r="GY29" s="40"/>
      <c r="GZ29" s="40"/>
      <c r="HA29" s="40"/>
      <c r="HB29" s="40"/>
      <c r="HC29" s="40"/>
      <c r="HD29" s="40"/>
      <c r="HE29" s="40"/>
      <c r="HF29" s="40"/>
      <c r="HG29" s="40"/>
      <c r="HH29" s="40"/>
      <c r="HI29" s="40"/>
      <c r="HJ29" s="40"/>
      <c r="HK29" s="40"/>
      <c r="HL29" s="40"/>
      <c r="HM29" s="40"/>
      <c r="HN29" s="40"/>
      <c r="HO29" s="40"/>
      <c r="HP29" s="40"/>
      <c r="HQ29" s="40"/>
      <c r="HR29" s="40"/>
      <c r="HS29" s="40"/>
      <c r="HT29" s="40"/>
      <c r="HU29" s="40"/>
    </row>
    <row r="30" spans="1:229" s="41" customFormat="1" ht="28.8" customHeight="1">
      <c r="A30" s="124" t="s">
        <v>471</v>
      </c>
      <c r="B30" s="80" t="s">
        <v>486</v>
      </c>
      <c r="C30" s="80"/>
      <c r="D30" s="80" t="s">
        <v>487</v>
      </c>
      <c r="E30" s="80" t="s">
        <v>188</v>
      </c>
      <c r="F30" s="80" t="s">
        <v>488</v>
      </c>
      <c r="G30" s="135" t="s">
        <v>489</v>
      </c>
      <c r="H30" s="81">
        <v>0.45</v>
      </c>
      <c r="I30" s="81">
        <v>-0.1</v>
      </c>
      <c r="J30" s="79" t="s">
        <v>399</v>
      </c>
      <c r="K30" s="81">
        <v>-0.05</v>
      </c>
      <c r="L30" s="79" t="s">
        <v>490</v>
      </c>
      <c r="M30" s="82" t="s">
        <v>1392</v>
      </c>
      <c r="N30" s="82" t="s">
        <v>539</v>
      </c>
      <c r="O30" s="82" t="s">
        <v>317</v>
      </c>
      <c r="P30" s="142">
        <v>0.2</v>
      </c>
      <c r="Q30" s="40">
        <f>SUMIF(Data_P!A:A,CONCATENATE(A30,"_",R$1),Data_P!J:J)</f>
        <v>2275.2599999999998</v>
      </c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</row>
    <row r="31" spans="1:229" s="41" customFormat="1" ht="28.8" customHeight="1">
      <c r="A31" s="124" t="s">
        <v>471</v>
      </c>
      <c r="B31" s="80" t="s">
        <v>486</v>
      </c>
      <c r="C31" s="80" t="s">
        <v>2365</v>
      </c>
      <c r="D31" s="80" t="s">
        <v>487</v>
      </c>
      <c r="E31" s="80" t="s">
        <v>188</v>
      </c>
      <c r="F31" s="135" t="s">
        <v>488</v>
      </c>
      <c r="G31" s="81" t="s">
        <v>489</v>
      </c>
      <c r="H31" s="81">
        <v>0.45</v>
      </c>
      <c r="I31" s="81">
        <v>-0.1</v>
      </c>
      <c r="J31" s="79" t="s">
        <v>399</v>
      </c>
      <c r="K31" s="81">
        <v>-0.05</v>
      </c>
      <c r="L31" s="79" t="s">
        <v>490</v>
      </c>
      <c r="M31" s="82"/>
      <c r="N31" s="82"/>
      <c r="O31" s="82" t="s">
        <v>317</v>
      </c>
      <c r="P31" s="142">
        <v>0.2</v>
      </c>
      <c r="Q31" s="40">
        <f>SUMIF(Data_P!A:A,CONCATENATE(A31,"_",R$1),Data_P!J:J)</f>
        <v>2275.2599999999998</v>
      </c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</row>
    <row r="32" spans="1:229" s="41" customFormat="1" ht="28.8" customHeight="1">
      <c r="A32" s="124" t="s">
        <v>952</v>
      </c>
      <c r="B32" s="80" t="s">
        <v>955</v>
      </c>
      <c r="C32" s="80"/>
      <c r="D32" s="80" t="s">
        <v>953</v>
      </c>
      <c r="E32" s="80" t="s">
        <v>871</v>
      </c>
      <c r="F32" s="80" t="s">
        <v>956</v>
      </c>
      <c r="G32" s="135" t="s">
        <v>180</v>
      </c>
      <c r="H32" s="81">
        <v>0.2</v>
      </c>
      <c r="I32" s="81"/>
      <c r="J32" s="79"/>
      <c r="K32" s="81"/>
      <c r="L32" s="79"/>
      <c r="M32" s="82" t="s">
        <v>954</v>
      </c>
      <c r="N32" s="82" t="s">
        <v>373</v>
      </c>
      <c r="O32" s="82" t="s">
        <v>316</v>
      </c>
      <c r="P32" s="142">
        <v>0.2</v>
      </c>
      <c r="Q32" s="40">
        <f>SUMIF(Data_P!A:A,CONCATENATE(A32,"_",R$1),Data_P!J:J)</f>
        <v>0</v>
      </c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  <c r="BU32" s="40"/>
      <c r="BV32" s="40"/>
      <c r="BW32" s="40"/>
      <c r="BX32" s="40"/>
      <c r="BY32" s="40"/>
      <c r="BZ32" s="40"/>
      <c r="CA32" s="40"/>
      <c r="CB32" s="40"/>
      <c r="CC32" s="40"/>
      <c r="CD32" s="40"/>
      <c r="CE32" s="40"/>
      <c r="CF32" s="40"/>
      <c r="CG32" s="40"/>
      <c r="CH32" s="40"/>
      <c r="CI32" s="40"/>
      <c r="CJ32" s="40"/>
      <c r="CK32" s="40"/>
      <c r="CL32" s="40"/>
      <c r="CM32" s="40"/>
      <c r="CN32" s="40"/>
      <c r="CO32" s="40"/>
      <c r="CP32" s="40"/>
      <c r="CQ32" s="40"/>
      <c r="CR32" s="40"/>
      <c r="CS32" s="40"/>
      <c r="CT32" s="40"/>
      <c r="CU32" s="40"/>
      <c r="CV32" s="40"/>
      <c r="CW32" s="40"/>
      <c r="CX32" s="40"/>
      <c r="CY32" s="40"/>
      <c r="CZ32" s="40"/>
      <c r="DA32" s="40"/>
      <c r="DB32" s="40"/>
      <c r="DC32" s="40"/>
      <c r="DD32" s="40"/>
      <c r="DE32" s="40"/>
      <c r="DF32" s="40"/>
      <c r="DG32" s="40"/>
      <c r="DH32" s="40"/>
      <c r="DI32" s="40"/>
      <c r="DJ32" s="40"/>
      <c r="DK32" s="40"/>
      <c r="DL32" s="40"/>
      <c r="DM32" s="40"/>
      <c r="DN32" s="40"/>
      <c r="DO32" s="40"/>
      <c r="DP32" s="40"/>
      <c r="DQ32" s="40"/>
      <c r="DR32" s="40"/>
      <c r="DS32" s="40"/>
      <c r="DT32" s="40"/>
      <c r="DU32" s="40"/>
      <c r="DV32" s="40"/>
      <c r="DW32" s="40"/>
      <c r="DX32" s="40"/>
      <c r="DY32" s="40"/>
      <c r="DZ32" s="40"/>
      <c r="EA32" s="40"/>
      <c r="EB32" s="40"/>
      <c r="EC32" s="40"/>
      <c r="ED32" s="40"/>
      <c r="EE32" s="40"/>
      <c r="EF32" s="40"/>
      <c r="EG32" s="40"/>
      <c r="EH32" s="40"/>
      <c r="EI32" s="40"/>
      <c r="EJ32" s="40"/>
      <c r="EK32" s="40"/>
      <c r="EL32" s="40"/>
      <c r="EM32" s="40"/>
      <c r="EN32" s="40"/>
      <c r="EO32" s="40"/>
      <c r="EP32" s="40"/>
      <c r="EQ32" s="40"/>
      <c r="ER32" s="40"/>
      <c r="ES32" s="40"/>
      <c r="ET32" s="40"/>
      <c r="EU32" s="40"/>
      <c r="EV32" s="40"/>
      <c r="EW32" s="40"/>
      <c r="EX32" s="40"/>
      <c r="EY32" s="40"/>
      <c r="EZ32" s="40"/>
      <c r="FA32" s="40"/>
      <c r="FB32" s="40"/>
      <c r="FC32" s="40"/>
      <c r="FD32" s="40"/>
      <c r="FE32" s="40"/>
      <c r="FF32" s="40"/>
      <c r="FG32" s="40"/>
      <c r="FH32" s="40"/>
      <c r="FI32" s="40"/>
      <c r="FJ32" s="40"/>
      <c r="FK32" s="40"/>
      <c r="FL32" s="40"/>
      <c r="FM32" s="40"/>
      <c r="FN32" s="40"/>
      <c r="FO32" s="40"/>
      <c r="FP32" s="40"/>
      <c r="FQ32" s="40"/>
      <c r="FR32" s="40"/>
      <c r="FS32" s="40"/>
      <c r="FT32" s="40"/>
      <c r="FU32" s="40"/>
      <c r="FV32" s="40"/>
      <c r="FW32" s="40"/>
      <c r="FX32" s="40"/>
      <c r="FY32" s="40"/>
      <c r="FZ32" s="40"/>
      <c r="GA32" s="40"/>
      <c r="GB32" s="40"/>
      <c r="GC32" s="40"/>
      <c r="GD32" s="40"/>
      <c r="GE32" s="40"/>
      <c r="GF32" s="40"/>
      <c r="GG32" s="40"/>
      <c r="GH32" s="40"/>
      <c r="GI32" s="40"/>
      <c r="GJ32" s="40"/>
      <c r="GK32" s="40"/>
      <c r="GL32" s="40"/>
      <c r="GM32" s="40"/>
      <c r="GN32" s="40"/>
      <c r="GO32" s="40"/>
      <c r="GP32" s="40"/>
      <c r="GQ32" s="40"/>
      <c r="GR32" s="40"/>
      <c r="GS32" s="40"/>
      <c r="GT32" s="40"/>
      <c r="GU32" s="40"/>
      <c r="GV32" s="40"/>
      <c r="GW32" s="40"/>
      <c r="GX32" s="40"/>
      <c r="GY32" s="40"/>
      <c r="GZ32" s="40"/>
      <c r="HA32" s="40"/>
      <c r="HB32" s="40"/>
      <c r="HC32" s="40"/>
      <c r="HD32" s="40"/>
      <c r="HE32" s="40"/>
      <c r="HF32" s="40"/>
      <c r="HG32" s="40"/>
      <c r="HH32" s="40"/>
      <c r="HI32" s="40"/>
      <c r="HJ32" s="40"/>
      <c r="HK32" s="40"/>
      <c r="HL32" s="40"/>
      <c r="HM32" s="40"/>
      <c r="HN32" s="40"/>
      <c r="HO32" s="40"/>
      <c r="HP32" s="40"/>
      <c r="HQ32" s="40"/>
      <c r="HR32" s="40"/>
      <c r="HS32" s="40"/>
      <c r="HT32" s="40"/>
      <c r="HU32" s="40"/>
    </row>
    <row r="33" spans="1:229" s="41" customFormat="1" ht="28.8" customHeight="1">
      <c r="A33" s="124" t="s">
        <v>984</v>
      </c>
      <c r="B33" s="80" t="s">
        <v>985</v>
      </c>
      <c r="C33" s="80"/>
      <c r="D33" s="80" t="s">
        <v>986</v>
      </c>
      <c r="E33" s="80" t="s">
        <v>211</v>
      </c>
      <c r="F33" s="80" t="s">
        <v>987</v>
      </c>
      <c r="G33" s="135" t="s">
        <v>2015</v>
      </c>
      <c r="H33" s="81">
        <v>0.2</v>
      </c>
      <c r="I33" s="81"/>
      <c r="J33" s="79"/>
      <c r="K33" s="81"/>
      <c r="L33" s="79"/>
      <c r="M33" s="82" t="s">
        <v>1150</v>
      </c>
      <c r="N33" s="82" t="s">
        <v>294</v>
      </c>
      <c r="O33" s="82" t="s">
        <v>316</v>
      </c>
      <c r="P33" s="142">
        <v>0.2</v>
      </c>
      <c r="Q33" s="40">
        <f>SUMIF(Data_P!A:A,CONCATENATE(A33,"_",R$1),Data_P!J:J)</f>
        <v>0</v>
      </c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0"/>
      <c r="BM33" s="40"/>
      <c r="BN33" s="40"/>
      <c r="BO33" s="40"/>
      <c r="BP33" s="40"/>
      <c r="BQ33" s="40"/>
      <c r="BR33" s="40"/>
      <c r="BS33" s="40"/>
      <c r="BT33" s="40"/>
      <c r="BU33" s="40"/>
      <c r="BV33" s="40"/>
      <c r="BW33" s="40"/>
      <c r="BX33" s="40"/>
      <c r="BY33" s="40"/>
      <c r="BZ33" s="40"/>
      <c r="CA33" s="40"/>
      <c r="CB33" s="40"/>
      <c r="CC33" s="40"/>
      <c r="CD33" s="40"/>
      <c r="CE33" s="40"/>
      <c r="CF33" s="40"/>
      <c r="CG33" s="40"/>
      <c r="CH33" s="40"/>
      <c r="CI33" s="40"/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40"/>
      <c r="CW33" s="40"/>
      <c r="CX33" s="40"/>
      <c r="CY33" s="40"/>
      <c r="CZ33" s="40"/>
      <c r="DA33" s="40"/>
      <c r="DB33" s="40"/>
      <c r="DC33" s="40"/>
      <c r="DD33" s="40"/>
      <c r="DE33" s="40"/>
      <c r="DF33" s="40"/>
      <c r="DG33" s="40"/>
      <c r="DH33" s="40"/>
      <c r="DI33" s="40"/>
      <c r="DJ33" s="40"/>
      <c r="DK33" s="40"/>
      <c r="DL33" s="40"/>
      <c r="DM33" s="40"/>
      <c r="DN33" s="40"/>
      <c r="DO33" s="40"/>
      <c r="DP33" s="40"/>
      <c r="DQ33" s="40"/>
      <c r="DR33" s="40"/>
      <c r="DS33" s="40"/>
      <c r="DT33" s="40"/>
      <c r="DU33" s="40"/>
      <c r="DV33" s="40"/>
      <c r="DW33" s="40"/>
      <c r="DX33" s="40"/>
      <c r="DY33" s="40"/>
      <c r="DZ33" s="40"/>
      <c r="EA33" s="40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/>
      <c r="EO33" s="40"/>
      <c r="EP33" s="40"/>
      <c r="EQ33" s="40"/>
      <c r="ER33" s="40"/>
      <c r="ES33" s="40"/>
      <c r="ET33" s="40"/>
      <c r="EU33" s="40"/>
      <c r="EV33" s="40"/>
      <c r="EW33" s="40"/>
      <c r="EX33" s="40"/>
      <c r="EY33" s="40"/>
      <c r="EZ33" s="40"/>
      <c r="FA33" s="40"/>
      <c r="FB33" s="40"/>
      <c r="FC33" s="40"/>
      <c r="FD33" s="40"/>
      <c r="FE33" s="40"/>
      <c r="FF33" s="40"/>
      <c r="FG33" s="40"/>
      <c r="FH33" s="40"/>
      <c r="FI33" s="40"/>
      <c r="FJ33" s="40"/>
      <c r="FK33" s="40"/>
      <c r="FL33" s="40"/>
      <c r="FM33" s="40"/>
      <c r="FN33" s="40"/>
      <c r="FO33" s="40"/>
      <c r="FP33" s="40"/>
      <c r="FQ33" s="40"/>
      <c r="FR33" s="40"/>
      <c r="FS33" s="40"/>
      <c r="FT33" s="40"/>
      <c r="FU33" s="40"/>
      <c r="FV33" s="40"/>
      <c r="FW33" s="40"/>
      <c r="FX33" s="40"/>
      <c r="FY33" s="40"/>
      <c r="FZ33" s="40"/>
      <c r="GA33" s="40"/>
      <c r="GB33" s="40"/>
      <c r="GC33" s="40"/>
      <c r="GD33" s="40"/>
      <c r="GE33" s="40"/>
      <c r="GF33" s="40"/>
      <c r="GG33" s="40"/>
      <c r="GH33" s="40"/>
      <c r="GI33" s="40"/>
      <c r="GJ33" s="40"/>
      <c r="GK33" s="40"/>
      <c r="GL33" s="40"/>
      <c r="GM33" s="40"/>
      <c r="GN33" s="40"/>
      <c r="GO33" s="40"/>
      <c r="GP33" s="40"/>
      <c r="GQ33" s="40"/>
      <c r="GR33" s="40"/>
      <c r="GS33" s="40"/>
      <c r="GT33" s="40"/>
      <c r="GU33" s="40"/>
      <c r="GV33" s="40"/>
      <c r="GW33" s="40"/>
      <c r="GX33" s="40"/>
      <c r="GY33" s="40"/>
      <c r="GZ33" s="40"/>
      <c r="HA33" s="40"/>
      <c r="HB33" s="40"/>
      <c r="HC33" s="40"/>
      <c r="HD33" s="40"/>
      <c r="HE33" s="40"/>
      <c r="HF33" s="40"/>
      <c r="HG33" s="40"/>
      <c r="HH33" s="40"/>
      <c r="HI33" s="40"/>
      <c r="HJ33" s="40"/>
      <c r="HK33" s="40"/>
      <c r="HL33" s="40"/>
      <c r="HM33" s="40"/>
      <c r="HN33" s="40"/>
      <c r="HO33" s="40"/>
      <c r="HP33" s="40"/>
      <c r="HQ33" s="40"/>
      <c r="HR33" s="40"/>
      <c r="HS33" s="40"/>
      <c r="HT33" s="40"/>
      <c r="HU33" s="40"/>
    </row>
    <row r="34" spans="1:229" s="41" customFormat="1" ht="28.8" customHeight="1">
      <c r="A34" s="124" t="s">
        <v>2051</v>
      </c>
      <c r="B34" s="80" t="s">
        <v>1145</v>
      </c>
      <c r="C34" s="80"/>
      <c r="D34" s="80" t="s">
        <v>1147</v>
      </c>
      <c r="E34" s="80" t="s">
        <v>1146</v>
      </c>
      <c r="F34" s="80" t="s">
        <v>1148</v>
      </c>
      <c r="G34" s="135" t="s">
        <v>2052</v>
      </c>
      <c r="H34" s="81">
        <v>0.5</v>
      </c>
      <c r="I34" s="81">
        <v>-0.1</v>
      </c>
      <c r="J34" s="79" t="s">
        <v>399</v>
      </c>
      <c r="K34" s="81"/>
      <c r="L34" s="79"/>
      <c r="M34" s="82" t="s">
        <v>455</v>
      </c>
      <c r="N34" s="82" t="s">
        <v>240</v>
      </c>
      <c r="O34" s="82" t="s">
        <v>316</v>
      </c>
      <c r="P34" s="142">
        <v>0.2</v>
      </c>
      <c r="Q34" s="40">
        <f>SUMIF(Data_P!A:A,CONCATENATE(A34,"_",R$1),Data_P!J:J)</f>
        <v>135.13999999999999</v>
      </c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0"/>
      <c r="BM34" s="40"/>
      <c r="BN34" s="40"/>
      <c r="BO34" s="40"/>
      <c r="BP34" s="40"/>
      <c r="BQ34" s="40"/>
      <c r="BR34" s="40"/>
      <c r="BS34" s="40"/>
      <c r="BT34" s="40"/>
      <c r="BU34" s="40"/>
      <c r="BV34" s="40"/>
      <c r="BW34" s="40"/>
      <c r="BX34" s="40"/>
      <c r="BY34" s="40"/>
      <c r="BZ34" s="40"/>
      <c r="CA34" s="40"/>
      <c r="CB34" s="40"/>
      <c r="CC34" s="40"/>
      <c r="CD34" s="40"/>
      <c r="CE34" s="40"/>
      <c r="CF34" s="40"/>
      <c r="CG34" s="40"/>
      <c r="CH34" s="40"/>
      <c r="CI34" s="40"/>
      <c r="CJ34" s="40"/>
      <c r="CK34" s="40"/>
      <c r="CL34" s="40"/>
      <c r="CM34" s="40"/>
      <c r="CN34" s="40"/>
      <c r="CO34" s="40"/>
      <c r="CP34" s="40"/>
      <c r="CQ34" s="40"/>
      <c r="CR34" s="40"/>
      <c r="CS34" s="40"/>
      <c r="CT34" s="40"/>
      <c r="CU34" s="40"/>
      <c r="CV34" s="40"/>
      <c r="CW34" s="40"/>
      <c r="CX34" s="40"/>
      <c r="CY34" s="40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40"/>
      <c r="DL34" s="40"/>
      <c r="DM34" s="40"/>
      <c r="DN34" s="40"/>
      <c r="DO34" s="40"/>
      <c r="DP34" s="40"/>
      <c r="DQ34" s="40"/>
      <c r="DR34" s="40"/>
      <c r="DS34" s="40"/>
      <c r="DT34" s="40"/>
      <c r="DU34" s="40"/>
      <c r="DV34" s="40"/>
      <c r="DW34" s="40"/>
      <c r="DX34" s="40"/>
      <c r="DY34" s="40"/>
      <c r="DZ34" s="40"/>
      <c r="EA34" s="40"/>
      <c r="EB34" s="40"/>
      <c r="EC34" s="40"/>
      <c r="ED34" s="40"/>
      <c r="EE34" s="40"/>
      <c r="EF34" s="40"/>
      <c r="EG34" s="40"/>
      <c r="EH34" s="40"/>
      <c r="EI34" s="40"/>
      <c r="EJ34" s="40"/>
      <c r="EK34" s="40"/>
      <c r="EL34" s="40"/>
      <c r="EM34" s="40"/>
      <c r="EN34" s="40"/>
      <c r="EO34" s="40"/>
      <c r="EP34" s="40"/>
      <c r="EQ34" s="40"/>
      <c r="ER34" s="40"/>
      <c r="ES34" s="40"/>
      <c r="ET34" s="40"/>
      <c r="EU34" s="40"/>
      <c r="EV34" s="40"/>
      <c r="EW34" s="40"/>
      <c r="EX34" s="40"/>
      <c r="EY34" s="40"/>
      <c r="EZ34" s="40"/>
      <c r="FA34" s="40"/>
      <c r="FB34" s="40"/>
      <c r="FC34" s="40"/>
      <c r="FD34" s="40"/>
      <c r="FE34" s="40"/>
      <c r="FF34" s="40"/>
      <c r="FG34" s="40"/>
      <c r="FH34" s="40"/>
      <c r="FI34" s="40"/>
      <c r="FJ34" s="40"/>
      <c r="FK34" s="40"/>
      <c r="FL34" s="40"/>
      <c r="FM34" s="40"/>
      <c r="FN34" s="40"/>
      <c r="FO34" s="40"/>
      <c r="FP34" s="40"/>
      <c r="FQ34" s="40"/>
      <c r="FR34" s="40"/>
      <c r="FS34" s="40"/>
      <c r="FT34" s="40"/>
      <c r="FU34" s="40"/>
      <c r="FV34" s="40"/>
      <c r="FW34" s="40"/>
      <c r="FX34" s="40"/>
      <c r="FY34" s="40"/>
      <c r="FZ34" s="40"/>
      <c r="GA34" s="40"/>
      <c r="GB34" s="40"/>
      <c r="GC34" s="40"/>
      <c r="GD34" s="40"/>
      <c r="GE34" s="40"/>
      <c r="GF34" s="40"/>
      <c r="GG34" s="40"/>
      <c r="GH34" s="40"/>
      <c r="GI34" s="40"/>
      <c r="GJ34" s="40"/>
      <c r="GK34" s="40"/>
      <c r="GL34" s="40"/>
      <c r="GM34" s="40"/>
      <c r="GN34" s="40"/>
      <c r="GO34" s="40"/>
      <c r="GP34" s="40"/>
      <c r="GQ34" s="40"/>
      <c r="GR34" s="40"/>
      <c r="GS34" s="40"/>
      <c r="GT34" s="40"/>
      <c r="GU34" s="40"/>
      <c r="GV34" s="40"/>
      <c r="GW34" s="40"/>
      <c r="GX34" s="40"/>
      <c r="GY34" s="40"/>
      <c r="GZ34" s="40"/>
      <c r="HA34" s="40"/>
      <c r="HB34" s="40"/>
      <c r="HC34" s="40"/>
      <c r="HD34" s="40"/>
      <c r="HE34" s="40"/>
      <c r="HF34" s="40"/>
      <c r="HG34" s="40"/>
      <c r="HH34" s="40"/>
      <c r="HI34" s="40"/>
      <c r="HJ34" s="40"/>
      <c r="HK34" s="40"/>
      <c r="HL34" s="40"/>
      <c r="HM34" s="40"/>
      <c r="HN34" s="40"/>
      <c r="HO34" s="40"/>
      <c r="HP34" s="40"/>
      <c r="HQ34" s="40"/>
      <c r="HR34" s="40"/>
      <c r="HS34" s="40"/>
      <c r="HT34" s="40"/>
      <c r="HU34" s="40"/>
    </row>
    <row r="35" spans="1:229" s="41" customFormat="1" ht="28.8" customHeight="1">
      <c r="A35" s="124" t="s">
        <v>2053</v>
      </c>
      <c r="B35" s="80" t="s">
        <v>406</v>
      </c>
      <c r="C35" s="80"/>
      <c r="D35" s="80" t="s">
        <v>407</v>
      </c>
      <c r="E35" s="80" t="s">
        <v>408</v>
      </c>
      <c r="F35" s="80" t="s">
        <v>409</v>
      </c>
      <c r="G35" s="135" t="s">
        <v>2054</v>
      </c>
      <c r="H35" s="81">
        <v>0.5</v>
      </c>
      <c r="I35" s="81">
        <v>-0.1</v>
      </c>
      <c r="J35" s="79" t="s">
        <v>399</v>
      </c>
      <c r="K35" s="81"/>
      <c r="L35" s="79"/>
      <c r="M35" s="82" t="s">
        <v>455</v>
      </c>
      <c r="N35" s="82" t="s">
        <v>240</v>
      </c>
      <c r="O35" s="82" t="s">
        <v>316</v>
      </c>
      <c r="P35" s="142">
        <v>0.2</v>
      </c>
      <c r="Q35" s="40">
        <f>SUMIF(Data_P!A:A,CONCATENATE(A35,"_",R$1),Data_P!J:J)</f>
        <v>101.61</v>
      </c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0"/>
      <c r="BM35" s="40"/>
      <c r="BN35" s="40"/>
      <c r="BO35" s="40"/>
      <c r="BP35" s="40"/>
      <c r="BQ35" s="40"/>
      <c r="BR35" s="40"/>
      <c r="BS35" s="40"/>
      <c r="BT35" s="40"/>
      <c r="BU35" s="40"/>
      <c r="BV35" s="40"/>
      <c r="BW35" s="40"/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40"/>
      <c r="CM35" s="40"/>
      <c r="CN35" s="40"/>
      <c r="CO35" s="40"/>
      <c r="CP35" s="40"/>
      <c r="CQ35" s="40"/>
      <c r="CR35" s="40"/>
      <c r="CS35" s="40"/>
      <c r="CT35" s="40"/>
      <c r="CU35" s="40"/>
      <c r="CV35" s="40"/>
      <c r="CW35" s="40"/>
      <c r="CX35" s="40"/>
      <c r="CY35" s="40"/>
      <c r="CZ35" s="40"/>
      <c r="DA35" s="40"/>
      <c r="DB35" s="40"/>
      <c r="DC35" s="40"/>
      <c r="DD35" s="40"/>
      <c r="DE35" s="40"/>
      <c r="DF35" s="40"/>
      <c r="DG35" s="40"/>
      <c r="DH35" s="40"/>
      <c r="DI35" s="40"/>
      <c r="DJ35" s="40"/>
      <c r="DK35" s="40"/>
      <c r="DL35" s="40"/>
      <c r="DM35" s="40"/>
      <c r="DN35" s="40"/>
      <c r="DO35" s="40"/>
      <c r="DP35" s="40"/>
      <c r="DQ35" s="40"/>
      <c r="DR35" s="40"/>
      <c r="DS35" s="40"/>
      <c r="DT35" s="40"/>
      <c r="DU35" s="40"/>
      <c r="DV35" s="40"/>
      <c r="DW35" s="40"/>
      <c r="DX35" s="40"/>
      <c r="DY35" s="40"/>
      <c r="DZ35" s="40"/>
      <c r="EA35" s="40"/>
      <c r="EB35" s="40"/>
      <c r="EC35" s="40"/>
      <c r="ED35" s="40"/>
      <c r="EE35" s="40"/>
      <c r="EF35" s="40"/>
      <c r="EG35" s="40"/>
      <c r="EH35" s="40"/>
      <c r="EI35" s="40"/>
      <c r="EJ35" s="40"/>
      <c r="EK35" s="40"/>
      <c r="EL35" s="40"/>
      <c r="EM35" s="40"/>
      <c r="EN35" s="40"/>
      <c r="EO35" s="40"/>
      <c r="EP35" s="40"/>
      <c r="EQ35" s="40"/>
      <c r="ER35" s="40"/>
      <c r="ES35" s="40"/>
      <c r="ET35" s="40"/>
      <c r="EU35" s="40"/>
      <c r="EV35" s="40"/>
      <c r="EW35" s="40"/>
      <c r="EX35" s="40"/>
      <c r="EY35" s="40"/>
      <c r="EZ35" s="40"/>
      <c r="FA35" s="40"/>
      <c r="FB35" s="40"/>
      <c r="FC35" s="40"/>
      <c r="FD35" s="40"/>
      <c r="FE35" s="40"/>
      <c r="FF35" s="40"/>
      <c r="FG35" s="40"/>
      <c r="FH35" s="40"/>
      <c r="FI35" s="40"/>
      <c r="FJ35" s="40"/>
      <c r="FK35" s="40"/>
      <c r="FL35" s="40"/>
      <c r="FM35" s="40"/>
      <c r="FN35" s="40"/>
      <c r="FO35" s="40"/>
      <c r="FP35" s="40"/>
      <c r="FQ35" s="40"/>
      <c r="FR35" s="40"/>
      <c r="FS35" s="40"/>
      <c r="FT35" s="40"/>
      <c r="FU35" s="40"/>
      <c r="FV35" s="40"/>
      <c r="FW35" s="40"/>
      <c r="FX35" s="40"/>
      <c r="FY35" s="40"/>
      <c r="FZ35" s="40"/>
      <c r="GA35" s="40"/>
      <c r="GB35" s="40"/>
      <c r="GC35" s="40"/>
      <c r="GD35" s="40"/>
      <c r="GE35" s="40"/>
      <c r="GF35" s="40"/>
      <c r="GG35" s="40"/>
      <c r="GH35" s="40"/>
      <c r="GI35" s="40"/>
      <c r="GJ35" s="40"/>
      <c r="GK35" s="40"/>
      <c r="GL35" s="40"/>
      <c r="GM35" s="40"/>
      <c r="GN35" s="40"/>
      <c r="GO35" s="40"/>
      <c r="GP35" s="40"/>
      <c r="GQ35" s="40"/>
      <c r="GR35" s="40"/>
      <c r="GS35" s="40"/>
      <c r="GT35" s="40"/>
      <c r="GU35" s="40"/>
      <c r="GV35" s="40"/>
      <c r="GW35" s="40"/>
      <c r="GX35" s="40"/>
      <c r="GY35" s="40"/>
      <c r="GZ35" s="40"/>
      <c r="HA35" s="40"/>
      <c r="HB35" s="40"/>
      <c r="HC35" s="40"/>
      <c r="HD35" s="40"/>
      <c r="HE35" s="40"/>
      <c r="HF35" s="40"/>
      <c r="HG35" s="40"/>
      <c r="HH35" s="40"/>
      <c r="HI35" s="40"/>
      <c r="HJ35" s="40"/>
      <c r="HK35" s="40"/>
      <c r="HL35" s="40"/>
      <c r="HM35" s="40"/>
      <c r="HN35" s="40"/>
      <c r="HO35" s="40"/>
      <c r="HP35" s="40"/>
      <c r="HQ35" s="40"/>
      <c r="HR35" s="40"/>
      <c r="HS35" s="40"/>
      <c r="HT35" s="40"/>
      <c r="HU35" s="40"/>
    </row>
    <row r="36" spans="1:229" s="41" customFormat="1" ht="28.8" customHeight="1">
      <c r="A36" s="124" t="s">
        <v>2055</v>
      </c>
      <c r="B36" s="80" t="s">
        <v>601</v>
      </c>
      <c r="C36" s="80"/>
      <c r="D36" s="80" t="s">
        <v>602</v>
      </c>
      <c r="E36" s="80" t="s">
        <v>603</v>
      </c>
      <c r="F36" s="80" t="s">
        <v>604</v>
      </c>
      <c r="G36" s="135" t="s">
        <v>2056</v>
      </c>
      <c r="H36" s="81">
        <v>0.5</v>
      </c>
      <c r="I36" s="81">
        <v>-0.1</v>
      </c>
      <c r="J36" s="79" t="s">
        <v>399</v>
      </c>
      <c r="K36" s="81"/>
      <c r="L36" s="79"/>
      <c r="M36" s="82" t="s">
        <v>455</v>
      </c>
      <c r="N36" s="82" t="s">
        <v>240</v>
      </c>
      <c r="O36" s="82" t="s">
        <v>316</v>
      </c>
      <c r="P36" s="142">
        <v>0.2</v>
      </c>
      <c r="Q36" s="40">
        <f>SUMIF(Data_P!A:A,CONCATENATE(A36,"_",R$1),Data_P!J:J)</f>
        <v>1146.77</v>
      </c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K36" s="40"/>
      <c r="BL36" s="40"/>
      <c r="BM36" s="40"/>
      <c r="BN36" s="40"/>
      <c r="BO36" s="40"/>
      <c r="BP36" s="40"/>
      <c r="BQ36" s="40"/>
      <c r="BR36" s="40"/>
      <c r="BS36" s="40"/>
      <c r="BT36" s="40"/>
      <c r="BU36" s="40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40"/>
      <c r="CS36" s="40"/>
      <c r="CT36" s="40"/>
      <c r="CU36" s="40"/>
      <c r="CV36" s="40"/>
      <c r="CW36" s="40"/>
      <c r="CX36" s="40"/>
      <c r="CY36" s="40"/>
      <c r="CZ36" s="40"/>
      <c r="DA36" s="40"/>
      <c r="DB36" s="40"/>
      <c r="DC36" s="40"/>
      <c r="DD36" s="40"/>
      <c r="DE36" s="40"/>
      <c r="DF36" s="40"/>
      <c r="DG36" s="40"/>
      <c r="DH36" s="40"/>
      <c r="DI36" s="40"/>
      <c r="DJ36" s="40"/>
      <c r="DK36" s="40"/>
      <c r="DL36" s="40"/>
      <c r="DM36" s="40"/>
      <c r="DN36" s="40"/>
      <c r="DO36" s="40"/>
      <c r="DP36" s="40"/>
      <c r="DQ36" s="40"/>
      <c r="DR36" s="40"/>
      <c r="DS36" s="40"/>
      <c r="DT36" s="40"/>
      <c r="DU36" s="40"/>
      <c r="DV36" s="40"/>
      <c r="DW36" s="40"/>
      <c r="DX36" s="40"/>
      <c r="DY36" s="40"/>
      <c r="DZ36" s="40"/>
      <c r="EA36" s="40"/>
      <c r="EB36" s="40"/>
      <c r="EC36" s="40"/>
      <c r="ED36" s="40"/>
      <c r="EE36" s="40"/>
      <c r="EF36" s="40"/>
      <c r="EG36" s="40"/>
      <c r="EH36" s="40"/>
      <c r="EI36" s="40"/>
      <c r="EJ36" s="40"/>
      <c r="EK36" s="40"/>
      <c r="EL36" s="40"/>
      <c r="EM36" s="40"/>
      <c r="EN36" s="40"/>
      <c r="EO36" s="40"/>
      <c r="EP36" s="40"/>
      <c r="EQ36" s="40"/>
      <c r="ER36" s="40"/>
      <c r="ES36" s="40"/>
      <c r="ET36" s="40"/>
      <c r="EU36" s="40"/>
      <c r="EV36" s="40"/>
      <c r="EW36" s="40"/>
      <c r="EX36" s="40"/>
      <c r="EY36" s="40"/>
      <c r="EZ36" s="40"/>
      <c r="FA36" s="40"/>
      <c r="FB36" s="40"/>
      <c r="FC36" s="40"/>
      <c r="FD36" s="40"/>
      <c r="FE36" s="40"/>
      <c r="FF36" s="40"/>
      <c r="FG36" s="40"/>
      <c r="FH36" s="40"/>
      <c r="FI36" s="40"/>
      <c r="FJ36" s="40"/>
      <c r="FK36" s="40"/>
      <c r="FL36" s="40"/>
      <c r="FM36" s="40"/>
      <c r="FN36" s="40"/>
      <c r="FO36" s="40"/>
      <c r="FP36" s="40"/>
      <c r="FQ36" s="40"/>
      <c r="FR36" s="40"/>
      <c r="FS36" s="40"/>
      <c r="FT36" s="40"/>
      <c r="FU36" s="40"/>
      <c r="FV36" s="40"/>
      <c r="FW36" s="40"/>
      <c r="FX36" s="40"/>
      <c r="FY36" s="40"/>
      <c r="FZ36" s="40"/>
      <c r="GA36" s="40"/>
      <c r="GB36" s="40"/>
      <c r="GC36" s="40"/>
      <c r="GD36" s="40"/>
      <c r="GE36" s="40"/>
      <c r="GF36" s="40"/>
      <c r="GG36" s="40"/>
      <c r="GH36" s="40"/>
      <c r="GI36" s="40"/>
      <c r="GJ36" s="40"/>
      <c r="GK36" s="40"/>
      <c r="GL36" s="40"/>
      <c r="GM36" s="40"/>
      <c r="GN36" s="40"/>
      <c r="GO36" s="40"/>
      <c r="GP36" s="40"/>
      <c r="GQ36" s="40"/>
      <c r="GR36" s="40"/>
      <c r="GS36" s="40"/>
      <c r="GT36" s="40"/>
      <c r="GU36" s="40"/>
      <c r="GV36" s="40"/>
      <c r="GW36" s="40"/>
      <c r="GX36" s="40"/>
      <c r="GY36" s="40"/>
      <c r="GZ36" s="40"/>
      <c r="HA36" s="40"/>
      <c r="HB36" s="40"/>
      <c r="HC36" s="40"/>
      <c r="HD36" s="40"/>
      <c r="HE36" s="40"/>
      <c r="HF36" s="40"/>
      <c r="HG36" s="40"/>
      <c r="HH36" s="40"/>
      <c r="HI36" s="40"/>
      <c r="HJ36" s="40"/>
      <c r="HK36" s="40"/>
      <c r="HL36" s="40"/>
      <c r="HM36" s="40"/>
      <c r="HN36" s="40"/>
      <c r="HO36" s="40"/>
      <c r="HP36" s="40"/>
      <c r="HQ36" s="40"/>
      <c r="HR36" s="40"/>
      <c r="HS36" s="40"/>
      <c r="HT36" s="40"/>
      <c r="HU36" s="40"/>
    </row>
    <row r="37" spans="1:229" s="41" customFormat="1" ht="28.8" customHeight="1">
      <c r="A37" s="124" t="s">
        <v>1496</v>
      </c>
      <c r="B37" s="80" t="s">
        <v>1497</v>
      </c>
      <c r="C37" s="80"/>
      <c r="D37" s="80" t="s">
        <v>1498</v>
      </c>
      <c r="E37" s="80" t="s">
        <v>1499</v>
      </c>
      <c r="F37" s="80" t="s">
        <v>1500</v>
      </c>
      <c r="G37" s="135" t="s">
        <v>1501</v>
      </c>
      <c r="H37" s="81">
        <v>0.2</v>
      </c>
      <c r="I37" s="81"/>
      <c r="J37" s="79"/>
      <c r="K37" s="81"/>
      <c r="L37" s="79"/>
      <c r="M37" s="82" t="s">
        <v>2318</v>
      </c>
      <c r="N37" s="82" t="s">
        <v>373</v>
      </c>
      <c r="O37" s="82" t="s">
        <v>316</v>
      </c>
      <c r="P37" s="142">
        <v>0.2</v>
      </c>
      <c r="Q37" s="40">
        <f>SUMIF(Data_P!A:A,CONCATENATE(A37,"_",R$1),Data_P!J:J)</f>
        <v>404.4</v>
      </c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40"/>
      <c r="BM37" s="40"/>
      <c r="BN37" s="40"/>
      <c r="BO37" s="40"/>
      <c r="BP37" s="40"/>
      <c r="BQ37" s="40"/>
      <c r="BR37" s="40"/>
      <c r="BS37" s="40"/>
      <c r="BT37" s="40"/>
      <c r="BU37" s="40"/>
      <c r="BV37" s="40"/>
      <c r="BW37" s="40"/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  <c r="CM37" s="40"/>
      <c r="CN37" s="40"/>
      <c r="CO37" s="40"/>
      <c r="CP37" s="40"/>
      <c r="CQ37" s="40"/>
      <c r="CR37" s="40"/>
      <c r="CS37" s="40"/>
      <c r="CT37" s="40"/>
      <c r="CU37" s="40"/>
      <c r="CV37" s="40"/>
      <c r="CW37" s="40"/>
      <c r="CX37" s="40"/>
      <c r="CY37" s="40"/>
      <c r="CZ37" s="40"/>
      <c r="DA37" s="40"/>
      <c r="DB37" s="40"/>
      <c r="DC37" s="40"/>
      <c r="DD37" s="40"/>
      <c r="DE37" s="40"/>
      <c r="DF37" s="40"/>
      <c r="DG37" s="40"/>
      <c r="DH37" s="40"/>
      <c r="DI37" s="40"/>
      <c r="DJ37" s="40"/>
      <c r="DK37" s="40"/>
      <c r="DL37" s="40"/>
      <c r="DM37" s="40"/>
      <c r="DN37" s="40"/>
      <c r="DO37" s="40"/>
      <c r="DP37" s="40"/>
      <c r="DQ37" s="40"/>
      <c r="DR37" s="40"/>
      <c r="DS37" s="40"/>
      <c r="DT37" s="40"/>
      <c r="DU37" s="40"/>
      <c r="DV37" s="40"/>
      <c r="DW37" s="40"/>
      <c r="DX37" s="40"/>
      <c r="DY37" s="40"/>
      <c r="DZ37" s="40"/>
      <c r="EA37" s="40"/>
      <c r="EB37" s="40"/>
      <c r="EC37" s="40"/>
      <c r="ED37" s="40"/>
      <c r="EE37" s="40"/>
      <c r="EF37" s="40"/>
      <c r="EG37" s="40"/>
      <c r="EH37" s="40"/>
      <c r="EI37" s="40"/>
      <c r="EJ37" s="40"/>
      <c r="EK37" s="40"/>
      <c r="EL37" s="40"/>
      <c r="EM37" s="40"/>
      <c r="EN37" s="40"/>
      <c r="EO37" s="40"/>
      <c r="EP37" s="40"/>
      <c r="EQ37" s="40"/>
      <c r="ER37" s="40"/>
      <c r="ES37" s="40"/>
      <c r="ET37" s="40"/>
      <c r="EU37" s="40"/>
      <c r="EV37" s="40"/>
      <c r="EW37" s="40"/>
      <c r="EX37" s="40"/>
      <c r="EY37" s="40"/>
      <c r="EZ37" s="40"/>
      <c r="FA37" s="40"/>
      <c r="FB37" s="40"/>
      <c r="FC37" s="40"/>
      <c r="FD37" s="40"/>
      <c r="FE37" s="40"/>
      <c r="FF37" s="40"/>
      <c r="FG37" s="40"/>
      <c r="FH37" s="40"/>
      <c r="FI37" s="40"/>
      <c r="FJ37" s="40"/>
      <c r="FK37" s="40"/>
      <c r="FL37" s="40"/>
      <c r="FM37" s="40"/>
      <c r="FN37" s="40"/>
      <c r="FO37" s="40"/>
      <c r="FP37" s="40"/>
      <c r="FQ37" s="40"/>
      <c r="FR37" s="40"/>
      <c r="FS37" s="40"/>
      <c r="FT37" s="40"/>
      <c r="FU37" s="40"/>
      <c r="FV37" s="40"/>
      <c r="FW37" s="40"/>
      <c r="FX37" s="40"/>
      <c r="FY37" s="40"/>
      <c r="FZ37" s="40"/>
      <c r="GA37" s="40"/>
      <c r="GB37" s="40"/>
      <c r="GC37" s="40"/>
      <c r="GD37" s="40"/>
      <c r="GE37" s="40"/>
      <c r="GF37" s="40"/>
      <c r="GG37" s="40"/>
      <c r="GH37" s="40"/>
      <c r="GI37" s="40"/>
      <c r="GJ37" s="40"/>
      <c r="GK37" s="40"/>
      <c r="GL37" s="40"/>
      <c r="GM37" s="40"/>
      <c r="GN37" s="40"/>
      <c r="GO37" s="40"/>
      <c r="GP37" s="40"/>
      <c r="GQ37" s="40"/>
      <c r="GR37" s="40"/>
      <c r="GS37" s="40"/>
      <c r="GT37" s="40"/>
      <c r="GU37" s="40"/>
      <c r="GV37" s="40"/>
      <c r="GW37" s="40"/>
      <c r="GX37" s="40"/>
      <c r="GY37" s="40"/>
      <c r="GZ37" s="40"/>
      <c r="HA37" s="40"/>
      <c r="HB37" s="40"/>
      <c r="HC37" s="40"/>
      <c r="HD37" s="40"/>
      <c r="HE37" s="40"/>
      <c r="HF37" s="40"/>
      <c r="HG37" s="40"/>
      <c r="HH37" s="40"/>
      <c r="HI37" s="40"/>
      <c r="HJ37" s="40"/>
      <c r="HK37" s="40"/>
      <c r="HL37" s="40"/>
      <c r="HM37" s="40"/>
      <c r="HN37" s="40"/>
      <c r="HO37" s="40"/>
      <c r="HP37" s="40"/>
      <c r="HQ37" s="40"/>
      <c r="HR37" s="40"/>
      <c r="HS37" s="40"/>
      <c r="HT37" s="40"/>
      <c r="HU37" s="40"/>
    </row>
    <row r="38" spans="1:229" s="41" customFormat="1" ht="28.8" customHeight="1">
      <c r="A38" s="124" t="s">
        <v>1031</v>
      </c>
      <c r="B38" s="80" t="s">
        <v>1094</v>
      </c>
      <c r="C38" s="80"/>
      <c r="D38" s="80" t="s">
        <v>646</v>
      </c>
      <c r="E38" s="80" t="s">
        <v>647</v>
      </c>
      <c r="F38" s="80" t="s">
        <v>648</v>
      </c>
      <c r="G38" s="135" t="s">
        <v>649</v>
      </c>
      <c r="H38" s="81">
        <v>0.35</v>
      </c>
      <c r="I38" s="81"/>
      <c r="J38" s="79"/>
      <c r="K38" s="81"/>
      <c r="L38" s="79"/>
      <c r="M38" s="82" t="s">
        <v>1387</v>
      </c>
      <c r="N38" s="82" t="s">
        <v>1388</v>
      </c>
      <c r="O38" s="82" t="s">
        <v>316</v>
      </c>
      <c r="P38" s="142">
        <v>0.2</v>
      </c>
      <c r="Q38" s="40">
        <f>SUMIF(Data_P!A:A,CONCATENATE(A38,"_",R$1),Data_P!J:J)</f>
        <v>195.21</v>
      </c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0"/>
      <c r="BM38" s="40"/>
      <c r="BN38" s="40"/>
      <c r="BO38" s="40"/>
      <c r="BP38" s="40"/>
      <c r="BQ38" s="40"/>
      <c r="BR38" s="40"/>
      <c r="BS38" s="40"/>
      <c r="BT38" s="40"/>
      <c r="BU38" s="40"/>
      <c r="BV38" s="40"/>
      <c r="BW38" s="40"/>
      <c r="BX38" s="40"/>
      <c r="BY38" s="40"/>
      <c r="BZ38" s="40"/>
      <c r="CA38" s="40"/>
      <c r="CB38" s="40"/>
      <c r="CC38" s="40"/>
      <c r="CD38" s="40"/>
      <c r="CE38" s="40"/>
      <c r="CF38" s="40"/>
      <c r="CG38" s="40"/>
      <c r="CH38" s="40"/>
      <c r="CI38" s="40"/>
      <c r="CJ38" s="40"/>
      <c r="CK38" s="40"/>
      <c r="CL38" s="40"/>
      <c r="CM38" s="40"/>
      <c r="CN38" s="40"/>
      <c r="CO38" s="40"/>
      <c r="CP38" s="40"/>
      <c r="CQ38" s="40"/>
      <c r="CR38" s="40"/>
      <c r="CS38" s="40"/>
      <c r="CT38" s="40"/>
      <c r="CU38" s="40"/>
      <c r="CV38" s="40"/>
      <c r="CW38" s="40"/>
      <c r="CX38" s="40"/>
      <c r="CY38" s="40"/>
      <c r="CZ38" s="40"/>
      <c r="DA38" s="40"/>
      <c r="DB38" s="40"/>
      <c r="DC38" s="40"/>
      <c r="DD38" s="40"/>
      <c r="DE38" s="40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40"/>
      <c r="DQ38" s="40"/>
      <c r="DR38" s="40"/>
      <c r="DS38" s="40"/>
      <c r="DT38" s="40"/>
      <c r="DU38" s="40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40"/>
      <c r="EP38" s="40"/>
      <c r="EQ38" s="40"/>
      <c r="ER38" s="40"/>
      <c r="ES38" s="40"/>
      <c r="ET38" s="40"/>
      <c r="EU38" s="40"/>
      <c r="EV38" s="40"/>
      <c r="EW38" s="40"/>
      <c r="EX38" s="40"/>
      <c r="EY38" s="40"/>
      <c r="EZ38" s="40"/>
      <c r="FA38" s="40"/>
      <c r="FB38" s="40"/>
      <c r="FC38" s="40"/>
      <c r="FD38" s="40"/>
      <c r="FE38" s="40"/>
      <c r="FF38" s="40"/>
      <c r="FG38" s="40"/>
      <c r="FH38" s="40"/>
      <c r="FI38" s="40"/>
      <c r="FJ38" s="40"/>
      <c r="FK38" s="40"/>
      <c r="FL38" s="40"/>
      <c r="FM38" s="40"/>
      <c r="FN38" s="40"/>
      <c r="FO38" s="40"/>
      <c r="FP38" s="40"/>
      <c r="FQ38" s="40"/>
      <c r="FR38" s="40"/>
      <c r="FS38" s="40"/>
      <c r="FT38" s="40"/>
      <c r="FU38" s="40"/>
      <c r="FV38" s="40"/>
      <c r="FW38" s="40"/>
      <c r="FX38" s="40"/>
      <c r="FY38" s="40"/>
      <c r="FZ38" s="40"/>
      <c r="GA38" s="40"/>
      <c r="GB38" s="40"/>
      <c r="GC38" s="40"/>
      <c r="GD38" s="40"/>
      <c r="GE38" s="40"/>
      <c r="GF38" s="40"/>
      <c r="GG38" s="40"/>
      <c r="GH38" s="40"/>
      <c r="GI38" s="40"/>
      <c r="GJ38" s="40"/>
      <c r="GK38" s="40"/>
      <c r="GL38" s="40"/>
      <c r="GM38" s="40"/>
      <c r="GN38" s="40"/>
      <c r="GO38" s="40"/>
      <c r="GP38" s="40"/>
      <c r="GQ38" s="40"/>
      <c r="GR38" s="40"/>
      <c r="GS38" s="40"/>
      <c r="GT38" s="40"/>
      <c r="GU38" s="40"/>
      <c r="GV38" s="40"/>
      <c r="GW38" s="40"/>
      <c r="GX38" s="40"/>
      <c r="GY38" s="40"/>
      <c r="GZ38" s="40"/>
      <c r="HA38" s="40"/>
      <c r="HB38" s="40"/>
      <c r="HC38" s="40"/>
      <c r="HD38" s="40"/>
      <c r="HE38" s="40"/>
      <c r="HF38" s="40"/>
      <c r="HG38" s="40"/>
      <c r="HH38" s="40"/>
      <c r="HI38" s="40"/>
      <c r="HJ38" s="40"/>
      <c r="HK38" s="40"/>
      <c r="HL38" s="40"/>
      <c r="HM38" s="40"/>
      <c r="HN38" s="40"/>
      <c r="HO38" s="40"/>
      <c r="HP38" s="40"/>
      <c r="HQ38" s="40"/>
      <c r="HR38" s="40"/>
      <c r="HS38" s="40"/>
      <c r="HT38" s="40"/>
      <c r="HU38" s="40"/>
    </row>
    <row r="39" spans="1:229" s="41" customFormat="1" ht="28.8" customHeight="1">
      <c r="A39" s="124" t="s">
        <v>1671</v>
      </c>
      <c r="B39" s="80" t="s">
        <v>1672</v>
      </c>
      <c r="C39" s="80"/>
      <c r="D39" s="80" t="s">
        <v>1122</v>
      </c>
      <c r="E39" s="80" t="s">
        <v>1123</v>
      </c>
      <c r="F39" s="80" t="s">
        <v>1124</v>
      </c>
      <c r="G39" s="135" t="s">
        <v>1125</v>
      </c>
      <c r="H39" s="81">
        <v>0.3</v>
      </c>
      <c r="I39" s="81"/>
      <c r="J39" s="79"/>
      <c r="K39" s="81"/>
      <c r="L39" s="79"/>
      <c r="M39" s="82" t="s">
        <v>1673</v>
      </c>
      <c r="N39" s="82" t="s">
        <v>550</v>
      </c>
      <c r="O39" s="82" t="s">
        <v>316</v>
      </c>
      <c r="P39" s="142">
        <v>0.2</v>
      </c>
      <c r="Q39" s="40">
        <f>SUMIF(Data_P!A:A,CONCATENATE(A39,"_",R$1),Data_P!J:J)</f>
        <v>0</v>
      </c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0"/>
      <c r="BM39" s="40"/>
      <c r="BN39" s="40"/>
      <c r="BO39" s="40"/>
      <c r="BP39" s="40"/>
      <c r="BQ39" s="40"/>
      <c r="BR39" s="40"/>
      <c r="BS39" s="40"/>
      <c r="BT39" s="40"/>
      <c r="BU39" s="40"/>
      <c r="BV39" s="40"/>
      <c r="BW39" s="40"/>
      <c r="BX39" s="40"/>
      <c r="BY39" s="40"/>
      <c r="BZ39" s="40"/>
      <c r="CA39" s="40"/>
      <c r="CB39" s="40"/>
      <c r="CC39" s="40"/>
      <c r="CD39" s="40"/>
      <c r="CE39" s="40"/>
      <c r="CF39" s="40"/>
      <c r="CG39" s="40"/>
      <c r="CH39" s="40"/>
      <c r="CI39" s="40"/>
      <c r="CJ39" s="40"/>
      <c r="CK39" s="40"/>
      <c r="CL39" s="40"/>
      <c r="CM39" s="40"/>
      <c r="CN39" s="40"/>
      <c r="CO39" s="40"/>
      <c r="CP39" s="40"/>
      <c r="CQ39" s="40"/>
      <c r="CR39" s="40"/>
      <c r="CS39" s="40"/>
      <c r="CT39" s="40"/>
      <c r="CU39" s="40"/>
      <c r="CV39" s="40"/>
      <c r="CW39" s="40"/>
      <c r="CX39" s="40"/>
      <c r="CY39" s="40"/>
      <c r="CZ39" s="40"/>
      <c r="DA39" s="40"/>
      <c r="DB39" s="40"/>
      <c r="DC39" s="40"/>
      <c r="DD39" s="40"/>
      <c r="DE39" s="40"/>
      <c r="DF39" s="40"/>
      <c r="DG39" s="40"/>
      <c r="DH39" s="40"/>
      <c r="DI39" s="40"/>
      <c r="DJ39" s="40"/>
      <c r="DK39" s="40"/>
      <c r="DL39" s="40"/>
      <c r="DM39" s="40"/>
      <c r="DN39" s="40"/>
      <c r="DO39" s="40"/>
      <c r="DP39" s="40"/>
      <c r="DQ39" s="40"/>
      <c r="DR39" s="40"/>
      <c r="DS39" s="40"/>
      <c r="DT39" s="40"/>
      <c r="DU39" s="40"/>
      <c r="DV39" s="40"/>
      <c r="DW39" s="40"/>
      <c r="DX39" s="40"/>
      <c r="DY39" s="40"/>
      <c r="DZ39" s="40"/>
      <c r="EA39" s="40"/>
      <c r="EB39" s="40"/>
      <c r="EC39" s="40"/>
      <c r="ED39" s="40"/>
      <c r="EE39" s="40"/>
      <c r="EF39" s="40"/>
      <c r="EG39" s="40"/>
      <c r="EH39" s="40"/>
      <c r="EI39" s="40"/>
      <c r="EJ39" s="40"/>
      <c r="EK39" s="40"/>
      <c r="EL39" s="40"/>
      <c r="EM39" s="40"/>
      <c r="EN39" s="40"/>
      <c r="EO39" s="40"/>
      <c r="EP39" s="40"/>
      <c r="EQ39" s="40"/>
      <c r="ER39" s="40"/>
      <c r="ES39" s="40"/>
      <c r="ET39" s="40"/>
      <c r="EU39" s="40"/>
      <c r="EV39" s="40"/>
      <c r="EW39" s="40"/>
      <c r="EX39" s="40"/>
      <c r="EY39" s="40"/>
      <c r="EZ39" s="40"/>
      <c r="FA39" s="40"/>
      <c r="FB39" s="40"/>
      <c r="FC39" s="40"/>
      <c r="FD39" s="40"/>
      <c r="FE39" s="40"/>
      <c r="FF39" s="40"/>
      <c r="FG39" s="40"/>
      <c r="FH39" s="40"/>
      <c r="FI39" s="40"/>
      <c r="FJ39" s="40"/>
      <c r="FK39" s="40"/>
      <c r="FL39" s="40"/>
      <c r="FM39" s="40"/>
      <c r="FN39" s="40"/>
      <c r="FO39" s="40"/>
      <c r="FP39" s="40"/>
      <c r="FQ39" s="40"/>
      <c r="FR39" s="40"/>
      <c r="FS39" s="40"/>
      <c r="FT39" s="40"/>
      <c r="FU39" s="40"/>
      <c r="FV39" s="40"/>
      <c r="FW39" s="40"/>
      <c r="FX39" s="40"/>
      <c r="FY39" s="40"/>
      <c r="FZ39" s="40"/>
      <c r="GA39" s="40"/>
      <c r="GB39" s="40"/>
      <c r="GC39" s="40"/>
      <c r="GD39" s="40"/>
      <c r="GE39" s="40"/>
      <c r="GF39" s="40"/>
      <c r="GG39" s="40"/>
      <c r="GH39" s="40"/>
      <c r="GI39" s="40"/>
      <c r="GJ39" s="40"/>
      <c r="GK39" s="40"/>
      <c r="GL39" s="40"/>
      <c r="GM39" s="40"/>
      <c r="GN39" s="40"/>
      <c r="GO39" s="40"/>
      <c r="GP39" s="40"/>
      <c r="GQ39" s="40"/>
      <c r="GR39" s="40"/>
      <c r="GS39" s="40"/>
      <c r="GT39" s="40"/>
      <c r="GU39" s="40"/>
      <c r="GV39" s="40"/>
      <c r="GW39" s="40"/>
      <c r="GX39" s="40"/>
      <c r="GY39" s="40"/>
      <c r="GZ39" s="40"/>
      <c r="HA39" s="40"/>
      <c r="HB39" s="40"/>
      <c r="HC39" s="40"/>
      <c r="HD39" s="40"/>
      <c r="HE39" s="40"/>
      <c r="HF39" s="40"/>
      <c r="HG39" s="40"/>
      <c r="HH39" s="40"/>
      <c r="HI39" s="40"/>
      <c r="HJ39" s="40"/>
      <c r="HK39" s="40"/>
      <c r="HL39" s="40"/>
      <c r="HM39" s="40"/>
      <c r="HN39" s="40"/>
      <c r="HO39" s="40"/>
      <c r="HP39" s="40"/>
      <c r="HQ39" s="40"/>
      <c r="HR39" s="40"/>
      <c r="HS39" s="40"/>
      <c r="HT39" s="40"/>
      <c r="HU39" s="40"/>
    </row>
    <row r="40" spans="1:229" s="41" customFormat="1" ht="28.8" customHeight="1">
      <c r="A40" s="124" t="s">
        <v>1676</v>
      </c>
      <c r="B40" s="80" t="s">
        <v>1438</v>
      </c>
      <c r="C40" s="80"/>
      <c r="D40" s="80" t="s">
        <v>1439</v>
      </c>
      <c r="E40" s="80" t="s">
        <v>1440</v>
      </c>
      <c r="F40" s="80" t="s">
        <v>1441</v>
      </c>
      <c r="G40" s="135" t="s">
        <v>1442</v>
      </c>
      <c r="H40" s="81">
        <v>0.4</v>
      </c>
      <c r="I40" s="81"/>
      <c r="J40" s="79"/>
      <c r="K40" s="81"/>
      <c r="L40" s="79"/>
      <c r="M40" s="82" t="s">
        <v>1631</v>
      </c>
      <c r="N40" s="82" t="s">
        <v>294</v>
      </c>
      <c r="O40" s="82" t="s">
        <v>316</v>
      </c>
      <c r="P40" s="142">
        <v>0.2</v>
      </c>
      <c r="Q40" s="40">
        <f>SUMIF(Data_P!A:A,CONCATENATE(A40,"_",R$1),Data_P!J:J)</f>
        <v>53.51</v>
      </c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  <c r="BM40" s="40"/>
      <c r="BN40" s="40"/>
      <c r="BO40" s="40"/>
      <c r="BP40" s="40"/>
      <c r="BQ40" s="40"/>
      <c r="BR40" s="40"/>
      <c r="BS40" s="40"/>
      <c r="BT40" s="40"/>
      <c r="BU40" s="40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J40" s="40"/>
      <c r="CK40" s="40"/>
      <c r="CL40" s="40"/>
      <c r="CM40" s="40"/>
      <c r="CN40" s="40"/>
      <c r="CO40" s="40"/>
      <c r="CP40" s="40"/>
      <c r="CQ40" s="40"/>
      <c r="CR40" s="40"/>
      <c r="CS40" s="40"/>
      <c r="CT40" s="40"/>
      <c r="CU40" s="40"/>
      <c r="CV40" s="40"/>
      <c r="CW40" s="40"/>
      <c r="CX40" s="40"/>
      <c r="CY40" s="40"/>
      <c r="CZ40" s="40"/>
      <c r="DA40" s="40"/>
      <c r="DB40" s="40"/>
      <c r="DC40" s="40"/>
      <c r="DD40" s="40"/>
      <c r="DE40" s="40"/>
      <c r="DF40" s="40"/>
      <c r="DG40" s="40"/>
      <c r="DH40" s="40"/>
      <c r="DI40" s="40"/>
      <c r="DJ40" s="40"/>
      <c r="DK40" s="40"/>
      <c r="DL40" s="40"/>
      <c r="DM40" s="40"/>
      <c r="DN40" s="40"/>
      <c r="DO40" s="40"/>
      <c r="DP40" s="40"/>
      <c r="DQ40" s="40"/>
      <c r="DR40" s="40"/>
      <c r="DS40" s="40"/>
      <c r="DT40" s="40"/>
      <c r="DU40" s="40"/>
      <c r="DV40" s="40"/>
      <c r="DW40" s="40"/>
      <c r="DX40" s="40"/>
      <c r="DY40" s="40"/>
      <c r="DZ40" s="40"/>
      <c r="EA40" s="40"/>
      <c r="EB40" s="40"/>
      <c r="EC40" s="40"/>
      <c r="ED40" s="40"/>
      <c r="EE40" s="40"/>
      <c r="EF40" s="40"/>
      <c r="EG40" s="40"/>
      <c r="EH40" s="40"/>
      <c r="EI40" s="40"/>
      <c r="EJ40" s="40"/>
      <c r="EK40" s="40"/>
      <c r="EL40" s="40"/>
      <c r="EM40" s="40"/>
      <c r="EN40" s="40"/>
      <c r="EO40" s="40"/>
      <c r="EP40" s="40"/>
      <c r="EQ40" s="40"/>
      <c r="ER40" s="40"/>
      <c r="ES40" s="40"/>
      <c r="ET40" s="40"/>
      <c r="EU40" s="40"/>
      <c r="EV40" s="40"/>
      <c r="EW40" s="40"/>
      <c r="EX40" s="40"/>
      <c r="EY40" s="40"/>
      <c r="EZ40" s="40"/>
      <c r="FA40" s="40"/>
      <c r="FB40" s="40"/>
      <c r="FC40" s="40"/>
      <c r="FD40" s="40"/>
      <c r="FE40" s="40"/>
      <c r="FF40" s="40"/>
      <c r="FG40" s="40"/>
      <c r="FH40" s="40"/>
      <c r="FI40" s="40"/>
      <c r="FJ40" s="40"/>
      <c r="FK40" s="40"/>
      <c r="FL40" s="40"/>
      <c r="FM40" s="40"/>
      <c r="FN40" s="40"/>
      <c r="FO40" s="40"/>
      <c r="FP40" s="40"/>
      <c r="FQ40" s="40"/>
      <c r="FR40" s="40"/>
      <c r="FS40" s="40"/>
      <c r="FT40" s="40"/>
      <c r="FU40" s="40"/>
      <c r="FV40" s="40"/>
      <c r="FW40" s="40"/>
      <c r="FX40" s="40"/>
      <c r="FY40" s="40"/>
      <c r="FZ40" s="40"/>
      <c r="GA40" s="40"/>
      <c r="GB40" s="40"/>
      <c r="GC40" s="40"/>
      <c r="GD40" s="40"/>
      <c r="GE40" s="40"/>
      <c r="GF40" s="40"/>
      <c r="GG40" s="40"/>
      <c r="GH40" s="40"/>
      <c r="GI40" s="40"/>
      <c r="GJ40" s="40"/>
      <c r="GK40" s="40"/>
      <c r="GL40" s="40"/>
      <c r="GM40" s="40"/>
      <c r="GN40" s="40"/>
      <c r="GO40" s="40"/>
      <c r="GP40" s="40"/>
      <c r="GQ40" s="40"/>
      <c r="GR40" s="40"/>
      <c r="GS40" s="40"/>
      <c r="GT40" s="40"/>
      <c r="GU40" s="40"/>
      <c r="GV40" s="40"/>
      <c r="GW40" s="40"/>
      <c r="GX40" s="40"/>
      <c r="GY40" s="40"/>
      <c r="GZ40" s="40"/>
      <c r="HA40" s="40"/>
      <c r="HB40" s="40"/>
      <c r="HC40" s="40"/>
      <c r="HD40" s="40"/>
      <c r="HE40" s="40"/>
      <c r="HF40" s="40"/>
      <c r="HG40" s="40"/>
      <c r="HH40" s="40"/>
      <c r="HI40" s="40"/>
      <c r="HJ40" s="40"/>
      <c r="HK40" s="40"/>
      <c r="HL40" s="40"/>
      <c r="HM40" s="40"/>
      <c r="HN40" s="40"/>
      <c r="HO40" s="40"/>
      <c r="HP40" s="40"/>
      <c r="HQ40" s="40"/>
      <c r="HR40" s="40"/>
      <c r="HS40" s="40"/>
      <c r="HT40" s="40"/>
      <c r="HU40" s="40"/>
    </row>
    <row r="41" spans="1:229" s="41" customFormat="1" ht="28.8" customHeight="1">
      <c r="A41" s="124" t="s">
        <v>1233</v>
      </c>
      <c r="B41" s="80" t="s">
        <v>1232</v>
      </c>
      <c r="C41" s="80"/>
      <c r="D41" s="80" t="s">
        <v>1298</v>
      </c>
      <c r="E41" s="80" t="s">
        <v>1299</v>
      </c>
      <c r="F41" s="80" t="s">
        <v>1300</v>
      </c>
      <c r="G41" s="135" t="s">
        <v>1301</v>
      </c>
      <c r="H41" s="81">
        <v>0.25</v>
      </c>
      <c r="I41" s="81"/>
      <c r="J41" s="79"/>
      <c r="K41" s="81"/>
      <c r="L41" s="79"/>
      <c r="M41" s="82" t="s">
        <v>1651</v>
      </c>
      <c r="N41" s="82" t="s">
        <v>1427</v>
      </c>
      <c r="O41" s="82" t="s">
        <v>316</v>
      </c>
      <c r="P41" s="142">
        <v>0.2</v>
      </c>
      <c r="Q41" s="40">
        <f>SUMIF(Data_P!A:A,CONCATENATE(A41,"_",R$1),Data_P!J:J)</f>
        <v>0</v>
      </c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40"/>
      <c r="BQ41" s="40"/>
      <c r="BR41" s="40"/>
      <c r="BS41" s="40"/>
      <c r="BT41" s="40"/>
      <c r="BU41" s="40"/>
      <c r="BV41" s="40"/>
      <c r="BW41" s="40"/>
      <c r="BX41" s="40"/>
      <c r="BY41" s="40"/>
      <c r="BZ41" s="40"/>
      <c r="CA41" s="40"/>
      <c r="CB41" s="40"/>
      <c r="CC41" s="40"/>
      <c r="CD41" s="40"/>
      <c r="CE41" s="40"/>
      <c r="CF41" s="40"/>
      <c r="CG41" s="40"/>
      <c r="CH41" s="40"/>
      <c r="CI41" s="40"/>
      <c r="CJ41" s="40"/>
      <c r="CK41" s="40"/>
      <c r="CL41" s="40"/>
      <c r="CM41" s="40"/>
      <c r="CN41" s="40"/>
      <c r="CO41" s="40"/>
      <c r="CP41" s="40"/>
      <c r="CQ41" s="40"/>
      <c r="CR41" s="40"/>
      <c r="CS41" s="40"/>
      <c r="CT41" s="40"/>
      <c r="CU41" s="40"/>
      <c r="CV41" s="40"/>
      <c r="CW41" s="40"/>
      <c r="CX41" s="40"/>
      <c r="CY41" s="40"/>
      <c r="CZ41" s="40"/>
      <c r="DA41" s="40"/>
      <c r="DB41" s="40"/>
      <c r="DC41" s="40"/>
      <c r="DD41" s="40"/>
      <c r="DE41" s="40"/>
      <c r="DF41" s="40"/>
      <c r="DG41" s="40"/>
      <c r="DH41" s="40"/>
      <c r="DI41" s="40"/>
      <c r="DJ41" s="40"/>
      <c r="DK41" s="40"/>
      <c r="DL41" s="40"/>
      <c r="DM41" s="40"/>
      <c r="DN41" s="40"/>
      <c r="DO41" s="40"/>
      <c r="DP41" s="40"/>
      <c r="DQ41" s="40"/>
      <c r="DR41" s="40"/>
      <c r="DS41" s="40"/>
      <c r="DT41" s="40"/>
      <c r="DU41" s="40"/>
      <c r="DV41" s="40"/>
      <c r="DW41" s="40"/>
      <c r="DX41" s="40"/>
      <c r="DY41" s="40"/>
      <c r="DZ41" s="40"/>
      <c r="EA41" s="40"/>
      <c r="EB41" s="40"/>
      <c r="EC41" s="40"/>
      <c r="ED41" s="40"/>
      <c r="EE41" s="40"/>
      <c r="EF41" s="40"/>
      <c r="EG41" s="40"/>
      <c r="EH41" s="40"/>
      <c r="EI41" s="40"/>
      <c r="EJ41" s="40"/>
      <c r="EK41" s="40"/>
      <c r="EL41" s="40"/>
      <c r="EM41" s="40"/>
      <c r="EN41" s="40"/>
      <c r="EO41" s="40"/>
      <c r="EP41" s="40"/>
      <c r="EQ41" s="40"/>
      <c r="ER41" s="40"/>
      <c r="ES41" s="40"/>
      <c r="ET41" s="40"/>
      <c r="EU41" s="40"/>
      <c r="EV41" s="40"/>
      <c r="EW41" s="40"/>
      <c r="EX41" s="40"/>
      <c r="EY41" s="40"/>
      <c r="EZ41" s="40"/>
      <c r="FA41" s="40"/>
      <c r="FB41" s="40"/>
      <c r="FC41" s="40"/>
      <c r="FD41" s="40"/>
      <c r="FE41" s="40"/>
      <c r="FF41" s="40"/>
      <c r="FG41" s="40"/>
      <c r="FH41" s="40"/>
      <c r="FI41" s="40"/>
      <c r="FJ41" s="40"/>
      <c r="FK41" s="40"/>
      <c r="FL41" s="40"/>
      <c r="FM41" s="40"/>
      <c r="FN41" s="40"/>
      <c r="FO41" s="40"/>
      <c r="FP41" s="40"/>
      <c r="FQ41" s="40"/>
      <c r="FR41" s="40"/>
      <c r="FS41" s="40"/>
      <c r="FT41" s="40"/>
      <c r="FU41" s="40"/>
      <c r="FV41" s="40"/>
      <c r="FW41" s="40"/>
      <c r="FX41" s="40"/>
      <c r="FY41" s="40"/>
      <c r="FZ41" s="40"/>
      <c r="GA41" s="40"/>
      <c r="GB41" s="40"/>
      <c r="GC41" s="40"/>
      <c r="GD41" s="40"/>
      <c r="GE41" s="40"/>
      <c r="GF41" s="40"/>
      <c r="GG41" s="40"/>
      <c r="GH41" s="40"/>
      <c r="GI41" s="40"/>
      <c r="GJ41" s="40"/>
      <c r="GK41" s="40"/>
      <c r="GL41" s="40"/>
      <c r="GM41" s="40"/>
      <c r="GN41" s="40"/>
      <c r="GO41" s="40"/>
      <c r="GP41" s="40"/>
      <c r="GQ41" s="40"/>
      <c r="GR41" s="40"/>
      <c r="GS41" s="40"/>
      <c r="GT41" s="40"/>
      <c r="GU41" s="40"/>
      <c r="GV41" s="40"/>
      <c r="GW41" s="40"/>
      <c r="GX41" s="40"/>
      <c r="GY41" s="40"/>
      <c r="GZ41" s="40"/>
      <c r="HA41" s="40"/>
      <c r="HB41" s="40"/>
      <c r="HC41" s="40"/>
      <c r="HD41" s="40"/>
      <c r="HE41" s="40"/>
      <c r="HF41" s="40"/>
      <c r="HG41" s="40"/>
      <c r="HH41" s="40"/>
      <c r="HI41" s="40"/>
      <c r="HJ41" s="40"/>
      <c r="HK41" s="40"/>
      <c r="HL41" s="40"/>
      <c r="HM41" s="40"/>
      <c r="HN41" s="40"/>
      <c r="HO41" s="40"/>
      <c r="HP41" s="40"/>
      <c r="HQ41" s="40"/>
      <c r="HR41" s="40"/>
      <c r="HS41" s="40"/>
      <c r="HT41" s="40"/>
      <c r="HU41" s="40"/>
    </row>
    <row r="42" spans="1:229" s="41" customFormat="1" ht="28.8" customHeight="1">
      <c r="A42" s="124" t="s">
        <v>1677</v>
      </c>
      <c r="B42" s="80" t="s">
        <v>274</v>
      </c>
      <c r="C42" s="80"/>
      <c r="D42" s="80" t="s">
        <v>275</v>
      </c>
      <c r="E42" s="80" t="s">
        <v>276</v>
      </c>
      <c r="F42" s="80" t="s">
        <v>277</v>
      </c>
      <c r="G42" s="135" t="s">
        <v>278</v>
      </c>
      <c r="H42" s="81">
        <v>0.2</v>
      </c>
      <c r="I42" s="81"/>
      <c r="J42" s="79"/>
      <c r="K42" s="81"/>
      <c r="L42" s="79"/>
      <c r="M42" s="82" t="s">
        <v>372</v>
      </c>
      <c r="N42" s="82" t="s">
        <v>373</v>
      </c>
      <c r="O42" s="82" t="s">
        <v>316</v>
      </c>
      <c r="P42" s="142">
        <v>0.2</v>
      </c>
      <c r="Q42" s="40">
        <f>SUMIF(Data_P!A:A,CONCATENATE(A42,"_",R$1),Data_P!J:J)</f>
        <v>164.4</v>
      </c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/>
      <c r="BL42" s="40"/>
      <c r="BM42" s="40"/>
      <c r="BN42" s="40"/>
      <c r="BO42" s="40"/>
      <c r="BP42" s="40"/>
      <c r="BQ42" s="40"/>
      <c r="BR42" s="40"/>
      <c r="BS42" s="40"/>
      <c r="BT42" s="40"/>
      <c r="BU42" s="40"/>
      <c r="BV42" s="40"/>
      <c r="BW42" s="40"/>
      <c r="BX42" s="40"/>
      <c r="BY42" s="40"/>
      <c r="BZ42" s="40"/>
      <c r="CA42" s="40"/>
      <c r="CB42" s="40"/>
      <c r="CC42" s="40"/>
      <c r="CD42" s="40"/>
      <c r="CE42" s="40"/>
      <c r="CF42" s="40"/>
      <c r="CG42" s="40"/>
      <c r="CH42" s="40"/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/>
      <c r="CY42" s="40"/>
      <c r="CZ42" s="40"/>
      <c r="DA42" s="40"/>
      <c r="DB42" s="40"/>
      <c r="DC42" s="40"/>
      <c r="DD42" s="40"/>
      <c r="DE42" s="40"/>
      <c r="DF42" s="40"/>
      <c r="DG42" s="40"/>
      <c r="DH42" s="40"/>
      <c r="DI42" s="40"/>
      <c r="DJ42" s="40"/>
      <c r="DK42" s="40"/>
      <c r="DL42" s="40"/>
      <c r="DM42" s="40"/>
      <c r="DN42" s="40"/>
      <c r="DO42" s="40"/>
      <c r="DP42" s="40"/>
      <c r="DQ42" s="40"/>
      <c r="DR42" s="40"/>
      <c r="DS42" s="40"/>
      <c r="DT42" s="40"/>
      <c r="DU42" s="40"/>
      <c r="DV42" s="40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40"/>
      <c r="EL42" s="40"/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  <c r="FA42" s="40"/>
      <c r="FB42" s="40"/>
      <c r="FC42" s="40"/>
      <c r="FD42" s="40"/>
      <c r="FE42" s="40"/>
      <c r="FF42" s="40"/>
      <c r="FG42" s="40"/>
      <c r="FH42" s="40"/>
      <c r="FI42" s="40"/>
      <c r="FJ42" s="40"/>
      <c r="FK42" s="40"/>
      <c r="FL42" s="40"/>
      <c r="FM42" s="40"/>
      <c r="FN42" s="40"/>
      <c r="FO42" s="40"/>
      <c r="FP42" s="40"/>
      <c r="FQ42" s="40"/>
      <c r="FR42" s="40"/>
      <c r="FS42" s="40"/>
      <c r="FT42" s="40"/>
      <c r="FU42" s="40"/>
      <c r="FV42" s="40"/>
      <c r="FW42" s="40"/>
      <c r="FX42" s="40"/>
      <c r="FY42" s="40"/>
      <c r="FZ42" s="40"/>
      <c r="GA42" s="40"/>
      <c r="GB42" s="40"/>
      <c r="GC42" s="40"/>
      <c r="GD42" s="40"/>
      <c r="GE42" s="40"/>
      <c r="GF42" s="40"/>
      <c r="GG42" s="40"/>
      <c r="GH42" s="40"/>
      <c r="GI42" s="40"/>
      <c r="GJ42" s="40"/>
      <c r="GK42" s="40"/>
      <c r="GL42" s="40"/>
      <c r="GM42" s="40"/>
      <c r="GN42" s="40"/>
      <c r="GO42" s="40"/>
      <c r="GP42" s="40"/>
      <c r="GQ42" s="40"/>
      <c r="GR42" s="40"/>
      <c r="GS42" s="40"/>
      <c r="GT42" s="40"/>
      <c r="GU42" s="40"/>
      <c r="GV42" s="40"/>
      <c r="GW42" s="40"/>
      <c r="GX42" s="40"/>
      <c r="GY42" s="40"/>
      <c r="GZ42" s="40"/>
      <c r="HA42" s="40"/>
      <c r="HB42" s="40"/>
      <c r="HC42" s="40"/>
      <c r="HD42" s="40"/>
      <c r="HE42" s="40"/>
      <c r="HF42" s="40"/>
      <c r="HG42" s="40"/>
      <c r="HH42" s="40"/>
      <c r="HI42" s="40"/>
      <c r="HJ42" s="40"/>
      <c r="HK42" s="40"/>
      <c r="HL42" s="40"/>
      <c r="HM42" s="40"/>
      <c r="HN42" s="40"/>
      <c r="HO42" s="40"/>
      <c r="HP42" s="40"/>
      <c r="HQ42" s="40"/>
      <c r="HR42" s="40"/>
      <c r="HS42" s="40"/>
      <c r="HT42" s="40"/>
      <c r="HU42" s="40"/>
    </row>
    <row r="43" spans="1:229" s="41" customFormat="1" ht="28.8" customHeight="1">
      <c r="A43" s="124" t="s">
        <v>1799</v>
      </c>
      <c r="B43" s="80" t="s">
        <v>1866</v>
      </c>
      <c r="C43" s="80"/>
      <c r="D43" s="80" t="s">
        <v>1867</v>
      </c>
      <c r="E43" s="80" t="s">
        <v>1868</v>
      </c>
      <c r="F43" s="80" t="s">
        <v>1869</v>
      </c>
      <c r="G43" s="135" t="s">
        <v>1870</v>
      </c>
      <c r="H43" s="81">
        <v>0.4</v>
      </c>
      <c r="I43" s="81">
        <v>-0.05</v>
      </c>
      <c r="J43" s="79" t="s">
        <v>399</v>
      </c>
      <c r="K43" s="81"/>
      <c r="L43" s="79"/>
      <c r="M43" s="82" t="s">
        <v>1919</v>
      </c>
      <c r="N43" s="82" t="s">
        <v>1920</v>
      </c>
      <c r="O43" s="82" t="s">
        <v>317</v>
      </c>
      <c r="P43" s="142">
        <v>0.2</v>
      </c>
      <c r="Q43" s="40">
        <f>SUMIF(Data_P!A:A,CONCATENATE(A43,"_",R$1),Data_P!J:J)</f>
        <v>0</v>
      </c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  <c r="BO43" s="40"/>
      <c r="BP43" s="40"/>
      <c r="BQ43" s="40"/>
      <c r="BR43" s="40"/>
      <c r="BS43" s="40"/>
      <c r="BT43" s="40"/>
      <c r="BU43" s="40"/>
      <c r="BV43" s="40"/>
      <c r="BW43" s="40"/>
      <c r="BX43" s="40"/>
      <c r="BY43" s="40"/>
      <c r="BZ43" s="40"/>
      <c r="CA43" s="40"/>
      <c r="CB43" s="40"/>
      <c r="CC43" s="40"/>
      <c r="CD43" s="40"/>
      <c r="CE43" s="40"/>
      <c r="CF43" s="40"/>
      <c r="CG43" s="40"/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40"/>
      <c r="DA43" s="40"/>
      <c r="DB43" s="40"/>
      <c r="DC43" s="40"/>
      <c r="DD43" s="40"/>
      <c r="DE43" s="40"/>
      <c r="DF43" s="40"/>
      <c r="DG43" s="40"/>
      <c r="DH43" s="40"/>
      <c r="DI43" s="40"/>
      <c r="DJ43" s="40"/>
      <c r="DK43" s="40"/>
      <c r="DL43" s="40"/>
      <c r="DM43" s="40"/>
      <c r="DN43" s="40"/>
      <c r="DO43" s="40"/>
      <c r="DP43" s="40"/>
      <c r="DQ43" s="40"/>
      <c r="DR43" s="40"/>
      <c r="DS43" s="40"/>
      <c r="DT43" s="40"/>
      <c r="DU43" s="40"/>
      <c r="DV43" s="40"/>
      <c r="DW43" s="40"/>
      <c r="DX43" s="40"/>
      <c r="DY43" s="40"/>
      <c r="DZ43" s="40"/>
      <c r="EA43" s="40"/>
      <c r="EB43" s="40"/>
      <c r="EC43" s="40"/>
      <c r="ED43" s="40"/>
      <c r="EE43" s="40"/>
      <c r="EF43" s="40"/>
      <c r="EG43" s="40"/>
      <c r="EH43" s="40"/>
      <c r="EI43" s="40"/>
      <c r="EJ43" s="40"/>
      <c r="EK43" s="40"/>
      <c r="EL43" s="40"/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  <c r="FA43" s="40"/>
      <c r="FB43" s="40"/>
      <c r="FC43" s="40"/>
      <c r="FD43" s="40"/>
      <c r="FE43" s="40"/>
      <c r="FF43" s="40"/>
      <c r="FG43" s="40"/>
      <c r="FH43" s="40"/>
      <c r="FI43" s="40"/>
      <c r="FJ43" s="40"/>
      <c r="FK43" s="40"/>
      <c r="FL43" s="40"/>
      <c r="FM43" s="40"/>
      <c r="FN43" s="40"/>
      <c r="FO43" s="40"/>
      <c r="FP43" s="40"/>
      <c r="FQ43" s="40"/>
      <c r="FR43" s="40"/>
      <c r="FS43" s="40"/>
      <c r="FT43" s="40"/>
      <c r="FU43" s="40"/>
      <c r="FV43" s="40"/>
      <c r="FW43" s="40"/>
      <c r="FX43" s="40"/>
      <c r="FY43" s="40"/>
      <c r="FZ43" s="40"/>
      <c r="GA43" s="40"/>
      <c r="GB43" s="40"/>
      <c r="GC43" s="40"/>
      <c r="GD43" s="40"/>
      <c r="GE43" s="40"/>
      <c r="GF43" s="40"/>
      <c r="GG43" s="40"/>
      <c r="GH43" s="40"/>
      <c r="GI43" s="40"/>
      <c r="GJ43" s="40"/>
      <c r="GK43" s="40"/>
      <c r="GL43" s="40"/>
      <c r="GM43" s="40"/>
      <c r="GN43" s="40"/>
      <c r="GO43" s="40"/>
      <c r="GP43" s="40"/>
      <c r="GQ43" s="40"/>
      <c r="GR43" s="40"/>
      <c r="GS43" s="40"/>
      <c r="GT43" s="40"/>
      <c r="GU43" s="40"/>
      <c r="GV43" s="40"/>
      <c r="GW43" s="40"/>
      <c r="GX43" s="40"/>
      <c r="GY43" s="40"/>
      <c r="GZ43" s="40"/>
      <c r="HA43" s="40"/>
      <c r="HB43" s="40"/>
      <c r="HC43" s="40"/>
      <c r="HD43" s="40"/>
      <c r="HE43" s="40"/>
      <c r="HF43" s="40"/>
      <c r="HG43" s="40"/>
      <c r="HH43" s="40"/>
      <c r="HI43" s="40"/>
      <c r="HJ43" s="40"/>
      <c r="HK43" s="40"/>
      <c r="HL43" s="40"/>
      <c r="HM43" s="40"/>
      <c r="HN43" s="40"/>
      <c r="HO43" s="40"/>
      <c r="HP43" s="40"/>
      <c r="HQ43" s="40"/>
      <c r="HR43" s="40"/>
      <c r="HS43" s="40"/>
      <c r="HT43" s="40"/>
      <c r="HU43" s="40"/>
    </row>
    <row r="44" spans="1:229" s="41" customFormat="1" ht="28.8" customHeight="1">
      <c r="A44" s="124" t="s">
        <v>1678</v>
      </c>
      <c r="B44" s="80" t="s">
        <v>1443</v>
      </c>
      <c r="C44" s="80"/>
      <c r="D44" s="80" t="s">
        <v>1444</v>
      </c>
      <c r="E44" s="80" t="s">
        <v>156</v>
      </c>
      <c r="F44" s="80" t="s">
        <v>1445</v>
      </c>
      <c r="G44" s="135" t="s">
        <v>1446</v>
      </c>
      <c r="H44" s="81">
        <v>0.2</v>
      </c>
      <c r="I44" s="81"/>
      <c r="J44" s="79"/>
      <c r="K44" s="81"/>
      <c r="L44" s="79"/>
      <c r="M44" s="82" t="s">
        <v>1548</v>
      </c>
      <c r="N44" s="82" t="s">
        <v>240</v>
      </c>
      <c r="O44" s="82" t="s">
        <v>316</v>
      </c>
      <c r="P44" s="142">
        <v>0.2</v>
      </c>
      <c r="Q44" s="40">
        <f>SUMIF(Data_P!A:A,CONCATENATE(A44,"_",R$1),Data_P!J:J)</f>
        <v>0</v>
      </c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  <c r="BK44" s="40"/>
      <c r="BL44" s="40"/>
      <c r="BM44" s="40"/>
      <c r="BN44" s="40"/>
      <c r="BO44" s="40"/>
      <c r="BP44" s="40"/>
      <c r="BQ44" s="40"/>
      <c r="BR44" s="40"/>
      <c r="BS44" s="40"/>
      <c r="BT44" s="40"/>
      <c r="BU44" s="40"/>
      <c r="BV44" s="40"/>
      <c r="BW44" s="40"/>
      <c r="BX44" s="40"/>
      <c r="BY44" s="40"/>
      <c r="BZ44" s="40"/>
      <c r="CA44" s="40"/>
      <c r="CB44" s="40"/>
      <c r="CC44" s="40"/>
      <c r="CD44" s="40"/>
      <c r="CE44" s="40"/>
      <c r="CF44" s="40"/>
      <c r="CG44" s="40"/>
      <c r="CH44" s="40"/>
      <c r="CI44" s="40"/>
      <c r="CJ44" s="40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40"/>
      <c r="CW44" s="40"/>
      <c r="CX44" s="40"/>
      <c r="CY44" s="40"/>
      <c r="CZ44" s="40"/>
      <c r="DA44" s="40"/>
      <c r="DB44" s="40"/>
      <c r="DC44" s="40"/>
      <c r="DD44" s="40"/>
      <c r="DE44" s="40"/>
      <c r="DF44" s="40"/>
      <c r="DG44" s="40"/>
      <c r="DH44" s="40"/>
      <c r="DI44" s="40"/>
      <c r="DJ44" s="40"/>
      <c r="DK44" s="40"/>
      <c r="DL44" s="40"/>
      <c r="DM44" s="40"/>
      <c r="DN44" s="40"/>
      <c r="DO44" s="40"/>
      <c r="DP44" s="40"/>
      <c r="DQ44" s="40"/>
      <c r="DR44" s="40"/>
      <c r="DS44" s="40"/>
      <c r="DT44" s="40"/>
      <c r="DU44" s="40"/>
      <c r="DV44" s="40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40"/>
      <c r="EK44" s="40"/>
      <c r="EL44" s="40"/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  <c r="FA44" s="40"/>
      <c r="FB44" s="40"/>
      <c r="FC44" s="40"/>
      <c r="FD44" s="40"/>
      <c r="FE44" s="40"/>
      <c r="FF44" s="40"/>
      <c r="FG44" s="40"/>
      <c r="FH44" s="40"/>
      <c r="FI44" s="40"/>
      <c r="FJ44" s="40"/>
      <c r="FK44" s="40"/>
      <c r="FL44" s="40"/>
      <c r="FM44" s="40"/>
      <c r="FN44" s="40"/>
      <c r="FO44" s="40"/>
      <c r="FP44" s="40"/>
      <c r="FQ44" s="40"/>
      <c r="FR44" s="40"/>
      <c r="FS44" s="40"/>
      <c r="FT44" s="40"/>
      <c r="FU44" s="40"/>
      <c r="FV44" s="40"/>
      <c r="FW44" s="40"/>
      <c r="FX44" s="40"/>
      <c r="FY44" s="40"/>
      <c r="FZ44" s="40"/>
      <c r="GA44" s="40"/>
      <c r="GB44" s="40"/>
      <c r="GC44" s="40"/>
      <c r="GD44" s="40"/>
      <c r="GE44" s="40"/>
      <c r="GF44" s="40"/>
      <c r="GG44" s="40"/>
      <c r="GH44" s="40"/>
      <c r="GI44" s="40"/>
      <c r="GJ44" s="40"/>
      <c r="GK44" s="40"/>
      <c r="GL44" s="40"/>
      <c r="GM44" s="40"/>
      <c r="GN44" s="40"/>
      <c r="GO44" s="40"/>
      <c r="GP44" s="40"/>
      <c r="GQ44" s="40"/>
      <c r="GR44" s="40"/>
      <c r="GS44" s="40"/>
      <c r="GT44" s="40"/>
      <c r="GU44" s="40"/>
      <c r="GV44" s="40"/>
      <c r="GW44" s="40"/>
      <c r="GX44" s="40"/>
      <c r="GY44" s="40"/>
      <c r="GZ44" s="40"/>
      <c r="HA44" s="40"/>
      <c r="HB44" s="40"/>
      <c r="HC44" s="40"/>
      <c r="HD44" s="40"/>
      <c r="HE44" s="40"/>
      <c r="HF44" s="40"/>
      <c r="HG44" s="40"/>
      <c r="HH44" s="40"/>
      <c r="HI44" s="40"/>
      <c r="HJ44" s="40"/>
      <c r="HK44" s="40"/>
      <c r="HL44" s="40"/>
      <c r="HM44" s="40"/>
      <c r="HN44" s="40"/>
      <c r="HO44" s="40"/>
      <c r="HP44" s="40"/>
      <c r="HQ44" s="40"/>
      <c r="HR44" s="40"/>
      <c r="HS44" s="40"/>
      <c r="HT44" s="40"/>
      <c r="HU44" s="40"/>
    </row>
    <row r="45" spans="1:229" s="41" customFormat="1" ht="28.8" customHeight="1">
      <c r="A45" s="124" t="s">
        <v>2058</v>
      </c>
      <c r="B45" s="80" t="s">
        <v>1332</v>
      </c>
      <c r="C45" s="80"/>
      <c r="D45" s="80" t="s">
        <v>1333</v>
      </c>
      <c r="E45" s="80" t="s">
        <v>1324</v>
      </c>
      <c r="F45" s="80" t="s">
        <v>1334</v>
      </c>
      <c r="G45" s="135" t="s">
        <v>1335</v>
      </c>
      <c r="H45" s="81">
        <v>0.4</v>
      </c>
      <c r="I45" s="81"/>
      <c r="J45" s="79"/>
      <c r="K45" s="81"/>
      <c r="L45" s="79"/>
      <c r="M45" s="82"/>
      <c r="N45" s="82"/>
      <c r="O45" s="82" t="s">
        <v>317</v>
      </c>
      <c r="P45" s="142">
        <v>0.2</v>
      </c>
      <c r="Q45" s="40">
        <f>SUMIF(Data_P!A:A,CONCATENATE(A45,"_",R$1),Data_P!J:J)</f>
        <v>8.4</v>
      </c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  <c r="BM45" s="40"/>
      <c r="BN45" s="40"/>
      <c r="BO45" s="40"/>
      <c r="BP45" s="40"/>
      <c r="BQ45" s="40"/>
      <c r="BR45" s="40"/>
      <c r="BS45" s="40"/>
      <c r="BT45" s="40"/>
      <c r="BU45" s="40"/>
      <c r="BV45" s="40"/>
      <c r="BW45" s="40"/>
      <c r="BX45" s="40"/>
      <c r="BY45" s="40"/>
      <c r="BZ45" s="40"/>
      <c r="CA45" s="40"/>
      <c r="CB45" s="40"/>
      <c r="CC45" s="40"/>
      <c r="CD45" s="40"/>
      <c r="CE45" s="40"/>
      <c r="CF45" s="40"/>
      <c r="CG45" s="40"/>
      <c r="CH45" s="40"/>
      <c r="CI45" s="40"/>
      <c r="CJ45" s="40"/>
      <c r="CK45" s="40"/>
      <c r="CL45" s="40"/>
      <c r="CM45" s="40"/>
      <c r="CN45" s="40"/>
      <c r="CO45" s="40"/>
      <c r="CP45" s="40"/>
      <c r="CQ45" s="40"/>
      <c r="CR45" s="40"/>
      <c r="CS45" s="40"/>
      <c r="CT45" s="40"/>
      <c r="CU45" s="40"/>
      <c r="CV45" s="40"/>
      <c r="CW45" s="40"/>
      <c r="CX45" s="40"/>
      <c r="CY45" s="40"/>
      <c r="CZ45" s="40"/>
      <c r="DA45" s="40"/>
      <c r="DB45" s="40"/>
      <c r="DC45" s="40"/>
      <c r="DD45" s="40"/>
      <c r="DE45" s="40"/>
      <c r="DF45" s="40"/>
      <c r="DG45" s="40"/>
      <c r="DH45" s="40"/>
      <c r="DI45" s="40"/>
      <c r="DJ45" s="40"/>
      <c r="DK45" s="40"/>
      <c r="DL45" s="40"/>
      <c r="DM45" s="40"/>
      <c r="DN45" s="40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  <c r="FA45" s="40"/>
      <c r="FB45" s="40"/>
      <c r="FC45" s="40"/>
      <c r="FD45" s="40"/>
      <c r="FE45" s="40"/>
      <c r="FF45" s="40"/>
      <c r="FG45" s="40"/>
      <c r="FH45" s="40"/>
      <c r="FI45" s="40"/>
      <c r="FJ45" s="40"/>
      <c r="FK45" s="40"/>
      <c r="FL45" s="40"/>
      <c r="FM45" s="40"/>
      <c r="FN45" s="40"/>
      <c r="FO45" s="40"/>
      <c r="FP45" s="40"/>
      <c r="FQ45" s="40"/>
      <c r="FR45" s="40"/>
      <c r="FS45" s="40"/>
      <c r="FT45" s="40"/>
      <c r="FU45" s="40"/>
      <c r="FV45" s="40"/>
      <c r="FW45" s="40"/>
      <c r="FX45" s="40"/>
      <c r="FY45" s="40"/>
      <c r="FZ45" s="40"/>
      <c r="GA45" s="40"/>
      <c r="GB45" s="40"/>
      <c r="GC45" s="40"/>
      <c r="GD45" s="40"/>
      <c r="GE45" s="40"/>
      <c r="GF45" s="40"/>
      <c r="GG45" s="40"/>
      <c r="GH45" s="40"/>
      <c r="GI45" s="40"/>
      <c r="GJ45" s="40"/>
      <c r="GK45" s="40"/>
      <c r="GL45" s="40"/>
      <c r="GM45" s="40"/>
      <c r="GN45" s="40"/>
      <c r="GO45" s="40"/>
      <c r="GP45" s="40"/>
      <c r="GQ45" s="40"/>
      <c r="GR45" s="40"/>
      <c r="GS45" s="40"/>
      <c r="GT45" s="40"/>
      <c r="GU45" s="40"/>
      <c r="GV45" s="40"/>
      <c r="GW45" s="40"/>
      <c r="GX45" s="40"/>
      <c r="GY45" s="40"/>
      <c r="GZ45" s="40"/>
      <c r="HA45" s="40"/>
      <c r="HB45" s="40"/>
      <c r="HC45" s="40"/>
      <c r="HD45" s="40"/>
      <c r="HE45" s="40"/>
      <c r="HF45" s="40"/>
      <c r="HG45" s="40"/>
      <c r="HH45" s="40"/>
      <c r="HI45" s="40"/>
      <c r="HJ45" s="40"/>
      <c r="HK45" s="40"/>
      <c r="HL45" s="40"/>
      <c r="HM45" s="40"/>
      <c r="HN45" s="40"/>
      <c r="HO45" s="40"/>
      <c r="HP45" s="40"/>
      <c r="HQ45" s="40"/>
      <c r="HR45" s="40"/>
      <c r="HS45" s="40"/>
      <c r="HT45" s="40"/>
      <c r="HU45" s="40"/>
    </row>
    <row r="46" spans="1:229" s="41" customFormat="1" ht="28.8" customHeight="1">
      <c r="A46" s="124" t="s">
        <v>1801</v>
      </c>
      <c r="B46" s="80" t="s">
        <v>354</v>
      </c>
      <c r="C46" s="80"/>
      <c r="D46" s="80" t="s">
        <v>1854</v>
      </c>
      <c r="E46" s="80" t="s">
        <v>1855</v>
      </c>
      <c r="F46" s="80" t="s">
        <v>1856</v>
      </c>
      <c r="G46" s="135" t="s">
        <v>1857</v>
      </c>
      <c r="H46" s="81">
        <v>0.35</v>
      </c>
      <c r="I46" s="81"/>
      <c r="J46" s="79"/>
      <c r="K46" s="81"/>
      <c r="L46" s="79"/>
      <c r="M46" s="82" t="s">
        <v>1921</v>
      </c>
      <c r="N46" s="82" t="s">
        <v>14</v>
      </c>
      <c r="O46" s="82" t="s">
        <v>316</v>
      </c>
      <c r="P46" s="142">
        <v>0.2</v>
      </c>
      <c r="Q46" s="40">
        <f>SUMIF(Data_P!A:A,CONCATENATE(A46,"_",R$1),Data_P!J:J)</f>
        <v>0</v>
      </c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  <c r="BB46" s="40"/>
      <c r="BC46" s="40"/>
      <c r="BD46" s="40"/>
      <c r="BE46" s="40"/>
      <c r="BF46" s="40"/>
      <c r="BG46" s="40"/>
      <c r="BH46" s="40"/>
      <c r="BI46" s="40"/>
      <c r="BJ46" s="40"/>
      <c r="BK46" s="40"/>
      <c r="BL46" s="40"/>
      <c r="BM46" s="40"/>
      <c r="BN46" s="40"/>
      <c r="BO46" s="40"/>
      <c r="BP46" s="40"/>
      <c r="BQ46" s="40"/>
      <c r="BR46" s="40"/>
      <c r="BS46" s="40"/>
      <c r="BT46" s="40"/>
      <c r="BU46" s="40"/>
      <c r="BV46" s="40"/>
      <c r="BW46" s="40"/>
      <c r="BX46" s="40"/>
      <c r="BY46" s="40"/>
      <c r="BZ46" s="40"/>
      <c r="CA46" s="40"/>
      <c r="CB46" s="40"/>
      <c r="CC46" s="40"/>
      <c r="CD46" s="40"/>
      <c r="CE46" s="40"/>
      <c r="CF46" s="40"/>
      <c r="CG46" s="40"/>
      <c r="CH46" s="40"/>
      <c r="CI46" s="40"/>
      <c r="CJ46" s="40"/>
      <c r="CK46" s="40"/>
      <c r="CL46" s="40"/>
      <c r="CM46" s="40"/>
      <c r="CN46" s="40"/>
      <c r="CO46" s="40"/>
      <c r="CP46" s="40"/>
      <c r="CQ46" s="40"/>
      <c r="CR46" s="40"/>
      <c r="CS46" s="40"/>
      <c r="CT46" s="40"/>
      <c r="CU46" s="40"/>
      <c r="CV46" s="40"/>
      <c r="CW46" s="40"/>
      <c r="CX46" s="40"/>
      <c r="CY46" s="40"/>
      <c r="CZ46" s="40"/>
      <c r="DA46" s="40"/>
      <c r="DB46" s="40"/>
      <c r="DC46" s="40"/>
      <c r="DD46" s="40"/>
      <c r="DE46" s="40"/>
      <c r="DF46" s="40"/>
      <c r="DG46" s="40"/>
      <c r="DH46" s="40"/>
      <c r="DI46" s="40"/>
      <c r="DJ46" s="40"/>
      <c r="DK46" s="40"/>
      <c r="DL46" s="40"/>
      <c r="DM46" s="40"/>
      <c r="DN46" s="40"/>
      <c r="DO46" s="40"/>
      <c r="DP46" s="40"/>
      <c r="DQ46" s="40"/>
      <c r="DR46" s="40"/>
      <c r="DS46" s="40"/>
      <c r="DT46" s="40"/>
      <c r="DU46" s="40"/>
      <c r="DV46" s="40"/>
      <c r="DW46" s="40"/>
      <c r="DX46" s="40"/>
      <c r="DY46" s="40"/>
      <c r="DZ46" s="40"/>
      <c r="EA46" s="40"/>
      <c r="EB46" s="40"/>
      <c r="EC46" s="40"/>
      <c r="ED46" s="40"/>
      <c r="EE46" s="40"/>
      <c r="EF46" s="40"/>
      <c r="EG46" s="40"/>
      <c r="EH46" s="40"/>
      <c r="EI46" s="40"/>
      <c r="EJ46" s="40"/>
      <c r="EK46" s="40"/>
      <c r="EL46" s="40"/>
      <c r="EM46" s="40"/>
      <c r="EN46" s="40"/>
      <c r="EO46" s="40"/>
      <c r="EP46" s="40"/>
      <c r="EQ46" s="40"/>
      <c r="ER46" s="40"/>
      <c r="ES46" s="40"/>
      <c r="ET46" s="40"/>
      <c r="EU46" s="40"/>
      <c r="EV46" s="40"/>
      <c r="EW46" s="40"/>
      <c r="EX46" s="40"/>
      <c r="EY46" s="40"/>
      <c r="EZ46" s="40"/>
      <c r="FA46" s="40"/>
      <c r="FB46" s="40"/>
      <c r="FC46" s="40"/>
      <c r="FD46" s="40"/>
      <c r="FE46" s="40"/>
      <c r="FF46" s="40"/>
      <c r="FG46" s="40"/>
      <c r="FH46" s="40"/>
      <c r="FI46" s="40"/>
      <c r="FJ46" s="40"/>
      <c r="FK46" s="40"/>
      <c r="FL46" s="40"/>
      <c r="FM46" s="40"/>
      <c r="FN46" s="40"/>
      <c r="FO46" s="40"/>
      <c r="FP46" s="40"/>
      <c r="FQ46" s="40"/>
      <c r="FR46" s="40"/>
      <c r="FS46" s="40"/>
      <c r="FT46" s="40"/>
      <c r="FU46" s="40"/>
      <c r="FV46" s="40"/>
      <c r="FW46" s="40"/>
      <c r="FX46" s="40"/>
      <c r="FY46" s="40"/>
      <c r="FZ46" s="40"/>
      <c r="GA46" s="40"/>
      <c r="GB46" s="40"/>
      <c r="GC46" s="40"/>
      <c r="GD46" s="40"/>
      <c r="GE46" s="40"/>
      <c r="GF46" s="40"/>
      <c r="GG46" s="40"/>
      <c r="GH46" s="40"/>
      <c r="GI46" s="40"/>
      <c r="GJ46" s="40"/>
      <c r="GK46" s="40"/>
      <c r="GL46" s="40"/>
      <c r="GM46" s="40"/>
      <c r="GN46" s="40"/>
      <c r="GO46" s="40"/>
      <c r="GP46" s="40"/>
      <c r="GQ46" s="40"/>
      <c r="GR46" s="40"/>
      <c r="GS46" s="40"/>
      <c r="GT46" s="40"/>
      <c r="GU46" s="40"/>
      <c r="GV46" s="40"/>
      <c r="GW46" s="40"/>
      <c r="GX46" s="40"/>
      <c r="GY46" s="40"/>
      <c r="GZ46" s="40"/>
      <c r="HA46" s="40"/>
      <c r="HB46" s="40"/>
      <c r="HC46" s="40"/>
      <c r="HD46" s="40"/>
      <c r="HE46" s="40"/>
      <c r="HF46" s="40"/>
      <c r="HG46" s="40"/>
      <c r="HH46" s="40"/>
      <c r="HI46" s="40"/>
      <c r="HJ46" s="40"/>
      <c r="HK46" s="40"/>
      <c r="HL46" s="40"/>
      <c r="HM46" s="40"/>
      <c r="HN46" s="40"/>
      <c r="HO46" s="40"/>
      <c r="HP46" s="40"/>
      <c r="HQ46" s="40"/>
      <c r="HR46" s="40"/>
      <c r="HS46" s="40"/>
      <c r="HT46" s="40"/>
      <c r="HU46" s="40"/>
    </row>
    <row r="47" spans="1:229" s="41" customFormat="1" ht="28.8" customHeight="1">
      <c r="A47" s="124" t="s">
        <v>2059</v>
      </c>
      <c r="B47" s="80" t="s">
        <v>1113</v>
      </c>
      <c r="C47" s="80"/>
      <c r="D47" s="80" t="s">
        <v>1114</v>
      </c>
      <c r="E47" s="80" t="s">
        <v>1115</v>
      </c>
      <c r="F47" s="80" t="s">
        <v>1116</v>
      </c>
      <c r="G47" s="135" t="s">
        <v>1117</v>
      </c>
      <c r="H47" s="81">
        <v>0.3</v>
      </c>
      <c r="I47" s="81"/>
      <c r="J47" s="79"/>
      <c r="K47" s="81"/>
      <c r="L47" s="79"/>
      <c r="M47" s="82" t="s">
        <v>1549</v>
      </c>
      <c r="N47" s="82" t="s">
        <v>14</v>
      </c>
      <c r="O47" s="82" t="s">
        <v>317</v>
      </c>
      <c r="P47" s="142">
        <v>0.2</v>
      </c>
      <c r="Q47" s="40">
        <f>SUMIF(Data_P!A:A,CONCATENATE(A47,"_",R$1),Data_P!J:J)</f>
        <v>529.65</v>
      </c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  <c r="BP47" s="40"/>
      <c r="BQ47" s="40"/>
      <c r="BR47" s="40"/>
      <c r="BS47" s="40"/>
      <c r="BT47" s="40"/>
      <c r="BU47" s="40"/>
      <c r="BV47" s="40"/>
      <c r="BW47" s="40"/>
      <c r="BX47" s="40"/>
      <c r="BY47" s="40"/>
      <c r="BZ47" s="40"/>
      <c r="CA47" s="40"/>
      <c r="CB47" s="40"/>
      <c r="CC47" s="40"/>
      <c r="CD47" s="40"/>
      <c r="CE47" s="40"/>
      <c r="CF47" s="40"/>
      <c r="CG47" s="40"/>
      <c r="CH47" s="40"/>
      <c r="CI47" s="40"/>
      <c r="CJ47" s="40"/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40"/>
      <c r="CW47" s="40"/>
      <c r="CX47" s="40"/>
      <c r="CY47" s="40"/>
      <c r="CZ47" s="40"/>
      <c r="DA47" s="40"/>
      <c r="DB47" s="40"/>
      <c r="DC47" s="40"/>
      <c r="DD47" s="40"/>
      <c r="DE47" s="40"/>
      <c r="DF47" s="40"/>
      <c r="DG47" s="40"/>
      <c r="DH47" s="40"/>
      <c r="DI47" s="40"/>
      <c r="DJ47" s="40"/>
      <c r="DK47" s="40"/>
      <c r="DL47" s="40"/>
      <c r="DM47" s="40"/>
      <c r="DN47" s="40"/>
      <c r="DO47" s="40"/>
      <c r="DP47" s="40"/>
      <c r="DQ47" s="40"/>
      <c r="DR47" s="40"/>
      <c r="DS47" s="40"/>
      <c r="DT47" s="40"/>
      <c r="DU47" s="40"/>
      <c r="DV47" s="40"/>
      <c r="DW47" s="40"/>
      <c r="DX47" s="40"/>
      <c r="DY47" s="40"/>
      <c r="DZ47" s="40"/>
      <c r="EA47" s="40"/>
      <c r="EB47" s="40"/>
      <c r="EC47" s="40"/>
      <c r="ED47" s="40"/>
      <c r="EE47" s="40"/>
      <c r="EF47" s="40"/>
      <c r="EG47" s="40"/>
      <c r="EH47" s="40"/>
      <c r="EI47" s="40"/>
      <c r="EJ47" s="40"/>
      <c r="EK47" s="40"/>
      <c r="EL47" s="40"/>
      <c r="EM47" s="40"/>
      <c r="EN47" s="40"/>
      <c r="EO47" s="40"/>
      <c r="EP47" s="40"/>
      <c r="EQ47" s="40"/>
      <c r="ER47" s="40"/>
      <c r="ES47" s="40"/>
      <c r="ET47" s="40"/>
      <c r="EU47" s="40"/>
      <c r="EV47" s="40"/>
      <c r="EW47" s="40"/>
      <c r="EX47" s="40"/>
      <c r="EY47" s="40"/>
      <c r="EZ47" s="40"/>
      <c r="FA47" s="40"/>
      <c r="FB47" s="40"/>
      <c r="FC47" s="40"/>
      <c r="FD47" s="40"/>
      <c r="FE47" s="40"/>
      <c r="FF47" s="40"/>
      <c r="FG47" s="40"/>
      <c r="FH47" s="40"/>
      <c r="FI47" s="40"/>
      <c r="FJ47" s="40"/>
      <c r="FK47" s="40"/>
      <c r="FL47" s="40"/>
      <c r="FM47" s="40"/>
      <c r="FN47" s="40"/>
      <c r="FO47" s="40"/>
      <c r="FP47" s="40"/>
      <c r="FQ47" s="40"/>
      <c r="FR47" s="40"/>
      <c r="FS47" s="40"/>
      <c r="FT47" s="40"/>
      <c r="FU47" s="40"/>
      <c r="FV47" s="40"/>
      <c r="FW47" s="40"/>
      <c r="FX47" s="40"/>
      <c r="FY47" s="40"/>
      <c r="FZ47" s="40"/>
      <c r="GA47" s="40"/>
      <c r="GB47" s="40"/>
      <c r="GC47" s="40"/>
      <c r="GD47" s="40"/>
      <c r="GE47" s="40"/>
      <c r="GF47" s="40"/>
      <c r="GG47" s="40"/>
      <c r="GH47" s="40"/>
      <c r="GI47" s="40"/>
      <c r="GJ47" s="40"/>
      <c r="GK47" s="40"/>
      <c r="GL47" s="40"/>
      <c r="GM47" s="40"/>
      <c r="GN47" s="40"/>
      <c r="GO47" s="40"/>
      <c r="GP47" s="40"/>
      <c r="GQ47" s="40"/>
      <c r="GR47" s="40"/>
      <c r="GS47" s="40"/>
      <c r="GT47" s="40"/>
      <c r="GU47" s="40"/>
      <c r="GV47" s="40"/>
      <c r="GW47" s="40"/>
      <c r="GX47" s="40"/>
      <c r="GY47" s="40"/>
      <c r="GZ47" s="40"/>
      <c r="HA47" s="40"/>
      <c r="HB47" s="40"/>
      <c r="HC47" s="40"/>
      <c r="HD47" s="40"/>
      <c r="HE47" s="40"/>
      <c r="HF47" s="40"/>
      <c r="HG47" s="40"/>
      <c r="HH47" s="40"/>
      <c r="HI47" s="40"/>
      <c r="HJ47" s="40"/>
      <c r="HK47" s="40"/>
      <c r="HL47" s="40"/>
      <c r="HM47" s="40"/>
      <c r="HN47" s="40"/>
      <c r="HO47" s="40"/>
      <c r="HP47" s="40"/>
      <c r="HQ47" s="40"/>
      <c r="HR47" s="40"/>
      <c r="HS47" s="40"/>
      <c r="HT47" s="40"/>
      <c r="HU47" s="40"/>
    </row>
    <row r="48" spans="1:229" s="41" customFormat="1" ht="28.8" customHeight="1">
      <c r="A48" s="124" t="s">
        <v>1679</v>
      </c>
      <c r="B48" s="80" t="s">
        <v>925</v>
      </c>
      <c r="C48" s="80"/>
      <c r="D48" s="80" t="s">
        <v>926</v>
      </c>
      <c r="E48" s="80" t="s">
        <v>927</v>
      </c>
      <c r="F48" s="80" t="s">
        <v>928</v>
      </c>
      <c r="G48" s="135" t="s">
        <v>929</v>
      </c>
      <c r="H48" s="81">
        <v>0.3</v>
      </c>
      <c r="I48" s="81"/>
      <c r="J48" s="79"/>
      <c r="K48" s="81"/>
      <c r="L48" s="79"/>
      <c r="M48" s="82" t="s">
        <v>1425</v>
      </c>
      <c r="N48" s="82" t="s">
        <v>14</v>
      </c>
      <c r="O48" s="82" t="s">
        <v>316</v>
      </c>
      <c r="P48" s="142">
        <v>0.2</v>
      </c>
      <c r="Q48" s="40">
        <f>SUMIF(Data_P!A:A,CONCATENATE(A48,"_",R$1),Data_P!J:J)</f>
        <v>678.87</v>
      </c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0"/>
      <c r="BM48" s="40"/>
      <c r="BN48" s="40"/>
      <c r="BO48" s="40"/>
      <c r="BP48" s="40"/>
      <c r="BQ48" s="40"/>
      <c r="BR48" s="40"/>
      <c r="BS48" s="40"/>
      <c r="BT48" s="40"/>
      <c r="BU48" s="40"/>
      <c r="BV48" s="40"/>
      <c r="BW48" s="40"/>
      <c r="BX48" s="40"/>
      <c r="BY48" s="40"/>
      <c r="BZ48" s="40"/>
      <c r="CA48" s="40"/>
      <c r="CB48" s="40"/>
      <c r="CC48" s="40"/>
      <c r="CD48" s="40"/>
      <c r="CE48" s="40"/>
      <c r="CF48" s="40"/>
      <c r="CG48" s="40"/>
      <c r="CH48" s="40"/>
      <c r="CI48" s="40"/>
      <c r="CJ48" s="40"/>
      <c r="CK48" s="40"/>
      <c r="CL48" s="40"/>
      <c r="CM48" s="40"/>
      <c r="CN48" s="40"/>
      <c r="CO48" s="40"/>
      <c r="CP48" s="40"/>
      <c r="CQ48" s="40"/>
      <c r="CR48" s="40"/>
      <c r="CS48" s="40"/>
      <c r="CT48" s="40"/>
      <c r="CU48" s="40"/>
      <c r="CV48" s="40"/>
      <c r="CW48" s="40"/>
      <c r="CX48" s="40"/>
      <c r="CY48" s="40"/>
      <c r="CZ48" s="40"/>
      <c r="DA48" s="40"/>
      <c r="DB48" s="40"/>
      <c r="DC48" s="40"/>
      <c r="DD48" s="40"/>
      <c r="DE48" s="40"/>
      <c r="DF48" s="40"/>
      <c r="DG48" s="40"/>
      <c r="DH48" s="40"/>
      <c r="DI48" s="40"/>
      <c r="DJ48" s="40"/>
      <c r="DK48" s="40"/>
      <c r="DL48" s="40"/>
      <c r="DM48" s="40"/>
      <c r="DN48" s="40"/>
      <c r="DO48" s="40"/>
      <c r="DP48" s="40"/>
      <c r="DQ48" s="40"/>
      <c r="DR48" s="40"/>
      <c r="DS48" s="40"/>
      <c r="DT48" s="40"/>
      <c r="DU48" s="40"/>
      <c r="DV48" s="40"/>
      <c r="DW48" s="40"/>
      <c r="DX48" s="40"/>
      <c r="DY48" s="40"/>
      <c r="DZ48" s="40"/>
      <c r="EA48" s="40"/>
      <c r="EB48" s="40"/>
      <c r="EC48" s="40"/>
      <c r="ED48" s="40"/>
      <c r="EE48" s="40"/>
      <c r="EF48" s="40"/>
      <c r="EG48" s="40"/>
      <c r="EH48" s="40"/>
      <c r="EI48" s="40"/>
      <c r="EJ48" s="40"/>
      <c r="EK48" s="40"/>
      <c r="EL48" s="40"/>
      <c r="EM48" s="40"/>
      <c r="EN48" s="40"/>
      <c r="EO48" s="40"/>
      <c r="EP48" s="40"/>
      <c r="EQ48" s="40"/>
      <c r="ER48" s="40"/>
      <c r="ES48" s="40"/>
      <c r="ET48" s="40"/>
      <c r="EU48" s="40"/>
      <c r="EV48" s="40"/>
      <c r="EW48" s="40"/>
      <c r="EX48" s="40"/>
      <c r="EY48" s="40"/>
      <c r="EZ48" s="40"/>
      <c r="FA48" s="40"/>
      <c r="FB48" s="40"/>
      <c r="FC48" s="40"/>
      <c r="FD48" s="40"/>
      <c r="FE48" s="40"/>
      <c r="FF48" s="40"/>
      <c r="FG48" s="40"/>
      <c r="FH48" s="40"/>
      <c r="FI48" s="40"/>
      <c r="FJ48" s="40"/>
      <c r="FK48" s="40"/>
      <c r="FL48" s="40"/>
      <c r="FM48" s="40"/>
      <c r="FN48" s="40"/>
      <c r="FO48" s="40"/>
      <c r="FP48" s="40"/>
      <c r="FQ48" s="40"/>
      <c r="FR48" s="40"/>
      <c r="FS48" s="40"/>
      <c r="FT48" s="40"/>
      <c r="FU48" s="40"/>
      <c r="FV48" s="40"/>
      <c r="FW48" s="40"/>
      <c r="FX48" s="40"/>
      <c r="FY48" s="40"/>
      <c r="FZ48" s="40"/>
      <c r="GA48" s="40"/>
      <c r="GB48" s="40"/>
      <c r="GC48" s="40"/>
      <c r="GD48" s="40"/>
      <c r="GE48" s="40"/>
      <c r="GF48" s="40"/>
      <c r="GG48" s="40"/>
      <c r="GH48" s="40"/>
      <c r="GI48" s="40"/>
      <c r="GJ48" s="40"/>
      <c r="GK48" s="40"/>
      <c r="GL48" s="40"/>
      <c r="GM48" s="40"/>
      <c r="GN48" s="40"/>
      <c r="GO48" s="40"/>
      <c r="GP48" s="40"/>
      <c r="GQ48" s="40"/>
      <c r="GR48" s="40"/>
      <c r="GS48" s="40"/>
      <c r="GT48" s="40"/>
      <c r="GU48" s="40"/>
      <c r="GV48" s="40"/>
      <c r="GW48" s="40"/>
      <c r="GX48" s="40"/>
      <c r="GY48" s="40"/>
      <c r="GZ48" s="40"/>
      <c r="HA48" s="40"/>
      <c r="HB48" s="40"/>
      <c r="HC48" s="40"/>
      <c r="HD48" s="40"/>
      <c r="HE48" s="40"/>
      <c r="HF48" s="40"/>
      <c r="HG48" s="40"/>
      <c r="HH48" s="40"/>
      <c r="HI48" s="40"/>
      <c r="HJ48" s="40"/>
      <c r="HK48" s="40"/>
      <c r="HL48" s="40"/>
      <c r="HM48" s="40"/>
      <c r="HN48" s="40"/>
      <c r="HO48" s="40"/>
      <c r="HP48" s="40"/>
      <c r="HQ48" s="40"/>
      <c r="HR48" s="40"/>
      <c r="HS48" s="40"/>
      <c r="HT48" s="40"/>
      <c r="HU48" s="40"/>
    </row>
    <row r="49" spans="1:229" s="41" customFormat="1" ht="28.8" customHeight="1">
      <c r="A49" s="124" t="s">
        <v>2057</v>
      </c>
      <c r="B49" s="80" t="s">
        <v>1698</v>
      </c>
      <c r="C49" s="80"/>
      <c r="D49" s="80" t="s">
        <v>1717</v>
      </c>
      <c r="E49" s="80" t="s">
        <v>994</v>
      </c>
      <c r="F49" s="80" t="s">
        <v>1699</v>
      </c>
      <c r="G49" s="135" t="s">
        <v>1700</v>
      </c>
      <c r="H49" s="81">
        <v>0.3</v>
      </c>
      <c r="I49" s="81"/>
      <c r="J49" s="79"/>
      <c r="K49" s="81"/>
      <c r="L49" s="79"/>
      <c r="M49" s="82"/>
      <c r="N49" s="82"/>
      <c r="O49" s="82" t="s">
        <v>316</v>
      </c>
      <c r="P49" s="142">
        <v>0.2</v>
      </c>
      <c r="Q49" s="40">
        <f>SUMIF(Data_P!A:A,CONCATENATE(A49,"_",R$1),Data_P!J:J)</f>
        <v>1.67</v>
      </c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  <c r="BK49" s="40"/>
      <c r="BL49" s="40"/>
      <c r="BM49" s="40"/>
      <c r="BN49" s="40"/>
      <c r="BO49" s="40"/>
      <c r="BP49" s="40"/>
      <c r="BQ49" s="40"/>
      <c r="BR49" s="40"/>
      <c r="BS49" s="40"/>
      <c r="BT49" s="40"/>
      <c r="BU49" s="40"/>
      <c r="BV49" s="40"/>
      <c r="BW49" s="40"/>
      <c r="BX49" s="40"/>
      <c r="BY49" s="40"/>
      <c r="BZ49" s="40"/>
      <c r="CA49" s="40"/>
      <c r="CB49" s="40"/>
      <c r="CC49" s="40"/>
      <c r="CD49" s="40"/>
      <c r="CE49" s="40"/>
      <c r="CF49" s="40"/>
      <c r="CG49" s="40"/>
      <c r="CH49" s="40"/>
      <c r="CI49" s="40"/>
      <c r="CJ49" s="40"/>
      <c r="CK49" s="40"/>
      <c r="CL49" s="40"/>
      <c r="CM49" s="40"/>
      <c r="CN49" s="40"/>
      <c r="CO49" s="40"/>
      <c r="CP49" s="40"/>
      <c r="CQ49" s="40"/>
      <c r="CR49" s="40"/>
      <c r="CS49" s="40"/>
      <c r="CT49" s="40"/>
      <c r="CU49" s="40"/>
      <c r="CV49" s="40"/>
      <c r="CW49" s="40"/>
      <c r="CX49" s="40"/>
      <c r="CY49" s="40"/>
      <c r="CZ49" s="40"/>
      <c r="DA49" s="40"/>
      <c r="DB49" s="40"/>
      <c r="DC49" s="40"/>
      <c r="DD49" s="40"/>
      <c r="DE49" s="40"/>
      <c r="DF49" s="40"/>
      <c r="DG49" s="40"/>
      <c r="DH49" s="40"/>
      <c r="DI49" s="40"/>
      <c r="DJ49" s="40"/>
      <c r="DK49" s="40"/>
      <c r="DL49" s="40"/>
      <c r="DM49" s="40"/>
      <c r="DN49" s="40"/>
      <c r="DO49" s="40"/>
      <c r="DP49" s="40"/>
      <c r="DQ49" s="40"/>
      <c r="DR49" s="40"/>
      <c r="DS49" s="40"/>
      <c r="DT49" s="40"/>
      <c r="DU49" s="40"/>
      <c r="DV49" s="40"/>
      <c r="DW49" s="40"/>
      <c r="DX49" s="40"/>
      <c r="DY49" s="40"/>
      <c r="DZ49" s="40"/>
      <c r="EA49" s="40"/>
      <c r="EB49" s="40"/>
      <c r="EC49" s="40"/>
      <c r="ED49" s="40"/>
      <c r="EE49" s="40"/>
      <c r="EF49" s="40"/>
      <c r="EG49" s="40"/>
      <c r="EH49" s="40"/>
      <c r="EI49" s="40"/>
      <c r="EJ49" s="40"/>
      <c r="EK49" s="40"/>
      <c r="EL49" s="40"/>
      <c r="EM49" s="40"/>
      <c r="EN49" s="40"/>
      <c r="EO49" s="40"/>
      <c r="EP49" s="40"/>
      <c r="EQ49" s="40"/>
      <c r="ER49" s="40"/>
      <c r="ES49" s="40"/>
      <c r="ET49" s="40"/>
      <c r="EU49" s="40"/>
      <c r="EV49" s="40"/>
      <c r="EW49" s="40"/>
      <c r="EX49" s="40"/>
      <c r="EY49" s="40"/>
      <c r="EZ49" s="40"/>
      <c r="FA49" s="40"/>
      <c r="FB49" s="40"/>
      <c r="FC49" s="40"/>
      <c r="FD49" s="40"/>
      <c r="FE49" s="40"/>
      <c r="FF49" s="40"/>
      <c r="FG49" s="40"/>
      <c r="FH49" s="40"/>
      <c r="FI49" s="40"/>
      <c r="FJ49" s="40"/>
      <c r="FK49" s="40"/>
      <c r="FL49" s="40"/>
      <c r="FM49" s="40"/>
      <c r="FN49" s="40"/>
      <c r="FO49" s="40"/>
      <c r="FP49" s="40"/>
      <c r="FQ49" s="40"/>
      <c r="FR49" s="40"/>
      <c r="FS49" s="40"/>
      <c r="FT49" s="40"/>
      <c r="FU49" s="40"/>
      <c r="FV49" s="40"/>
      <c r="FW49" s="40"/>
      <c r="FX49" s="40"/>
      <c r="FY49" s="40"/>
      <c r="FZ49" s="40"/>
      <c r="GA49" s="40"/>
      <c r="GB49" s="40"/>
      <c r="GC49" s="40"/>
      <c r="GD49" s="40"/>
      <c r="GE49" s="40"/>
      <c r="GF49" s="40"/>
      <c r="GG49" s="40"/>
      <c r="GH49" s="40"/>
      <c r="GI49" s="40"/>
      <c r="GJ49" s="40"/>
      <c r="GK49" s="40"/>
      <c r="GL49" s="40"/>
      <c r="GM49" s="40"/>
      <c r="GN49" s="40"/>
      <c r="GO49" s="40"/>
      <c r="GP49" s="40"/>
      <c r="GQ49" s="40"/>
      <c r="GR49" s="40"/>
      <c r="GS49" s="40"/>
      <c r="GT49" s="40"/>
      <c r="GU49" s="40"/>
      <c r="GV49" s="40"/>
      <c r="GW49" s="40"/>
      <c r="GX49" s="40"/>
      <c r="GY49" s="40"/>
      <c r="GZ49" s="40"/>
      <c r="HA49" s="40"/>
      <c r="HB49" s="40"/>
      <c r="HC49" s="40"/>
      <c r="HD49" s="40"/>
      <c r="HE49" s="40"/>
      <c r="HF49" s="40"/>
      <c r="HG49" s="40"/>
      <c r="HH49" s="40"/>
      <c r="HI49" s="40"/>
      <c r="HJ49" s="40"/>
      <c r="HK49" s="40"/>
      <c r="HL49" s="40"/>
      <c r="HM49" s="40"/>
      <c r="HN49" s="40"/>
      <c r="HO49" s="40"/>
      <c r="HP49" s="40"/>
      <c r="HQ49" s="40"/>
      <c r="HR49" s="40"/>
      <c r="HS49" s="40"/>
      <c r="HT49" s="40"/>
      <c r="HU49" s="40"/>
    </row>
    <row r="50" spans="1:229" s="41" customFormat="1" ht="28.8" customHeight="1">
      <c r="A50" s="124" t="s">
        <v>228</v>
      </c>
      <c r="B50" s="80" t="s">
        <v>114</v>
      </c>
      <c r="C50" s="80"/>
      <c r="D50" s="80" t="s">
        <v>1550</v>
      </c>
      <c r="E50" s="80" t="s">
        <v>35</v>
      </c>
      <c r="F50" s="80" t="s">
        <v>70</v>
      </c>
      <c r="G50" s="135" t="s">
        <v>2016</v>
      </c>
      <c r="H50" s="81">
        <v>0.4</v>
      </c>
      <c r="I50" s="81">
        <v>-0.1</v>
      </c>
      <c r="J50" s="79" t="s">
        <v>39</v>
      </c>
      <c r="K50" s="81">
        <v>-0.1</v>
      </c>
      <c r="L50" s="79" t="s">
        <v>79</v>
      </c>
      <c r="M50" s="82" t="s">
        <v>49</v>
      </c>
      <c r="N50" s="82" t="s">
        <v>127</v>
      </c>
      <c r="O50" s="82" t="s">
        <v>316</v>
      </c>
      <c r="P50" s="142">
        <v>0.2</v>
      </c>
      <c r="Q50" s="40">
        <f>SUMIF(Data_P!A:A,CONCATENATE(A50,"_",R$1),Data_P!J:J)</f>
        <v>469.52</v>
      </c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0"/>
      <c r="BM50" s="40"/>
      <c r="BN50" s="40"/>
      <c r="BO50" s="40"/>
      <c r="BP50" s="40"/>
      <c r="BQ50" s="40"/>
      <c r="BR50" s="40"/>
      <c r="BS50" s="40"/>
      <c r="BT50" s="40"/>
      <c r="BU50" s="40"/>
      <c r="BV50" s="40"/>
      <c r="BW50" s="40"/>
      <c r="BX50" s="40"/>
      <c r="BY50" s="40"/>
      <c r="BZ50" s="40"/>
      <c r="CA50" s="40"/>
      <c r="CB50" s="40"/>
      <c r="CC50" s="40"/>
      <c r="CD50" s="40"/>
      <c r="CE50" s="40"/>
      <c r="CF50" s="40"/>
      <c r="CG50" s="40"/>
      <c r="CH50" s="40"/>
      <c r="CI50" s="40"/>
      <c r="CJ50" s="40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40"/>
      <c r="CW50" s="40"/>
      <c r="CX50" s="40"/>
      <c r="CY50" s="40"/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40"/>
      <c r="DP50" s="40"/>
      <c r="DQ50" s="40"/>
      <c r="DR50" s="40"/>
      <c r="DS50" s="40"/>
      <c r="DT50" s="40"/>
      <c r="DU50" s="40"/>
      <c r="DV50" s="40"/>
      <c r="DW50" s="40"/>
      <c r="DX50" s="40"/>
      <c r="DY50" s="40"/>
      <c r="DZ50" s="40"/>
      <c r="EA50" s="40"/>
      <c r="EB50" s="40"/>
      <c r="EC50" s="40"/>
      <c r="ED50" s="40"/>
      <c r="EE50" s="40"/>
      <c r="EF50" s="40"/>
      <c r="EG50" s="40"/>
      <c r="EH50" s="40"/>
      <c r="EI50" s="40"/>
      <c r="EJ50" s="40"/>
      <c r="EK50" s="40"/>
      <c r="EL50" s="40"/>
      <c r="EM50" s="40"/>
      <c r="EN50" s="40"/>
      <c r="EO50" s="40"/>
      <c r="EP50" s="40"/>
      <c r="EQ50" s="40"/>
      <c r="ER50" s="40"/>
      <c r="ES50" s="40"/>
      <c r="ET50" s="40"/>
      <c r="EU50" s="40"/>
      <c r="EV50" s="40"/>
      <c r="EW50" s="40"/>
      <c r="EX50" s="40"/>
      <c r="EY50" s="40"/>
      <c r="EZ50" s="40"/>
      <c r="FA50" s="40"/>
      <c r="FB50" s="40"/>
      <c r="FC50" s="40"/>
      <c r="FD50" s="40"/>
      <c r="FE50" s="40"/>
      <c r="FF50" s="40"/>
      <c r="FG50" s="40"/>
      <c r="FH50" s="40"/>
      <c r="FI50" s="40"/>
      <c r="FJ50" s="40"/>
      <c r="FK50" s="40"/>
      <c r="FL50" s="40"/>
      <c r="FM50" s="40"/>
      <c r="FN50" s="40"/>
      <c r="FO50" s="40"/>
      <c r="FP50" s="40"/>
      <c r="FQ50" s="40"/>
      <c r="FR50" s="40"/>
      <c r="FS50" s="40"/>
      <c r="FT50" s="40"/>
      <c r="FU50" s="40"/>
      <c r="FV50" s="40"/>
      <c r="FW50" s="40"/>
      <c r="FX50" s="40"/>
      <c r="FY50" s="40"/>
      <c r="FZ50" s="40"/>
      <c r="GA50" s="40"/>
      <c r="GB50" s="40"/>
      <c r="GC50" s="40"/>
      <c r="GD50" s="40"/>
      <c r="GE50" s="40"/>
      <c r="GF50" s="40"/>
      <c r="GG50" s="40"/>
      <c r="GH50" s="40"/>
      <c r="GI50" s="40"/>
      <c r="GJ50" s="40"/>
      <c r="GK50" s="40"/>
      <c r="GL50" s="40"/>
      <c r="GM50" s="40"/>
      <c r="GN50" s="40"/>
      <c r="GO50" s="40"/>
      <c r="GP50" s="40"/>
      <c r="GQ50" s="40"/>
      <c r="GR50" s="40"/>
      <c r="GS50" s="40"/>
      <c r="GT50" s="40"/>
      <c r="GU50" s="40"/>
      <c r="GV50" s="40"/>
      <c r="GW50" s="40"/>
      <c r="GX50" s="40"/>
      <c r="GY50" s="40"/>
      <c r="GZ50" s="40"/>
      <c r="HA50" s="40"/>
      <c r="HB50" s="40"/>
      <c r="HC50" s="40"/>
      <c r="HD50" s="40"/>
      <c r="HE50" s="40"/>
      <c r="HF50" s="40"/>
      <c r="HG50" s="40"/>
      <c r="HH50" s="40"/>
      <c r="HI50" s="40"/>
      <c r="HJ50" s="40"/>
      <c r="HK50" s="40"/>
      <c r="HL50" s="40"/>
      <c r="HM50" s="40"/>
      <c r="HN50" s="40"/>
      <c r="HO50" s="40"/>
      <c r="HP50" s="40"/>
      <c r="HQ50" s="40"/>
      <c r="HR50" s="40"/>
      <c r="HS50" s="40"/>
      <c r="HT50" s="40"/>
      <c r="HU50" s="40"/>
    </row>
    <row r="51" spans="1:229" s="41" customFormat="1" ht="28.8" customHeight="1">
      <c r="A51" s="124" t="s">
        <v>229</v>
      </c>
      <c r="B51" s="80" t="s">
        <v>116</v>
      </c>
      <c r="C51" s="80" t="s">
        <v>105</v>
      </c>
      <c r="D51" s="80" t="s">
        <v>1551</v>
      </c>
      <c r="E51" s="80" t="s">
        <v>1111</v>
      </c>
      <c r="F51" s="80" t="s">
        <v>1112</v>
      </c>
      <c r="G51" s="135" t="s">
        <v>2017</v>
      </c>
      <c r="H51" s="81">
        <v>0.5</v>
      </c>
      <c r="I51" s="81">
        <v>-0.1</v>
      </c>
      <c r="J51" s="79" t="s">
        <v>125</v>
      </c>
      <c r="K51" s="81"/>
      <c r="L51" s="79"/>
      <c r="M51" s="82" t="s">
        <v>1110</v>
      </c>
      <c r="N51" s="82" t="s">
        <v>1109</v>
      </c>
      <c r="O51" s="82" t="s">
        <v>316</v>
      </c>
      <c r="P51" s="142">
        <v>0.2</v>
      </c>
      <c r="Q51" s="40">
        <f>SUMIF(Data_P!A:A,CONCATENATE(A51,"_",R$1),Data_P!J:J)</f>
        <v>906.77</v>
      </c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40"/>
      <c r="BQ51" s="40"/>
      <c r="BR51" s="40"/>
      <c r="BS51" s="40"/>
      <c r="BT51" s="40"/>
      <c r="BU51" s="40"/>
      <c r="BV51" s="40"/>
      <c r="BW51" s="40"/>
      <c r="BX51" s="40"/>
      <c r="BY51" s="40"/>
      <c r="BZ51" s="40"/>
      <c r="CA51" s="40"/>
      <c r="CB51" s="40"/>
      <c r="CC51" s="40"/>
      <c r="CD51" s="40"/>
      <c r="CE51" s="40"/>
      <c r="CF51" s="40"/>
      <c r="CG51" s="40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40"/>
      <c r="CU51" s="40"/>
      <c r="CV51" s="40"/>
      <c r="CW51" s="40"/>
      <c r="CX51" s="40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40"/>
      <c r="DP51" s="40"/>
      <c r="DQ51" s="40"/>
      <c r="DR51" s="40"/>
      <c r="DS51" s="40"/>
      <c r="DT51" s="40"/>
      <c r="DU51" s="40"/>
      <c r="DV51" s="40"/>
      <c r="DW51" s="40"/>
      <c r="DX51" s="40"/>
      <c r="DY51" s="40"/>
      <c r="DZ51" s="40"/>
      <c r="EA51" s="40"/>
      <c r="EB51" s="40"/>
      <c r="EC51" s="40"/>
      <c r="ED51" s="40"/>
      <c r="EE51" s="40"/>
      <c r="EF51" s="40"/>
      <c r="EG51" s="40"/>
      <c r="EH51" s="40"/>
      <c r="EI51" s="40"/>
      <c r="EJ51" s="40"/>
      <c r="EK51" s="40"/>
      <c r="EL51" s="40"/>
      <c r="EM51" s="40"/>
      <c r="EN51" s="40"/>
      <c r="EO51" s="40"/>
      <c r="EP51" s="40"/>
      <c r="EQ51" s="40"/>
      <c r="ER51" s="40"/>
      <c r="ES51" s="40"/>
      <c r="ET51" s="40"/>
      <c r="EU51" s="40"/>
      <c r="EV51" s="40"/>
      <c r="EW51" s="40"/>
      <c r="EX51" s="40"/>
      <c r="EY51" s="40"/>
      <c r="EZ51" s="40"/>
      <c r="FA51" s="40"/>
      <c r="FB51" s="40"/>
      <c r="FC51" s="40"/>
      <c r="FD51" s="40"/>
      <c r="FE51" s="40"/>
      <c r="FF51" s="40"/>
      <c r="FG51" s="40"/>
      <c r="FH51" s="40"/>
      <c r="FI51" s="40"/>
      <c r="FJ51" s="40"/>
      <c r="FK51" s="40"/>
      <c r="FL51" s="40"/>
      <c r="FM51" s="40"/>
      <c r="FN51" s="40"/>
      <c r="FO51" s="40"/>
      <c r="FP51" s="40"/>
      <c r="FQ51" s="40"/>
      <c r="FR51" s="40"/>
      <c r="FS51" s="40"/>
      <c r="FT51" s="40"/>
      <c r="FU51" s="40"/>
      <c r="FV51" s="40"/>
      <c r="FW51" s="40"/>
      <c r="FX51" s="40"/>
      <c r="FY51" s="40"/>
      <c r="FZ51" s="40"/>
      <c r="GA51" s="40"/>
      <c r="GB51" s="40"/>
      <c r="GC51" s="40"/>
      <c r="GD51" s="40"/>
      <c r="GE51" s="40"/>
      <c r="GF51" s="40"/>
      <c r="GG51" s="40"/>
      <c r="GH51" s="40"/>
      <c r="GI51" s="40"/>
      <c r="GJ51" s="40"/>
      <c r="GK51" s="40"/>
      <c r="GL51" s="40"/>
      <c r="GM51" s="40"/>
      <c r="GN51" s="40"/>
      <c r="GO51" s="40"/>
      <c r="GP51" s="40"/>
      <c r="GQ51" s="40"/>
      <c r="GR51" s="40"/>
      <c r="GS51" s="40"/>
      <c r="GT51" s="40"/>
      <c r="GU51" s="40"/>
      <c r="GV51" s="40"/>
      <c r="GW51" s="40"/>
      <c r="GX51" s="40"/>
      <c r="GY51" s="40"/>
      <c r="GZ51" s="40"/>
      <c r="HA51" s="40"/>
      <c r="HB51" s="40"/>
      <c r="HC51" s="40"/>
      <c r="HD51" s="40"/>
      <c r="HE51" s="40"/>
      <c r="HF51" s="40"/>
      <c r="HG51" s="40"/>
      <c r="HH51" s="40"/>
      <c r="HI51" s="40"/>
      <c r="HJ51" s="40"/>
      <c r="HK51" s="40"/>
      <c r="HL51" s="40"/>
      <c r="HM51" s="40"/>
      <c r="HN51" s="40"/>
      <c r="HO51" s="40"/>
      <c r="HP51" s="40"/>
      <c r="HQ51" s="40"/>
      <c r="HR51" s="40"/>
      <c r="HS51" s="40"/>
      <c r="HT51" s="40"/>
      <c r="HU51" s="40"/>
    </row>
    <row r="52" spans="1:229" s="41" customFormat="1" ht="28.8" customHeight="1">
      <c r="A52" s="124" t="s">
        <v>2060</v>
      </c>
      <c r="B52" s="80" t="s">
        <v>420</v>
      </c>
      <c r="C52" s="80"/>
      <c r="D52" s="80" t="s">
        <v>421</v>
      </c>
      <c r="E52" s="80" t="s">
        <v>422</v>
      </c>
      <c r="F52" s="80" t="s">
        <v>2188</v>
      </c>
      <c r="G52" s="135" t="s">
        <v>2187</v>
      </c>
      <c r="H52" s="81">
        <v>0.5</v>
      </c>
      <c r="I52" s="81"/>
      <c r="J52" s="79"/>
      <c r="K52" s="81"/>
      <c r="L52" s="79"/>
      <c r="M52" s="82" t="s">
        <v>452</v>
      </c>
      <c r="N52" s="82" t="s">
        <v>294</v>
      </c>
      <c r="O52" s="82" t="s">
        <v>316</v>
      </c>
      <c r="P52" s="142">
        <v>0.2</v>
      </c>
      <c r="Q52" s="40">
        <f>SUMIF(Data_P!A:A,CONCATENATE(A52,"_",R$1),Data_P!J:J)</f>
        <v>230.75</v>
      </c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40"/>
      <c r="CW52" s="40"/>
      <c r="CX52" s="40"/>
      <c r="CY52" s="40"/>
      <c r="CZ52" s="40"/>
      <c r="DA52" s="40"/>
      <c r="DB52" s="40"/>
      <c r="DC52" s="40"/>
      <c r="DD52" s="40"/>
      <c r="DE52" s="40"/>
      <c r="DF52" s="40"/>
      <c r="DG52" s="40"/>
      <c r="DH52" s="40"/>
      <c r="DI52" s="40"/>
      <c r="DJ52" s="40"/>
      <c r="DK52" s="40"/>
      <c r="DL52" s="40"/>
      <c r="DM52" s="40"/>
      <c r="DN52" s="40"/>
      <c r="DO52" s="40"/>
      <c r="DP52" s="40"/>
      <c r="DQ52" s="40"/>
      <c r="DR52" s="40"/>
      <c r="DS52" s="40"/>
      <c r="DT52" s="40"/>
      <c r="DU52" s="40"/>
      <c r="DV52" s="40"/>
      <c r="DW52" s="40"/>
      <c r="DX52" s="40"/>
      <c r="DY52" s="40"/>
      <c r="DZ52" s="40"/>
      <c r="EA52" s="40"/>
      <c r="EB52" s="40"/>
      <c r="EC52" s="40"/>
      <c r="ED52" s="40"/>
      <c r="EE52" s="40"/>
      <c r="EF52" s="40"/>
      <c r="EG52" s="40"/>
      <c r="EH52" s="40"/>
      <c r="EI52" s="40"/>
      <c r="EJ52" s="40"/>
      <c r="EK52" s="40"/>
      <c r="EL52" s="40"/>
      <c r="EM52" s="40"/>
      <c r="EN52" s="40"/>
      <c r="EO52" s="40"/>
      <c r="EP52" s="40"/>
      <c r="EQ52" s="40"/>
      <c r="ER52" s="40"/>
      <c r="ES52" s="40"/>
      <c r="ET52" s="40"/>
      <c r="EU52" s="40"/>
      <c r="EV52" s="40"/>
      <c r="EW52" s="40"/>
      <c r="EX52" s="40"/>
      <c r="EY52" s="40"/>
      <c r="EZ52" s="40"/>
      <c r="FA52" s="40"/>
      <c r="FB52" s="40"/>
      <c r="FC52" s="40"/>
      <c r="FD52" s="40"/>
      <c r="FE52" s="40"/>
      <c r="FF52" s="40"/>
      <c r="FG52" s="40"/>
      <c r="FH52" s="40"/>
      <c r="FI52" s="40"/>
      <c r="FJ52" s="40"/>
      <c r="FK52" s="40"/>
      <c r="FL52" s="40"/>
      <c r="FM52" s="40"/>
      <c r="FN52" s="40"/>
      <c r="FO52" s="40"/>
      <c r="FP52" s="40"/>
      <c r="FQ52" s="40"/>
      <c r="FR52" s="40"/>
      <c r="FS52" s="40"/>
      <c r="FT52" s="40"/>
      <c r="FU52" s="40"/>
      <c r="FV52" s="40"/>
      <c r="FW52" s="40"/>
      <c r="FX52" s="40"/>
      <c r="FY52" s="40"/>
      <c r="FZ52" s="40"/>
      <c r="GA52" s="40"/>
      <c r="GB52" s="40"/>
      <c r="GC52" s="40"/>
      <c r="GD52" s="40"/>
      <c r="GE52" s="40"/>
      <c r="GF52" s="40"/>
      <c r="GG52" s="40"/>
      <c r="GH52" s="40"/>
      <c r="GI52" s="40"/>
      <c r="GJ52" s="40"/>
      <c r="GK52" s="40"/>
      <c r="GL52" s="40"/>
      <c r="GM52" s="40"/>
      <c r="GN52" s="40"/>
      <c r="GO52" s="40"/>
      <c r="GP52" s="40"/>
      <c r="GQ52" s="40"/>
      <c r="GR52" s="40"/>
      <c r="GS52" s="40"/>
      <c r="GT52" s="40"/>
      <c r="GU52" s="40"/>
      <c r="GV52" s="40"/>
      <c r="GW52" s="40"/>
      <c r="GX52" s="40"/>
      <c r="GY52" s="40"/>
      <c r="GZ52" s="40"/>
      <c r="HA52" s="40"/>
      <c r="HB52" s="40"/>
      <c r="HC52" s="40"/>
      <c r="HD52" s="40"/>
      <c r="HE52" s="40"/>
      <c r="HF52" s="40"/>
      <c r="HG52" s="40"/>
      <c r="HH52" s="40"/>
      <c r="HI52" s="40"/>
      <c r="HJ52" s="40"/>
      <c r="HK52" s="40"/>
      <c r="HL52" s="40"/>
      <c r="HM52" s="40"/>
      <c r="HN52" s="40"/>
      <c r="HO52" s="40"/>
      <c r="HP52" s="40"/>
      <c r="HQ52" s="40"/>
      <c r="HR52" s="40"/>
      <c r="HS52" s="40"/>
      <c r="HT52" s="40"/>
      <c r="HU52" s="40"/>
    </row>
    <row r="53" spans="1:229" s="41" customFormat="1" ht="28.8" customHeight="1">
      <c r="A53" s="124" t="s">
        <v>1234</v>
      </c>
      <c r="B53" s="80" t="s">
        <v>1235</v>
      </c>
      <c r="C53" s="80"/>
      <c r="D53" s="80" t="s">
        <v>1242</v>
      </c>
      <c r="E53" s="80" t="s">
        <v>1243</v>
      </c>
      <c r="F53" s="80" t="s">
        <v>1241</v>
      </c>
      <c r="G53" s="135" t="s">
        <v>1244</v>
      </c>
      <c r="H53" s="81">
        <v>0.45</v>
      </c>
      <c r="I53" s="81"/>
      <c r="J53" s="79"/>
      <c r="K53" s="81"/>
      <c r="L53" s="79"/>
      <c r="M53" s="82"/>
      <c r="N53" s="82"/>
      <c r="O53" s="82" t="s">
        <v>317</v>
      </c>
      <c r="P53" s="142">
        <v>0.2</v>
      </c>
      <c r="Q53" s="40">
        <f>SUMIF(Data_P!A:A,CONCATENATE(A53,"_",R$1),Data_P!J:J)</f>
        <v>0</v>
      </c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J53" s="40"/>
      <c r="CK53" s="40"/>
      <c r="CL53" s="40"/>
      <c r="CM53" s="40"/>
      <c r="CN53" s="40"/>
      <c r="CO53" s="40"/>
      <c r="CP53" s="40"/>
      <c r="CQ53" s="40"/>
      <c r="CR53" s="40"/>
      <c r="CS53" s="40"/>
      <c r="CT53" s="40"/>
      <c r="CU53" s="40"/>
      <c r="CV53" s="40"/>
      <c r="CW53" s="40"/>
      <c r="CX53" s="40"/>
      <c r="CY53" s="40"/>
      <c r="CZ53" s="40"/>
      <c r="DA53" s="40"/>
      <c r="DB53" s="40"/>
      <c r="DC53" s="40"/>
      <c r="DD53" s="40"/>
      <c r="DE53" s="40"/>
      <c r="DF53" s="40"/>
      <c r="DG53" s="40"/>
      <c r="DH53" s="40"/>
      <c r="DI53" s="40"/>
      <c r="DJ53" s="40"/>
      <c r="DK53" s="40"/>
      <c r="DL53" s="40"/>
      <c r="DM53" s="40"/>
      <c r="DN53" s="40"/>
      <c r="DO53" s="40"/>
      <c r="DP53" s="40"/>
      <c r="DQ53" s="40"/>
      <c r="DR53" s="40"/>
      <c r="DS53" s="40"/>
      <c r="DT53" s="40"/>
      <c r="DU53" s="40"/>
      <c r="DV53" s="40"/>
      <c r="DW53" s="40"/>
      <c r="DX53" s="40"/>
      <c r="DY53" s="40"/>
      <c r="DZ53" s="40"/>
      <c r="EA53" s="40"/>
      <c r="EB53" s="40"/>
      <c r="EC53" s="40"/>
      <c r="ED53" s="40"/>
      <c r="EE53" s="40"/>
      <c r="EF53" s="40"/>
      <c r="EG53" s="40"/>
      <c r="EH53" s="40"/>
      <c r="EI53" s="40"/>
      <c r="EJ53" s="40"/>
      <c r="EK53" s="40"/>
      <c r="EL53" s="40"/>
      <c r="EM53" s="40"/>
      <c r="EN53" s="40"/>
      <c r="EO53" s="40"/>
      <c r="EP53" s="40"/>
      <c r="EQ53" s="40"/>
      <c r="ER53" s="40"/>
      <c r="ES53" s="40"/>
      <c r="ET53" s="40"/>
      <c r="EU53" s="40"/>
      <c r="EV53" s="40"/>
      <c r="EW53" s="40"/>
      <c r="EX53" s="40"/>
      <c r="EY53" s="40"/>
      <c r="EZ53" s="40"/>
      <c r="FA53" s="40"/>
      <c r="FB53" s="40"/>
      <c r="FC53" s="40"/>
      <c r="FD53" s="40"/>
      <c r="FE53" s="40"/>
      <c r="FF53" s="40"/>
      <c r="FG53" s="40"/>
      <c r="FH53" s="40"/>
      <c r="FI53" s="40"/>
      <c r="FJ53" s="40"/>
      <c r="FK53" s="40"/>
      <c r="FL53" s="40"/>
      <c r="FM53" s="40"/>
      <c r="FN53" s="40"/>
      <c r="FO53" s="40"/>
      <c r="FP53" s="40"/>
      <c r="FQ53" s="40"/>
      <c r="FR53" s="40"/>
      <c r="FS53" s="40"/>
      <c r="FT53" s="40"/>
      <c r="FU53" s="40"/>
      <c r="FV53" s="40"/>
      <c r="FW53" s="40"/>
      <c r="FX53" s="40"/>
      <c r="FY53" s="40"/>
      <c r="FZ53" s="40"/>
      <c r="GA53" s="40"/>
      <c r="GB53" s="40"/>
      <c r="GC53" s="40"/>
      <c r="GD53" s="40"/>
      <c r="GE53" s="40"/>
      <c r="GF53" s="40"/>
      <c r="GG53" s="40"/>
      <c r="GH53" s="40"/>
      <c r="GI53" s="40"/>
      <c r="GJ53" s="40"/>
      <c r="GK53" s="40"/>
      <c r="GL53" s="40"/>
      <c r="GM53" s="40"/>
      <c r="GN53" s="40"/>
      <c r="GO53" s="40"/>
      <c r="GP53" s="40"/>
      <c r="GQ53" s="40"/>
      <c r="GR53" s="40"/>
      <c r="GS53" s="40"/>
      <c r="GT53" s="40"/>
      <c r="GU53" s="40"/>
      <c r="GV53" s="40"/>
      <c r="GW53" s="40"/>
      <c r="GX53" s="40"/>
      <c r="GY53" s="40"/>
      <c r="GZ53" s="40"/>
      <c r="HA53" s="40"/>
      <c r="HB53" s="40"/>
      <c r="HC53" s="40"/>
      <c r="HD53" s="40"/>
      <c r="HE53" s="40"/>
      <c r="HF53" s="40"/>
      <c r="HG53" s="40"/>
      <c r="HH53" s="40"/>
      <c r="HI53" s="40"/>
      <c r="HJ53" s="40"/>
      <c r="HK53" s="40"/>
      <c r="HL53" s="40"/>
      <c r="HM53" s="40"/>
      <c r="HN53" s="40"/>
      <c r="HO53" s="40"/>
      <c r="HP53" s="40"/>
      <c r="HQ53" s="40"/>
      <c r="HR53" s="40"/>
      <c r="HS53" s="40"/>
      <c r="HT53" s="40"/>
      <c r="HU53" s="40"/>
    </row>
    <row r="54" spans="1:229" s="41" customFormat="1" ht="28.8" customHeight="1">
      <c r="A54" s="124" t="s">
        <v>2063</v>
      </c>
      <c r="B54" s="80" t="s">
        <v>158</v>
      </c>
      <c r="C54" s="80" t="s">
        <v>129</v>
      </c>
      <c r="D54" s="80" t="s">
        <v>1312</v>
      </c>
      <c r="E54" s="80" t="s">
        <v>156</v>
      </c>
      <c r="F54" s="80" t="s">
        <v>160</v>
      </c>
      <c r="G54" s="135" t="s">
        <v>161</v>
      </c>
      <c r="H54" s="81">
        <v>0.5</v>
      </c>
      <c r="I54" s="81" t="s">
        <v>590</v>
      </c>
      <c r="J54" s="79" t="s">
        <v>1321</v>
      </c>
      <c r="K54" s="81"/>
      <c r="L54" s="79"/>
      <c r="M54" s="82" t="s">
        <v>182</v>
      </c>
      <c r="N54" s="82" t="s">
        <v>24</v>
      </c>
      <c r="O54" s="82" t="s">
        <v>316</v>
      </c>
      <c r="P54" s="142">
        <v>0.2</v>
      </c>
      <c r="Q54" s="40">
        <f>SUMIF(Data_P!A:A,CONCATENATE(A54,"_",R$1),Data_P!J:J)</f>
        <v>673.56</v>
      </c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40"/>
      <c r="BP54" s="40"/>
      <c r="BQ54" s="40"/>
      <c r="BR54" s="40"/>
      <c r="BS54" s="40"/>
      <c r="BT54" s="40"/>
      <c r="BU54" s="40"/>
      <c r="BV54" s="40"/>
      <c r="BW54" s="40"/>
      <c r="BX54" s="40"/>
      <c r="BY54" s="40"/>
      <c r="BZ54" s="40"/>
      <c r="CA54" s="40"/>
      <c r="CB54" s="40"/>
      <c r="CC54" s="40"/>
      <c r="CD54" s="40"/>
      <c r="CE54" s="40"/>
      <c r="CF54" s="40"/>
      <c r="CG54" s="40"/>
      <c r="CH54" s="40"/>
      <c r="CI54" s="40"/>
      <c r="CJ54" s="40"/>
      <c r="CK54" s="40"/>
      <c r="CL54" s="40"/>
      <c r="CM54" s="40"/>
      <c r="CN54" s="40"/>
      <c r="CO54" s="40"/>
      <c r="CP54" s="40"/>
      <c r="CQ54" s="40"/>
      <c r="CR54" s="40"/>
      <c r="CS54" s="40"/>
      <c r="CT54" s="40"/>
      <c r="CU54" s="40"/>
      <c r="CV54" s="40"/>
      <c r="CW54" s="40"/>
      <c r="CX54" s="40"/>
      <c r="CY54" s="40"/>
      <c r="CZ54" s="40"/>
      <c r="DA54" s="40"/>
      <c r="DB54" s="40"/>
      <c r="DC54" s="40"/>
      <c r="DD54" s="40"/>
      <c r="DE54" s="40"/>
      <c r="DF54" s="40"/>
      <c r="DG54" s="40"/>
      <c r="DH54" s="40"/>
      <c r="DI54" s="40"/>
      <c r="DJ54" s="40"/>
      <c r="DK54" s="40"/>
      <c r="DL54" s="40"/>
      <c r="DM54" s="40"/>
      <c r="DN54" s="40"/>
      <c r="DO54" s="40"/>
      <c r="DP54" s="40"/>
      <c r="DQ54" s="40"/>
      <c r="DR54" s="40"/>
      <c r="DS54" s="40"/>
      <c r="DT54" s="40"/>
      <c r="DU54" s="40"/>
      <c r="DV54" s="40"/>
      <c r="DW54" s="40"/>
      <c r="DX54" s="40"/>
      <c r="DY54" s="40"/>
      <c r="DZ54" s="40"/>
      <c r="EA54" s="40"/>
      <c r="EB54" s="40"/>
      <c r="EC54" s="40"/>
      <c r="ED54" s="40"/>
      <c r="EE54" s="40"/>
      <c r="EF54" s="40"/>
      <c r="EG54" s="40"/>
      <c r="EH54" s="40"/>
      <c r="EI54" s="40"/>
      <c r="EJ54" s="40"/>
      <c r="EK54" s="40"/>
      <c r="EL54" s="40"/>
      <c r="EM54" s="40"/>
      <c r="EN54" s="40"/>
      <c r="EO54" s="40"/>
      <c r="EP54" s="40"/>
      <c r="EQ54" s="40"/>
      <c r="ER54" s="40"/>
      <c r="ES54" s="40"/>
      <c r="ET54" s="40"/>
      <c r="EU54" s="40"/>
      <c r="EV54" s="40"/>
      <c r="EW54" s="40"/>
      <c r="EX54" s="40"/>
      <c r="EY54" s="40"/>
      <c r="EZ54" s="40"/>
      <c r="FA54" s="40"/>
      <c r="FB54" s="40"/>
      <c r="FC54" s="40"/>
      <c r="FD54" s="40"/>
      <c r="FE54" s="40"/>
      <c r="FF54" s="40"/>
      <c r="FG54" s="40"/>
      <c r="FH54" s="40"/>
      <c r="FI54" s="40"/>
      <c r="FJ54" s="40"/>
      <c r="FK54" s="40"/>
      <c r="FL54" s="40"/>
      <c r="FM54" s="40"/>
      <c r="FN54" s="40"/>
      <c r="FO54" s="40"/>
      <c r="FP54" s="40"/>
      <c r="FQ54" s="40"/>
      <c r="FR54" s="40"/>
      <c r="FS54" s="40"/>
      <c r="FT54" s="40"/>
      <c r="FU54" s="40"/>
      <c r="FV54" s="40"/>
      <c r="FW54" s="40"/>
      <c r="FX54" s="40"/>
      <c r="FY54" s="40"/>
      <c r="FZ54" s="40"/>
      <c r="GA54" s="40"/>
      <c r="GB54" s="40"/>
      <c r="GC54" s="40"/>
      <c r="GD54" s="40"/>
      <c r="GE54" s="40"/>
      <c r="GF54" s="40"/>
      <c r="GG54" s="40"/>
      <c r="GH54" s="40"/>
      <c r="GI54" s="40"/>
      <c r="GJ54" s="40"/>
      <c r="GK54" s="40"/>
      <c r="GL54" s="40"/>
      <c r="GM54" s="40"/>
      <c r="GN54" s="40"/>
      <c r="GO54" s="40"/>
      <c r="GP54" s="40"/>
      <c r="GQ54" s="40"/>
      <c r="GR54" s="40"/>
      <c r="GS54" s="40"/>
      <c r="GT54" s="40"/>
      <c r="GU54" s="40"/>
      <c r="GV54" s="40"/>
      <c r="GW54" s="40"/>
      <c r="GX54" s="40"/>
      <c r="GY54" s="40"/>
      <c r="GZ54" s="40"/>
      <c r="HA54" s="40"/>
      <c r="HB54" s="40"/>
      <c r="HC54" s="40"/>
      <c r="HD54" s="40"/>
      <c r="HE54" s="40"/>
      <c r="HF54" s="40"/>
      <c r="HG54" s="40"/>
      <c r="HH54" s="40"/>
      <c r="HI54" s="40"/>
      <c r="HJ54" s="40"/>
      <c r="HK54" s="40"/>
      <c r="HL54" s="40"/>
      <c r="HM54" s="40"/>
      <c r="HN54" s="40"/>
      <c r="HO54" s="40"/>
      <c r="HP54" s="40"/>
      <c r="HQ54" s="40"/>
      <c r="HR54" s="40"/>
      <c r="HS54" s="40"/>
      <c r="HT54" s="40"/>
      <c r="HU54" s="40"/>
    </row>
    <row r="55" spans="1:229" s="41" customFormat="1" ht="28.8" customHeight="1">
      <c r="A55" s="124" t="s">
        <v>2064</v>
      </c>
      <c r="B55" s="80" t="s">
        <v>159</v>
      </c>
      <c r="C55" s="80" t="s">
        <v>129</v>
      </c>
      <c r="D55" s="80" t="s">
        <v>1313</v>
      </c>
      <c r="E55" s="80" t="s">
        <v>1314</v>
      </c>
      <c r="F55" s="80" t="s">
        <v>326</v>
      </c>
      <c r="G55" s="135" t="s">
        <v>327</v>
      </c>
      <c r="H55" s="81">
        <v>0.5</v>
      </c>
      <c r="I55" s="81" t="s">
        <v>590</v>
      </c>
      <c r="J55" s="79" t="s">
        <v>1321</v>
      </c>
      <c r="K55" s="81"/>
      <c r="L55" s="79"/>
      <c r="M55" s="82" t="s">
        <v>183</v>
      </c>
      <c r="N55" s="82" t="s">
        <v>24</v>
      </c>
      <c r="O55" s="82" t="s">
        <v>316</v>
      </c>
      <c r="P55" s="142">
        <v>0.2</v>
      </c>
      <c r="Q55" s="40">
        <f>SUMIF(Data_P!A:A,CONCATENATE(A55,"_",R$1),Data_P!J:J)</f>
        <v>2416.38</v>
      </c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  <c r="BM55" s="40"/>
      <c r="BN55" s="40"/>
      <c r="BO55" s="40"/>
      <c r="BP55" s="40"/>
      <c r="BQ55" s="40"/>
      <c r="BR55" s="40"/>
      <c r="BS55" s="40"/>
      <c r="BT55" s="40"/>
      <c r="BU55" s="40"/>
      <c r="BV55" s="40"/>
      <c r="BW55" s="40"/>
      <c r="BX55" s="40"/>
      <c r="BY55" s="40"/>
      <c r="BZ55" s="40"/>
      <c r="CA55" s="40"/>
      <c r="CB55" s="40"/>
      <c r="CC55" s="40"/>
      <c r="CD55" s="40"/>
      <c r="CE55" s="40"/>
      <c r="CF55" s="40"/>
      <c r="CG55" s="40"/>
      <c r="CH55" s="40"/>
      <c r="CI55" s="40"/>
      <c r="CJ55" s="40"/>
      <c r="CK55" s="40"/>
      <c r="CL55" s="40"/>
      <c r="CM55" s="40"/>
      <c r="CN55" s="40"/>
      <c r="CO55" s="40"/>
      <c r="CP55" s="40"/>
      <c r="CQ55" s="40"/>
      <c r="CR55" s="40"/>
      <c r="CS55" s="40"/>
      <c r="CT55" s="40"/>
      <c r="CU55" s="40"/>
      <c r="CV55" s="40"/>
      <c r="CW55" s="40"/>
      <c r="CX55" s="40"/>
      <c r="CY55" s="40"/>
      <c r="CZ55" s="40"/>
      <c r="DA55" s="40"/>
      <c r="DB55" s="40"/>
      <c r="DC55" s="40"/>
      <c r="DD55" s="40"/>
      <c r="DE55" s="40"/>
      <c r="DF55" s="40"/>
      <c r="DG55" s="40"/>
      <c r="DH55" s="40"/>
      <c r="DI55" s="40"/>
      <c r="DJ55" s="40"/>
      <c r="DK55" s="40"/>
      <c r="DL55" s="40"/>
      <c r="DM55" s="40"/>
      <c r="DN55" s="40"/>
      <c r="DO55" s="40"/>
      <c r="DP55" s="40"/>
      <c r="DQ55" s="40"/>
      <c r="DR55" s="40"/>
      <c r="DS55" s="40"/>
      <c r="DT55" s="40"/>
      <c r="DU55" s="40"/>
      <c r="DV55" s="40"/>
      <c r="DW55" s="40"/>
      <c r="DX55" s="40"/>
      <c r="DY55" s="40"/>
      <c r="DZ55" s="40"/>
      <c r="EA55" s="40"/>
      <c r="EB55" s="40"/>
      <c r="EC55" s="40"/>
      <c r="ED55" s="40"/>
      <c r="EE55" s="40"/>
      <c r="EF55" s="40"/>
      <c r="EG55" s="40"/>
      <c r="EH55" s="40"/>
      <c r="EI55" s="40"/>
      <c r="EJ55" s="40"/>
      <c r="EK55" s="40"/>
      <c r="EL55" s="40"/>
      <c r="EM55" s="40"/>
      <c r="EN55" s="40"/>
      <c r="EO55" s="40"/>
      <c r="EP55" s="40"/>
      <c r="EQ55" s="40"/>
      <c r="ER55" s="40"/>
      <c r="ES55" s="40"/>
      <c r="ET55" s="40"/>
      <c r="EU55" s="40"/>
      <c r="EV55" s="40"/>
      <c r="EW55" s="40"/>
      <c r="EX55" s="40"/>
      <c r="EY55" s="40"/>
      <c r="EZ55" s="40"/>
      <c r="FA55" s="40"/>
      <c r="FB55" s="40"/>
      <c r="FC55" s="40"/>
      <c r="FD55" s="40"/>
      <c r="FE55" s="40"/>
      <c r="FF55" s="40"/>
      <c r="FG55" s="40"/>
      <c r="FH55" s="40"/>
      <c r="FI55" s="40"/>
      <c r="FJ55" s="40"/>
      <c r="FK55" s="40"/>
      <c r="FL55" s="40"/>
      <c r="FM55" s="40"/>
      <c r="FN55" s="40"/>
      <c r="FO55" s="40"/>
      <c r="FP55" s="40"/>
      <c r="FQ55" s="40"/>
      <c r="FR55" s="40"/>
      <c r="FS55" s="40"/>
      <c r="FT55" s="40"/>
      <c r="FU55" s="40"/>
      <c r="FV55" s="40"/>
      <c r="FW55" s="40"/>
      <c r="FX55" s="40"/>
      <c r="FY55" s="40"/>
      <c r="FZ55" s="40"/>
      <c r="GA55" s="40"/>
      <c r="GB55" s="40"/>
      <c r="GC55" s="40"/>
      <c r="GD55" s="40"/>
      <c r="GE55" s="40"/>
      <c r="GF55" s="40"/>
      <c r="GG55" s="40"/>
      <c r="GH55" s="40"/>
      <c r="GI55" s="40"/>
      <c r="GJ55" s="40"/>
      <c r="GK55" s="40"/>
      <c r="GL55" s="40"/>
      <c r="GM55" s="40"/>
      <c r="GN55" s="40"/>
      <c r="GO55" s="40"/>
      <c r="GP55" s="40"/>
      <c r="GQ55" s="40"/>
      <c r="GR55" s="40"/>
      <c r="GS55" s="40"/>
      <c r="GT55" s="40"/>
      <c r="GU55" s="40"/>
      <c r="GV55" s="40"/>
      <c r="GW55" s="40"/>
      <c r="GX55" s="40"/>
      <c r="GY55" s="40"/>
      <c r="GZ55" s="40"/>
      <c r="HA55" s="40"/>
      <c r="HB55" s="40"/>
      <c r="HC55" s="40"/>
      <c r="HD55" s="40"/>
      <c r="HE55" s="40"/>
      <c r="HF55" s="40"/>
      <c r="HG55" s="40"/>
      <c r="HH55" s="40"/>
      <c r="HI55" s="40"/>
      <c r="HJ55" s="40"/>
      <c r="HK55" s="40"/>
      <c r="HL55" s="40"/>
      <c r="HM55" s="40"/>
      <c r="HN55" s="40"/>
      <c r="HO55" s="40"/>
      <c r="HP55" s="40"/>
      <c r="HQ55" s="40"/>
      <c r="HR55" s="40"/>
      <c r="HS55" s="40"/>
      <c r="HT55" s="40"/>
      <c r="HU55" s="40"/>
    </row>
    <row r="56" spans="1:229" s="41" customFormat="1" ht="28.8" customHeight="1">
      <c r="A56" s="124" t="s">
        <v>2061</v>
      </c>
      <c r="B56" s="80" t="s">
        <v>354</v>
      </c>
      <c r="C56" s="80" t="s">
        <v>355</v>
      </c>
      <c r="D56" s="80" t="s">
        <v>356</v>
      </c>
      <c r="E56" s="80" t="s">
        <v>357</v>
      </c>
      <c r="F56" s="80" t="s">
        <v>358</v>
      </c>
      <c r="G56" s="135" t="s">
        <v>359</v>
      </c>
      <c r="H56" s="81">
        <v>0.5</v>
      </c>
      <c r="I56" s="81" t="s">
        <v>590</v>
      </c>
      <c r="J56" s="79" t="s">
        <v>1321</v>
      </c>
      <c r="K56" s="81"/>
      <c r="L56" s="79"/>
      <c r="M56" s="82" t="s">
        <v>517</v>
      </c>
      <c r="N56" s="82" t="s">
        <v>24</v>
      </c>
      <c r="O56" s="82" t="s">
        <v>316</v>
      </c>
      <c r="P56" s="142">
        <v>0.2</v>
      </c>
      <c r="Q56" s="40">
        <f>SUMIF(Data_P!A:A,CONCATENATE(A56,"_",R$1),Data_P!J:J)</f>
        <v>0</v>
      </c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/>
      <c r="BO56" s="40"/>
      <c r="BP56" s="40"/>
      <c r="BQ56" s="40"/>
      <c r="BR56" s="40"/>
      <c r="BS56" s="40"/>
      <c r="BT56" s="40"/>
      <c r="BU56" s="40"/>
      <c r="BV56" s="40"/>
      <c r="BW56" s="40"/>
      <c r="BX56" s="40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  <c r="CM56" s="40"/>
      <c r="CN56" s="40"/>
      <c r="CO56" s="40"/>
      <c r="CP56" s="40"/>
      <c r="CQ56" s="40"/>
      <c r="CR56" s="40"/>
      <c r="CS56" s="40"/>
      <c r="CT56" s="40"/>
      <c r="CU56" s="40"/>
      <c r="CV56" s="40"/>
      <c r="CW56" s="40"/>
      <c r="CX56" s="40"/>
      <c r="CY56" s="40"/>
      <c r="CZ56" s="40"/>
      <c r="DA56" s="40"/>
      <c r="DB56" s="40"/>
      <c r="DC56" s="40"/>
      <c r="DD56" s="40"/>
      <c r="DE56" s="40"/>
      <c r="DF56" s="40"/>
      <c r="DG56" s="40"/>
      <c r="DH56" s="40"/>
      <c r="DI56" s="40"/>
      <c r="DJ56" s="40"/>
      <c r="DK56" s="40"/>
      <c r="DL56" s="40"/>
      <c r="DM56" s="40"/>
      <c r="DN56" s="40"/>
      <c r="DO56" s="40"/>
      <c r="DP56" s="40"/>
      <c r="DQ56" s="40"/>
      <c r="DR56" s="40"/>
      <c r="DS56" s="40"/>
      <c r="DT56" s="40"/>
      <c r="DU56" s="40"/>
      <c r="DV56" s="40"/>
      <c r="DW56" s="40"/>
      <c r="DX56" s="40"/>
      <c r="DY56" s="40"/>
      <c r="DZ56" s="40"/>
      <c r="EA56" s="40"/>
      <c r="EB56" s="40"/>
      <c r="EC56" s="40"/>
      <c r="ED56" s="40"/>
      <c r="EE56" s="40"/>
      <c r="EF56" s="40"/>
      <c r="EG56" s="40"/>
      <c r="EH56" s="40"/>
      <c r="EI56" s="40"/>
      <c r="EJ56" s="40"/>
      <c r="EK56" s="40"/>
      <c r="EL56" s="40"/>
      <c r="EM56" s="40"/>
      <c r="EN56" s="40"/>
      <c r="EO56" s="40"/>
      <c r="EP56" s="40"/>
      <c r="EQ56" s="40"/>
      <c r="ER56" s="40"/>
      <c r="ES56" s="40"/>
      <c r="ET56" s="40"/>
      <c r="EU56" s="40"/>
      <c r="EV56" s="40"/>
      <c r="EW56" s="40"/>
      <c r="EX56" s="40"/>
      <c r="EY56" s="40"/>
      <c r="EZ56" s="40"/>
      <c r="FA56" s="40"/>
      <c r="FB56" s="40"/>
      <c r="FC56" s="40"/>
      <c r="FD56" s="40"/>
      <c r="FE56" s="40"/>
      <c r="FF56" s="40"/>
      <c r="FG56" s="40"/>
      <c r="FH56" s="40"/>
      <c r="FI56" s="40"/>
      <c r="FJ56" s="40"/>
      <c r="FK56" s="40"/>
      <c r="FL56" s="40"/>
      <c r="FM56" s="40"/>
      <c r="FN56" s="40"/>
      <c r="FO56" s="40"/>
      <c r="FP56" s="40"/>
      <c r="FQ56" s="40"/>
      <c r="FR56" s="40"/>
      <c r="FS56" s="40"/>
      <c r="FT56" s="40"/>
      <c r="FU56" s="40"/>
      <c r="FV56" s="40"/>
      <c r="FW56" s="40"/>
      <c r="FX56" s="40"/>
      <c r="FY56" s="40"/>
      <c r="FZ56" s="40"/>
      <c r="GA56" s="40"/>
      <c r="GB56" s="40"/>
      <c r="GC56" s="40"/>
      <c r="GD56" s="40"/>
      <c r="GE56" s="40"/>
      <c r="GF56" s="40"/>
      <c r="GG56" s="40"/>
      <c r="GH56" s="40"/>
      <c r="GI56" s="40"/>
      <c r="GJ56" s="40"/>
      <c r="GK56" s="40"/>
      <c r="GL56" s="40"/>
      <c r="GM56" s="40"/>
      <c r="GN56" s="40"/>
      <c r="GO56" s="40"/>
      <c r="GP56" s="40"/>
      <c r="GQ56" s="40"/>
      <c r="GR56" s="40"/>
      <c r="GS56" s="40"/>
      <c r="GT56" s="40"/>
      <c r="GU56" s="40"/>
      <c r="GV56" s="40"/>
      <c r="GW56" s="40"/>
      <c r="GX56" s="40"/>
      <c r="GY56" s="40"/>
      <c r="GZ56" s="40"/>
      <c r="HA56" s="40"/>
      <c r="HB56" s="40"/>
      <c r="HC56" s="40"/>
      <c r="HD56" s="40"/>
      <c r="HE56" s="40"/>
      <c r="HF56" s="40"/>
      <c r="HG56" s="40"/>
      <c r="HH56" s="40"/>
      <c r="HI56" s="40"/>
      <c r="HJ56" s="40"/>
      <c r="HK56" s="40"/>
      <c r="HL56" s="40"/>
      <c r="HM56" s="40"/>
      <c r="HN56" s="40"/>
      <c r="HO56" s="40"/>
      <c r="HP56" s="40"/>
      <c r="HQ56" s="40"/>
      <c r="HR56" s="40"/>
      <c r="HS56" s="40"/>
      <c r="HT56" s="40"/>
      <c r="HU56" s="40"/>
    </row>
    <row r="57" spans="1:229" s="41" customFormat="1" ht="28.8" customHeight="1">
      <c r="A57" s="124" t="s">
        <v>2065</v>
      </c>
      <c r="B57" s="80" t="s">
        <v>1691</v>
      </c>
      <c r="C57" s="80" t="s">
        <v>129</v>
      </c>
      <c r="D57" s="80" t="s">
        <v>1315</v>
      </c>
      <c r="E57" s="80" t="s">
        <v>1316</v>
      </c>
      <c r="F57" s="80" t="s">
        <v>121</v>
      </c>
      <c r="G57" s="135" t="s">
        <v>122</v>
      </c>
      <c r="H57" s="81">
        <v>0.5</v>
      </c>
      <c r="I57" s="81" t="s">
        <v>590</v>
      </c>
      <c r="J57" s="79" t="s">
        <v>1321</v>
      </c>
      <c r="K57" s="81"/>
      <c r="L57" s="79"/>
      <c r="M57" s="82" t="s">
        <v>23</v>
      </c>
      <c r="N57" s="82" t="s">
        <v>24</v>
      </c>
      <c r="O57" s="82" t="s">
        <v>316</v>
      </c>
      <c r="P57" s="142">
        <v>0.2</v>
      </c>
      <c r="Q57" s="40">
        <f>SUMIF(Data_P!A:A,CONCATENATE(A57,"_",R$1),Data_P!J:J)</f>
        <v>1566.4</v>
      </c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/>
      <c r="BO57" s="40"/>
      <c r="BP57" s="40"/>
      <c r="BQ57" s="40"/>
      <c r="BR57" s="40"/>
      <c r="BS57" s="40"/>
      <c r="BT57" s="40"/>
      <c r="BU57" s="40"/>
      <c r="BV57" s="40"/>
      <c r="BW57" s="40"/>
      <c r="BX57" s="40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0"/>
      <c r="CJ57" s="40"/>
      <c r="CK57" s="40"/>
      <c r="CL57" s="40"/>
      <c r="CM57" s="40"/>
      <c r="CN57" s="40"/>
      <c r="CO57" s="40"/>
      <c r="CP57" s="40"/>
      <c r="CQ57" s="40"/>
      <c r="CR57" s="40"/>
      <c r="CS57" s="40"/>
      <c r="CT57" s="40"/>
      <c r="CU57" s="40"/>
      <c r="CV57" s="40"/>
      <c r="CW57" s="40"/>
      <c r="CX57" s="40"/>
      <c r="CY57" s="40"/>
      <c r="CZ57" s="40"/>
      <c r="DA57" s="40"/>
      <c r="DB57" s="40"/>
      <c r="DC57" s="40"/>
      <c r="DD57" s="40"/>
      <c r="DE57" s="40"/>
      <c r="DF57" s="40"/>
      <c r="DG57" s="40"/>
      <c r="DH57" s="40"/>
      <c r="DI57" s="40"/>
      <c r="DJ57" s="40"/>
      <c r="DK57" s="40"/>
      <c r="DL57" s="40"/>
      <c r="DM57" s="40"/>
      <c r="DN57" s="40"/>
      <c r="DO57" s="40"/>
      <c r="DP57" s="40"/>
      <c r="DQ57" s="40"/>
      <c r="DR57" s="40"/>
      <c r="DS57" s="40"/>
      <c r="DT57" s="40"/>
      <c r="DU57" s="40"/>
      <c r="DV57" s="40"/>
      <c r="DW57" s="40"/>
      <c r="DX57" s="40"/>
      <c r="DY57" s="40"/>
      <c r="DZ57" s="40"/>
      <c r="EA57" s="40"/>
      <c r="EB57" s="40"/>
      <c r="EC57" s="40"/>
      <c r="ED57" s="40"/>
      <c r="EE57" s="40"/>
      <c r="EF57" s="40"/>
      <c r="EG57" s="40"/>
      <c r="EH57" s="40"/>
      <c r="EI57" s="40"/>
      <c r="EJ57" s="40"/>
      <c r="EK57" s="40"/>
      <c r="EL57" s="40"/>
      <c r="EM57" s="40"/>
      <c r="EN57" s="40"/>
      <c r="EO57" s="40"/>
      <c r="EP57" s="40"/>
      <c r="EQ57" s="40"/>
      <c r="ER57" s="40"/>
      <c r="ES57" s="40"/>
      <c r="ET57" s="40"/>
      <c r="EU57" s="40"/>
      <c r="EV57" s="40"/>
      <c r="EW57" s="40"/>
      <c r="EX57" s="40"/>
      <c r="EY57" s="40"/>
      <c r="EZ57" s="40"/>
      <c r="FA57" s="40"/>
      <c r="FB57" s="40"/>
      <c r="FC57" s="40"/>
      <c r="FD57" s="40"/>
      <c r="FE57" s="40"/>
      <c r="FF57" s="40"/>
      <c r="FG57" s="40"/>
      <c r="FH57" s="40"/>
      <c r="FI57" s="40"/>
      <c r="FJ57" s="40"/>
      <c r="FK57" s="40"/>
      <c r="FL57" s="40"/>
      <c r="FM57" s="40"/>
      <c r="FN57" s="40"/>
      <c r="FO57" s="40"/>
      <c r="FP57" s="40"/>
      <c r="FQ57" s="40"/>
      <c r="FR57" s="40"/>
      <c r="FS57" s="40"/>
      <c r="FT57" s="40"/>
      <c r="FU57" s="40"/>
      <c r="FV57" s="40"/>
      <c r="FW57" s="40"/>
      <c r="FX57" s="40"/>
      <c r="FY57" s="40"/>
      <c r="FZ57" s="40"/>
      <c r="GA57" s="40"/>
      <c r="GB57" s="40"/>
      <c r="GC57" s="40"/>
      <c r="GD57" s="40"/>
      <c r="GE57" s="40"/>
      <c r="GF57" s="40"/>
      <c r="GG57" s="40"/>
      <c r="GH57" s="40"/>
      <c r="GI57" s="40"/>
      <c r="GJ57" s="40"/>
      <c r="GK57" s="40"/>
      <c r="GL57" s="40"/>
      <c r="GM57" s="40"/>
      <c r="GN57" s="40"/>
      <c r="GO57" s="40"/>
      <c r="GP57" s="40"/>
      <c r="GQ57" s="40"/>
      <c r="GR57" s="40"/>
      <c r="GS57" s="40"/>
      <c r="GT57" s="40"/>
      <c r="GU57" s="40"/>
      <c r="GV57" s="40"/>
      <c r="GW57" s="40"/>
      <c r="GX57" s="40"/>
      <c r="GY57" s="40"/>
      <c r="GZ57" s="40"/>
      <c r="HA57" s="40"/>
      <c r="HB57" s="40"/>
      <c r="HC57" s="40"/>
      <c r="HD57" s="40"/>
      <c r="HE57" s="40"/>
      <c r="HF57" s="40"/>
      <c r="HG57" s="40"/>
      <c r="HH57" s="40"/>
      <c r="HI57" s="40"/>
      <c r="HJ57" s="40"/>
      <c r="HK57" s="40"/>
      <c r="HL57" s="40"/>
      <c r="HM57" s="40"/>
      <c r="HN57" s="40"/>
      <c r="HO57" s="40"/>
      <c r="HP57" s="40"/>
      <c r="HQ57" s="40"/>
      <c r="HR57" s="40"/>
      <c r="HS57" s="40"/>
      <c r="HT57" s="40"/>
      <c r="HU57" s="40"/>
    </row>
    <row r="58" spans="1:229" s="41" customFormat="1" ht="28.8" customHeight="1">
      <c r="A58" s="124" t="s">
        <v>2062</v>
      </c>
      <c r="B58" s="80" t="s">
        <v>911</v>
      </c>
      <c r="C58" s="80"/>
      <c r="D58" s="80" t="s">
        <v>912</v>
      </c>
      <c r="E58" s="80" t="s">
        <v>913</v>
      </c>
      <c r="F58" s="80" t="s">
        <v>914</v>
      </c>
      <c r="G58" s="135" t="s">
        <v>915</v>
      </c>
      <c r="H58" s="81">
        <v>0.5</v>
      </c>
      <c r="I58" s="81">
        <v>-0.1</v>
      </c>
      <c r="J58" s="79" t="s">
        <v>399</v>
      </c>
      <c r="K58" s="81"/>
      <c r="L58" s="79"/>
      <c r="M58" s="82" t="s">
        <v>988</v>
      </c>
      <c r="N58" s="82" t="s">
        <v>24</v>
      </c>
      <c r="O58" s="82" t="s">
        <v>316</v>
      </c>
      <c r="P58" s="142">
        <v>0.2</v>
      </c>
      <c r="Q58" s="40">
        <f>SUMIF(Data_P!A:A,CONCATENATE(A58,"_",R$1),Data_P!J:J)</f>
        <v>395.85</v>
      </c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40"/>
      <c r="BQ58" s="40"/>
      <c r="BR58" s="40"/>
      <c r="BS58" s="40"/>
      <c r="BT58" s="40"/>
      <c r="BU58" s="40"/>
      <c r="BV58" s="40"/>
      <c r="BW58" s="40"/>
      <c r="BX58" s="40"/>
      <c r="BY58" s="40"/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J58" s="40"/>
      <c r="CK58" s="40"/>
      <c r="CL58" s="40"/>
      <c r="CM58" s="40"/>
      <c r="CN58" s="40"/>
      <c r="CO58" s="40"/>
      <c r="CP58" s="40"/>
      <c r="CQ58" s="40"/>
      <c r="CR58" s="40"/>
      <c r="CS58" s="40"/>
      <c r="CT58" s="40"/>
      <c r="CU58" s="40"/>
      <c r="CV58" s="40"/>
      <c r="CW58" s="40"/>
      <c r="CX58" s="40"/>
      <c r="CY58" s="40"/>
      <c r="CZ58" s="40"/>
      <c r="DA58" s="40"/>
      <c r="DB58" s="40"/>
      <c r="DC58" s="40"/>
      <c r="DD58" s="40"/>
      <c r="DE58" s="40"/>
      <c r="DF58" s="40"/>
      <c r="DG58" s="40"/>
      <c r="DH58" s="40"/>
      <c r="DI58" s="40"/>
      <c r="DJ58" s="40"/>
      <c r="DK58" s="40"/>
      <c r="DL58" s="40"/>
      <c r="DM58" s="40"/>
      <c r="DN58" s="40"/>
      <c r="DO58" s="40"/>
      <c r="DP58" s="40"/>
      <c r="DQ58" s="40"/>
      <c r="DR58" s="40"/>
      <c r="DS58" s="40"/>
      <c r="DT58" s="40"/>
      <c r="DU58" s="40"/>
      <c r="DV58" s="40"/>
      <c r="DW58" s="40"/>
      <c r="DX58" s="40"/>
      <c r="DY58" s="40"/>
      <c r="DZ58" s="40"/>
      <c r="EA58" s="40"/>
      <c r="EB58" s="40"/>
      <c r="EC58" s="40"/>
      <c r="ED58" s="40"/>
      <c r="EE58" s="40"/>
      <c r="EF58" s="40"/>
      <c r="EG58" s="40"/>
      <c r="EH58" s="40"/>
      <c r="EI58" s="40"/>
      <c r="EJ58" s="40"/>
      <c r="EK58" s="40"/>
      <c r="EL58" s="40"/>
      <c r="EM58" s="40"/>
      <c r="EN58" s="40"/>
      <c r="EO58" s="40"/>
      <c r="EP58" s="40"/>
      <c r="EQ58" s="40"/>
      <c r="ER58" s="40"/>
      <c r="ES58" s="40"/>
      <c r="ET58" s="40"/>
      <c r="EU58" s="40"/>
      <c r="EV58" s="40"/>
      <c r="EW58" s="40"/>
      <c r="EX58" s="40"/>
      <c r="EY58" s="40"/>
      <c r="EZ58" s="40"/>
      <c r="FA58" s="40"/>
      <c r="FB58" s="40"/>
      <c r="FC58" s="40"/>
      <c r="FD58" s="40"/>
      <c r="FE58" s="40"/>
      <c r="FF58" s="40"/>
      <c r="FG58" s="40"/>
      <c r="FH58" s="40"/>
      <c r="FI58" s="40"/>
      <c r="FJ58" s="40"/>
      <c r="FK58" s="40"/>
      <c r="FL58" s="40"/>
      <c r="FM58" s="40"/>
      <c r="FN58" s="40"/>
      <c r="FO58" s="40"/>
      <c r="FP58" s="40"/>
      <c r="FQ58" s="40"/>
      <c r="FR58" s="40"/>
      <c r="FS58" s="40"/>
      <c r="FT58" s="40"/>
      <c r="FU58" s="40"/>
      <c r="FV58" s="40"/>
      <c r="FW58" s="40"/>
      <c r="FX58" s="40"/>
      <c r="FY58" s="40"/>
      <c r="FZ58" s="40"/>
      <c r="GA58" s="40"/>
      <c r="GB58" s="40"/>
      <c r="GC58" s="40"/>
      <c r="GD58" s="40"/>
      <c r="GE58" s="40"/>
      <c r="GF58" s="40"/>
      <c r="GG58" s="40"/>
      <c r="GH58" s="40"/>
      <c r="GI58" s="40"/>
      <c r="GJ58" s="40"/>
      <c r="GK58" s="40"/>
      <c r="GL58" s="40"/>
      <c r="GM58" s="40"/>
      <c r="GN58" s="40"/>
      <c r="GO58" s="40"/>
      <c r="GP58" s="40"/>
      <c r="GQ58" s="40"/>
      <c r="GR58" s="40"/>
      <c r="GS58" s="40"/>
      <c r="GT58" s="40"/>
      <c r="GU58" s="40"/>
      <c r="GV58" s="40"/>
      <c r="GW58" s="40"/>
      <c r="GX58" s="40"/>
      <c r="GY58" s="40"/>
      <c r="GZ58" s="40"/>
      <c r="HA58" s="40"/>
      <c r="HB58" s="40"/>
      <c r="HC58" s="40"/>
      <c r="HD58" s="40"/>
      <c r="HE58" s="40"/>
      <c r="HF58" s="40"/>
      <c r="HG58" s="40"/>
      <c r="HH58" s="40"/>
      <c r="HI58" s="40"/>
      <c r="HJ58" s="40"/>
      <c r="HK58" s="40"/>
      <c r="HL58" s="40"/>
      <c r="HM58" s="40"/>
      <c r="HN58" s="40"/>
      <c r="HO58" s="40"/>
      <c r="HP58" s="40"/>
      <c r="HQ58" s="40"/>
      <c r="HR58" s="40"/>
      <c r="HS58" s="40"/>
      <c r="HT58" s="40"/>
      <c r="HU58" s="40"/>
    </row>
    <row r="59" spans="1:229" s="41" customFormat="1" ht="28.8" customHeight="1">
      <c r="A59" s="124" t="s">
        <v>2066</v>
      </c>
      <c r="B59" s="80" t="s">
        <v>113</v>
      </c>
      <c r="C59" s="80" t="s">
        <v>129</v>
      </c>
      <c r="D59" s="80" t="s">
        <v>1317</v>
      </c>
      <c r="E59" s="80" t="s">
        <v>1318</v>
      </c>
      <c r="F59" s="80" t="s">
        <v>1635</v>
      </c>
      <c r="G59" s="135" t="s">
        <v>2018</v>
      </c>
      <c r="H59" s="81">
        <v>0.5</v>
      </c>
      <c r="I59" s="81" t="s">
        <v>590</v>
      </c>
      <c r="J59" s="79" t="s">
        <v>1321</v>
      </c>
      <c r="K59" s="81"/>
      <c r="L59" s="79"/>
      <c r="M59" s="82" t="s">
        <v>18</v>
      </c>
      <c r="N59" s="82" t="s">
        <v>55</v>
      </c>
      <c r="O59" s="82" t="s">
        <v>316</v>
      </c>
      <c r="P59" s="142">
        <v>0.2</v>
      </c>
      <c r="Q59" s="40">
        <f>SUMIF(Data_P!A:A,CONCATENATE(A59,"_",R$1),Data_P!J:J)</f>
        <v>1738.39</v>
      </c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J59" s="40"/>
      <c r="CK59" s="40"/>
      <c r="CL59" s="40"/>
      <c r="CM59" s="40"/>
      <c r="CN59" s="40"/>
      <c r="CO59" s="40"/>
      <c r="CP59" s="40"/>
      <c r="CQ59" s="40"/>
      <c r="CR59" s="40"/>
      <c r="CS59" s="40"/>
      <c r="CT59" s="40"/>
      <c r="CU59" s="40"/>
      <c r="CV59" s="40"/>
      <c r="CW59" s="40"/>
      <c r="CX59" s="40"/>
      <c r="CY59" s="40"/>
      <c r="CZ59" s="40"/>
      <c r="DA59" s="40"/>
      <c r="DB59" s="40"/>
      <c r="DC59" s="40"/>
      <c r="DD59" s="40"/>
      <c r="DE59" s="40"/>
      <c r="DF59" s="40"/>
      <c r="DG59" s="40"/>
      <c r="DH59" s="40"/>
      <c r="DI59" s="40"/>
      <c r="DJ59" s="40"/>
      <c r="DK59" s="40"/>
      <c r="DL59" s="40"/>
      <c r="DM59" s="40"/>
      <c r="DN59" s="40"/>
      <c r="DO59" s="40"/>
      <c r="DP59" s="40"/>
      <c r="DQ59" s="40"/>
      <c r="DR59" s="40"/>
      <c r="DS59" s="40"/>
      <c r="DT59" s="40"/>
      <c r="DU59" s="40"/>
      <c r="DV59" s="40"/>
      <c r="DW59" s="40"/>
      <c r="DX59" s="40"/>
      <c r="DY59" s="40"/>
      <c r="DZ59" s="40"/>
      <c r="EA59" s="40"/>
      <c r="EB59" s="40"/>
      <c r="EC59" s="40"/>
      <c r="ED59" s="40"/>
      <c r="EE59" s="40"/>
      <c r="EF59" s="40"/>
      <c r="EG59" s="40"/>
      <c r="EH59" s="40"/>
      <c r="EI59" s="40"/>
      <c r="EJ59" s="40"/>
      <c r="EK59" s="40"/>
      <c r="EL59" s="40"/>
      <c r="EM59" s="40"/>
      <c r="EN59" s="40"/>
      <c r="EO59" s="40"/>
      <c r="EP59" s="40"/>
      <c r="EQ59" s="40"/>
      <c r="ER59" s="40"/>
      <c r="ES59" s="40"/>
      <c r="ET59" s="40"/>
      <c r="EU59" s="40"/>
      <c r="EV59" s="40"/>
      <c r="EW59" s="40"/>
      <c r="EX59" s="40"/>
      <c r="EY59" s="40"/>
      <c r="EZ59" s="40"/>
      <c r="FA59" s="40"/>
      <c r="FB59" s="40"/>
      <c r="FC59" s="40"/>
      <c r="FD59" s="40"/>
      <c r="FE59" s="40"/>
      <c r="FF59" s="40"/>
      <c r="FG59" s="40"/>
      <c r="FH59" s="40"/>
      <c r="FI59" s="40"/>
      <c r="FJ59" s="40"/>
      <c r="FK59" s="40"/>
      <c r="FL59" s="40"/>
      <c r="FM59" s="40"/>
      <c r="FN59" s="40"/>
      <c r="FO59" s="40"/>
      <c r="FP59" s="40"/>
      <c r="FQ59" s="40"/>
      <c r="FR59" s="40"/>
      <c r="FS59" s="40"/>
      <c r="FT59" s="40"/>
      <c r="FU59" s="40"/>
      <c r="FV59" s="40"/>
      <c r="FW59" s="40"/>
      <c r="FX59" s="40"/>
      <c r="FY59" s="40"/>
      <c r="FZ59" s="40"/>
      <c r="GA59" s="40"/>
      <c r="GB59" s="40"/>
      <c r="GC59" s="40"/>
      <c r="GD59" s="40"/>
      <c r="GE59" s="40"/>
      <c r="GF59" s="40"/>
      <c r="GG59" s="40"/>
      <c r="GH59" s="40"/>
      <c r="GI59" s="40"/>
      <c r="GJ59" s="40"/>
      <c r="GK59" s="40"/>
      <c r="GL59" s="40"/>
      <c r="GM59" s="40"/>
      <c r="GN59" s="40"/>
      <c r="GO59" s="40"/>
      <c r="GP59" s="40"/>
      <c r="GQ59" s="40"/>
      <c r="GR59" s="40"/>
      <c r="GS59" s="40"/>
      <c r="GT59" s="40"/>
      <c r="GU59" s="40"/>
      <c r="GV59" s="40"/>
      <c r="GW59" s="40"/>
      <c r="GX59" s="40"/>
      <c r="GY59" s="40"/>
      <c r="GZ59" s="40"/>
      <c r="HA59" s="40"/>
      <c r="HB59" s="40"/>
      <c r="HC59" s="40"/>
      <c r="HD59" s="40"/>
      <c r="HE59" s="40"/>
      <c r="HF59" s="40"/>
      <c r="HG59" s="40"/>
      <c r="HH59" s="40"/>
      <c r="HI59" s="40"/>
      <c r="HJ59" s="40"/>
      <c r="HK59" s="40"/>
      <c r="HL59" s="40"/>
      <c r="HM59" s="40"/>
      <c r="HN59" s="40"/>
      <c r="HO59" s="40"/>
      <c r="HP59" s="40"/>
      <c r="HQ59" s="40"/>
      <c r="HR59" s="40"/>
      <c r="HS59" s="40"/>
      <c r="HT59" s="40"/>
      <c r="HU59" s="40"/>
    </row>
    <row r="60" spans="1:229" s="41" customFormat="1" ht="28.8" customHeight="1">
      <c r="A60" s="124" t="s">
        <v>2067</v>
      </c>
      <c r="B60" s="80" t="s">
        <v>115</v>
      </c>
      <c r="C60" s="80" t="s">
        <v>129</v>
      </c>
      <c r="D60" s="80" t="s">
        <v>1196</v>
      </c>
      <c r="E60" s="80" t="s">
        <v>1197</v>
      </c>
      <c r="F60" s="80" t="s">
        <v>321</v>
      </c>
      <c r="G60" s="135" t="s">
        <v>322</v>
      </c>
      <c r="H60" s="81">
        <v>0.5</v>
      </c>
      <c r="I60" s="81" t="s">
        <v>590</v>
      </c>
      <c r="J60" s="79" t="s">
        <v>1321</v>
      </c>
      <c r="K60" s="81"/>
      <c r="L60" s="79"/>
      <c r="M60" s="82" t="s">
        <v>29</v>
      </c>
      <c r="N60" s="82" t="s">
        <v>55</v>
      </c>
      <c r="O60" s="82" t="s">
        <v>316</v>
      </c>
      <c r="P60" s="142">
        <v>0.2</v>
      </c>
      <c r="Q60" s="40">
        <f>SUMIF(Data_P!A:A,CONCATENATE(A60,"_",R$1),Data_P!J:J)</f>
        <v>740.22</v>
      </c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40"/>
      <c r="CK60" s="40"/>
      <c r="CL60" s="40"/>
      <c r="CM60" s="40"/>
      <c r="CN60" s="40"/>
      <c r="CO60" s="40"/>
      <c r="CP60" s="40"/>
      <c r="CQ60" s="40"/>
      <c r="CR60" s="40"/>
      <c r="CS60" s="40"/>
      <c r="CT60" s="40"/>
      <c r="CU60" s="40"/>
      <c r="CV60" s="40"/>
      <c r="CW60" s="40"/>
      <c r="CX60" s="40"/>
      <c r="CY60" s="40"/>
      <c r="CZ60" s="40"/>
      <c r="DA60" s="40"/>
      <c r="DB60" s="40"/>
      <c r="DC60" s="40"/>
      <c r="DD60" s="40"/>
      <c r="DE60" s="40"/>
      <c r="DF60" s="40"/>
      <c r="DG60" s="40"/>
      <c r="DH60" s="40"/>
      <c r="DI60" s="40"/>
      <c r="DJ60" s="40"/>
      <c r="DK60" s="40"/>
      <c r="DL60" s="40"/>
      <c r="DM60" s="40"/>
      <c r="DN60" s="40"/>
      <c r="DO60" s="40"/>
      <c r="DP60" s="40"/>
      <c r="DQ60" s="40"/>
      <c r="DR60" s="40"/>
      <c r="DS60" s="40"/>
      <c r="DT60" s="40"/>
      <c r="DU60" s="40"/>
      <c r="DV60" s="40"/>
      <c r="DW60" s="40"/>
      <c r="DX60" s="40"/>
      <c r="DY60" s="40"/>
      <c r="DZ60" s="40"/>
      <c r="EA60" s="40"/>
      <c r="EB60" s="40"/>
      <c r="EC60" s="40"/>
      <c r="ED60" s="40"/>
      <c r="EE60" s="40"/>
      <c r="EF60" s="40"/>
      <c r="EG60" s="40"/>
      <c r="EH60" s="40"/>
      <c r="EI60" s="40"/>
      <c r="EJ60" s="40"/>
      <c r="EK60" s="40"/>
      <c r="EL60" s="40"/>
      <c r="EM60" s="40"/>
      <c r="EN60" s="40"/>
      <c r="EO60" s="40"/>
      <c r="EP60" s="40"/>
      <c r="EQ60" s="40"/>
      <c r="ER60" s="40"/>
      <c r="ES60" s="40"/>
      <c r="ET60" s="40"/>
      <c r="EU60" s="40"/>
      <c r="EV60" s="40"/>
      <c r="EW60" s="40"/>
      <c r="EX60" s="40"/>
      <c r="EY60" s="40"/>
      <c r="EZ60" s="40"/>
      <c r="FA60" s="40"/>
      <c r="FB60" s="40"/>
      <c r="FC60" s="40"/>
      <c r="FD60" s="40"/>
      <c r="FE60" s="40"/>
      <c r="FF60" s="40"/>
      <c r="FG60" s="40"/>
      <c r="FH60" s="40"/>
      <c r="FI60" s="40"/>
      <c r="FJ60" s="40"/>
      <c r="FK60" s="40"/>
      <c r="FL60" s="40"/>
      <c r="FM60" s="40"/>
      <c r="FN60" s="40"/>
      <c r="FO60" s="40"/>
      <c r="FP60" s="40"/>
      <c r="FQ60" s="40"/>
      <c r="FR60" s="40"/>
      <c r="FS60" s="40"/>
      <c r="FT60" s="40"/>
      <c r="FU60" s="40"/>
      <c r="FV60" s="40"/>
      <c r="FW60" s="40"/>
      <c r="FX60" s="40"/>
      <c r="FY60" s="40"/>
      <c r="FZ60" s="40"/>
      <c r="GA60" s="40"/>
      <c r="GB60" s="40"/>
      <c r="GC60" s="40"/>
      <c r="GD60" s="40"/>
      <c r="GE60" s="40"/>
      <c r="GF60" s="40"/>
      <c r="GG60" s="40"/>
      <c r="GH60" s="40"/>
      <c r="GI60" s="40"/>
      <c r="GJ60" s="40"/>
      <c r="GK60" s="40"/>
      <c r="GL60" s="40"/>
      <c r="GM60" s="40"/>
      <c r="GN60" s="40"/>
      <c r="GO60" s="40"/>
      <c r="GP60" s="40"/>
      <c r="GQ60" s="40"/>
      <c r="GR60" s="40"/>
      <c r="GS60" s="40"/>
      <c r="GT60" s="40"/>
      <c r="GU60" s="40"/>
      <c r="GV60" s="40"/>
      <c r="GW60" s="40"/>
      <c r="GX60" s="40"/>
      <c r="GY60" s="40"/>
      <c r="GZ60" s="40"/>
      <c r="HA60" s="40"/>
      <c r="HB60" s="40"/>
      <c r="HC60" s="40"/>
      <c r="HD60" s="40"/>
      <c r="HE60" s="40"/>
      <c r="HF60" s="40"/>
      <c r="HG60" s="40"/>
      <c r="HH60" s="40"/>
      <c r="HI60" s="40"/>
      <c r="HJ60" s="40"/>
      <c r="HK60" s="40"/>
      <c r="HL60" s="40"/>
      <c r="HM60" s="40"/>
      <c r="HN60" s="40"/>
      <c r="HO60" s="40"/>
      <c r="HP60" s="40"/>
      <c r="HQ60" s="40"/>
      <c r="HR60" s="40"/>
      <c r="HS60" s="40"/>
      <c r="HT60" s="40"/>
      <c r="HU60" s="40"/>
    </row>
    <row r="61" spans="1:229" s="41" customFormat="1" ht="28.8" customHeight="1">
      <c r="A61" s="124" t="s">
        <v>2070</v>
      </c>
      <c r="B61" s="80" t="s">
        <v>545</v>
      </c>
      <c r="C61" s="80"/>
      <c r="D61" s="80" t="s">
        <v>546</v>
      </c>
      <c r="E61" s="80" t="s">
        <v>547</v>
      </c>
      <c r="F61" s="80" t="s">
        <v>548</v>
      </c>
      <c r="G61" s="135" t="s">
        <v>549</v>
      </c>
      <c r="H61" s="81">
        <v>0.5</v>
      </c>
      <c r="I61" s="81" t="s">
        <v>590</v>
      </c>
      <c r="J61" s="79" t="s">
        <v>1321</v>
      </c>
      <c r="K61" s="81"/>
      <c r="L61" s="79"/>
      <c r="M61" s="82" t="s">
        <v>600</v>
      </c>
      <c r="N61" s="82" t="s">
        <v>24</v>
      </c>
      <c r="O61" s="82" t="s">
        <v>316</v>
      </c>
      <c r="P61" s="142">
        <v>0.2</v>
      </c>
      <c r="Q61" s="40">
        <f>SUMIF(Data_P!A:A,CONCATENATE(A61,"_",R$1),Data_P!J:J)</f>
        <v>692.61</v>
      </c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40"/>
      <c r="CK61" s="40"/>
      <c r="CL61" s="40"/>
      <c r="CM61" s="40"/>
      <c r="CN61" s="40"/>
      <c r="CO61" s="40"/>
      <c r="CP61" s="40"/>
      <c r="CQ61" s="40"/>
      <c r="CR61" s="40"/>
      <c r="CS61" s="40"/>
      <c r="CT61" s="40"/>
      <c r="CU61" s="40"/>
      <c r="CV61" s="40"/>
      <c r="CW61" s="40"/>
      <c r="CX61" s="40"/>
      <c r="CY61" s="40"/>
      <c r="CZ61" s="40"/>
      <c r="DA61" s="40"/>
      <c r="DB61" s="40"/>
      <c r="DC61" s="40"/>
      <c r="DD61" s="40"/>
      <c r="DE61" s="40"/>
      <c r="DF61" s="40"/>
      <c r="DG61" s="40"/>
      <c r="DH61" s="40"/>
      <c r="DI61" s="40"/>
      <c r="DJ61" s="40"/>
      <c r="DK61" s="40"/>
      <c r="DL61" s="40"/>
      <c r="DM61" s="40"/>
      <c r="DN61" s="40"/>
      <c r="DO61" s="40"/>
      <c r="DP61" s="40"/>
      <c r="DQ61" s="40"/>
      <c r="DR61" s="40"/>
      <c r="DS61" s="40"/>
      <c r="DT61" s="40"/>
      <c r="DU61" s="40"/>
      <c r="DV61" s="40"/>
      <c r="DW61" s="40"/>
      <c r="DX61" s="40"/>
      <c r="DY61" s="40"/>
      <c r="DZ61" s="40"/>
      <c r="EA61" s="40"/>
      <c r="EB61" s="40"/>
      <c r="EC61" s="40"/>
      <c r="ED61" s="40"/>
      <c r="EE61" s="40"/>
      <c r="EF61" s="40"/>
      <c r="EG61" s="40"/>
      <c r="EH61" s="40"/>
      <c r="EI61" s="40"/>
      <c r="EJ61" s="40"/>
      <c r="EK61" s="40"/>
      <c r="EL61" s="40"/>
      <c r="EM61" s="40"/>
      <c r="EN61" s="40"/>
      <c r="EO61" s="40"/>
      <c r="EP61" s="40"/>
      <c r="EQ61" s="40"/>
      <c r="ER61" s="40"/>
      <c r="ES61" s="40"/>
      <c r="ET61" s="40"/>
      <c r="EU61" s="40"/>
      <c r="EV61" s="40"/>
      <c r="EW61" s="40"/>
      <c r="EX61" s="40"/>
      <c r="EY61" s="40"/>
      <c r="EZ61" s="40"/>
      <c r="FA61" s="40"/>
      <c r="FB61" s="40"/>
      <c r="FC61" s="40"/>
      <c r="FD61" s="40"/>
      <c r="FE61" s="40"/>
      <c r="FF61" s="40"/>
      <c r="FG61" s="40"/>
      <c r="FH61" s="40"/>
      <c r="FI61" s="40"/>
      <c r="FJ61" s="40"/>
      <c r="FK61" s="40"/>
      <c r="FL61" s="40"/>
      <c r="FM61" s="40"/>
      <c r="FN61" s="40"/>
      <c r="FO61" s="40"/>
      <c r="FP61" s="40"/>
      <c r="FQ61" s="40"/>
      <c r="FR61" s="40"/>
      <c r="FS61" s="40"/>
      <c r="FT61" s="40"/>
      <c r="FU61" s="40"/>
      <c r="FV61" s="40"/>
      <c r="FW61" s="40"/>
      <c r="FX61" s="40"/>
      <c r="FY61" s="40"/>
      <c r="FZ61" s="40"/>
      <c r="GA61" s="40"/>
      <c r="GB61" s="40"/>
      <c r="GC61" s="40"/>
      <c r="GD61" s="40"/>
      <c r="GE61" s="40"/>
      <c r="GF61" s="40"/>
      <c r="GG61" s="40"/>
      <c r="GH61" s="40"/>
      <c r="GI61" s="40"/>
      <c r="GJ61" s="40"/>
      <c r="GK61" s="40"/>
      <c r="GL61" s="40"/>
      <c r="GM61" s="40"/>
      <c r="GN61" s="40"/>
      <c r="GO61" s="40"/>
      <c r="GP61" s="40"/>
      <c r="GQ61" s="40"/>
      <c r="GR61" s="40"/>
      <c r="GS61" s="40"/>
      <c r="GT61" s="40"/>
      <c r="GU61" s="40"/>
      <c r="GV61" s="40"/>
      <c r="GW61" s="40"/>
      <c r="GX61" s="40"/>
      <c r="GY61" s="40"/>
      <c r="GZ61" s="40"/>
      <c r="HA61" s="40"/>
      <c r="HB61" s="40"/>
      <c r="HC61" s="40"/>
      <c r="HD61" s="40"/>
      <c r="HE61" s="40"/>
      <c r="HF61" s="40"/>
      <c r="HG61" s="40"/>
      <c r="HH61" s="40"/>
      <c r="HI61" s="40"/>
      <c r="HJ61" s="40"/>
      <c r="HK61" s="40"/>
      <c r="HL61" s="40"/>
      <c r="HM61" s="40"/>
      <c r="HN61" s="40"/>
      <c r="HO61" s="40"/>
      <c r="HP61" s="40"/>
      <c r="HQ61" s="40"/>
      <c r="HR61" s="40"/>
      <c r="HS61" s="40"/>
      <c r="HT61" s="40"/>
      <c r="HU61" s="40"/>
    </row>
    <row r="62" spans="1:229" s="41" customFormat="1" ht="28.8" customHeight="1">
      <c r="A62" s="124" t="s">
        <v>2068</v>
      </c>
      <c r="B62" s="80" t="s">
        <v>1089</v>
      </c>
      <c r="C62" s="80"/>
      <c r="D62" s="80" t="s">
        <v>1319</v>
      </c>
      <c r="E62" s="80" t="s">
        <v>1320</v>
      </c>
      <c r="F62" s="80" t="s">
        <v>1634</v>
      </c>
      <c r="G62" s="135" t="s">
        <v>2019</v>
      </c>
      <c r="H62" s="81">
        <v>0.5</v>
      </c>
      <c r="I62" s="81" t="s">
        <v>590</v>
      </c>
      <c r="J62" s="79" t="s">
        <v>1321</v>
      </c>
      <c r="K62" s="81"/>
      <c r="L62" s="79"/>
      <c r="M62" s="82" t="s">
        <v>1389</v>
      </c>
      <c r="N62" s="82" t="s">
        <v>55</v>
      </c>
      <c r="O62" s="82" t="s">
        <v>316</v>
      </c>
      <c r="P62" s="142">
        <v>0.2</v>
      </c>
      <c r="Q62" s="40">
        <f>SUMIF(Data_P!A:A,CONCATENATE(A62,"_",R$1),Data_P!J:J)</f>
        <v>1288.28</v>
      </c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C62" s="40"/>
      <c r="CD62" s="40"/>
      <c r="CE62" s="40"/>
      <c r="CF62" s="40"/>
      <c r="CG62" s="40"/>
      <c r="CH62" s="40"/>
      <c r="CI62" s="40"/>
      <c r="CJ62" s="40"/>
      <c r="CK62" s="40"/>
      <c r="CL62" s="40"/>
      <c r="CM62" s="40"/>
      <c r="CN62" s="40"/>
      <c r="CO62" s="40"/>
      <c r="CP62" s="40"/>
      <c r="CQ62" s="40"/>
      <c r="CR62" s="40"/>
      <c r="CS62" s="40"/>
      <c r="CT62" s="40"/>
      <c r="CU62" s="40"/>
      <c r="CV62" s="40"/>
      <c r="CW62" s="40"/>
      <c r="CX62" s="40"/>
      <c r="CY62" s="40"/>
      <c r="CZ62" s="40"/>
      <c r="DA62" s="40"/>
      <c r="DB62" s="40"/>
      <c r="DC62" s="40"/>
      <c r="DD62" s="40"/>
      <c r="DE62" s="40"/>
      <c r="DF62" s="40"/>
      <c r="DG62" s="40"/>
      <c r="DH62" s="40"/>
      <c r="DI62" s="40"/>
      <c r="DJ62" s="40"/>
      <c r="DK62" s="40"/>
      <c r="DL62" s="40"/>
      <c r="DM62" s="40"/>
      <c r="DN62" s="40"/>
      <c r="DO62" s="40"/>
      <c r="DP62" s="40"/>
      <c r="DQ62" s="40"/>
      <c r="DR62" s="40"/>
      <c r="DS62" s="40"/>
      <c r="DT62" s="40"/>
      <c r="DU62" s="40"/>
      <c r="DV62" s="40"/>
      <c r="DW62" s="40"/>
      <c r="DX62" s="40"/>
      <c r="DY62" s="40"/>
      <c r="DZ62" s="40"/>
      <c r="EA62" s="40"/>
      <c r="EB62" s="40"/>
      <c r="EC62" s="40"/>
      <c r="ED62" s="40"/>
      <c r="EE62" s="40"/>
      <c r="EF62" s="40"/>
      <c r="EG62" s="40"/>
      <c r="EH62" s="40"/>
      <c r="EI62" s="40"/>
      <c r="EJ62" s="40"/>
      <c r="EK62" s="40"/>
      <c r="EL62" s="40"/>
      <c r="EM62" s="40"/>
      <c r="EN62" s="40"/>
      <c r="EO62" s="40"/>
      <c r="EP62" s="40"/>
      <c r="EQ62" s="40"/>
      <c r="ER62" s="40"/>
      <c r="ES62" s="40"/>
      <c r="ET62" s="40"/>
      <c r="EU62" s="40"/>
      <c r="EV62" s="40"/>
      <c r="EW62" s="40"/>
      <c r="EX62" s="40"/>
      <c r="EY62" s="40"/>
      <c r="EZ62" s="40"/>
      <c r="FA62" s="40"/>
      <c r="FB62" s="40"/>
      <c r="FC62" s="40"/>
      <c r="FD62" s="40"/>
      <c r="FE62" s="40"/>
      <c r="FF62" s="40"/>
      <c r="FG62" s="40"/>
      <c r="FH62" s="40"/>
      <c r="FI62" s="40"/>
      <c r="FJ62" s="40"/>
      <c r="FK62" s="40"/>
      <c r="FL62" s="40"/>
      <c r="FM62" s="40"/>
      <c r="FN62" s="40"/>
      <c r="FO62" s="40"/>
      <c r="FP62" s="40"/>
      <c r="FQ62" s="40"/>
      <c r="FR62" s="40"/>
      <c r="FS62" s="40"/>
      <c r="FT62" s="40"/>
      <c r="FU62" s="40"/>
      <c r="FV62" s="40"/>
      <c r="FW62" s="40"/>
      <c r="FX62" s="40"/>
      <c r="FY62" s="40"/>
      <c r="FZ62" s="40"/>
      <c r="GA62" s="40"/>
      <c r="GB62" s="40"/>
      <c r="GC62" s="40"/>
      <c r="GD62" s="40"/>
      <c r="GE62" s="40"/>
      <c r="GF62" s="40"/>
      <c r="GG62" s="40"/>
      <c r="GH62" s="40"/>
      <c r="GI62" s="40"/>
      <c r="GJ62" s="40"/>
      <c r="GK62" s="40"/>
      <c r="GL62" s="40"/>
      <c r="GM62" s="40"/>
      <c r="GN62" s="40"/>
      <c r="GO62" s="40"/>
      <c r="GP62" s="40"/>
      <c r="GQ62" s="40"/>
      <c r="GR62" s="40"/>
      <c r="GS62" s="40"/>
      <c r="GT62" s="40"/>
      <c r="GU62" s="40"/>
      <c r="GV62" s="40"/>
      <c r="GW62" s="40"/>
      <c r="GX62" s="40"/>
      <c r="GY62" s="40"/>
      <c r="GZ62" s="40"/>
      <c r="HA62" s="40"/>
      <c r="HB62" s="40"/>
      <c r="HC62" s="40"/>
      <c r="HD62" s="40"/>
      <c r="HE62" s="40"/>
      <c r="HF62" s="40"/>
      <c r="HG62" s="40"/>
      <c r="HH62" s="40"/>
      <c r="HI62" s="40"/>
      <c r="HJ62" s="40"/>
      <c r="HK62" s="40"/>
      <c r="HL62" s="40"/>
      <c r="HM62" s="40"/>
      <c r="HN62" s="40"/>
      <c r="HO62" s="40"/>
      <c r="HP62" s="40"/>
      <c r="HQ62" s="40"/>
      <c r="HR62" s="40"/>
      <c r="HS62" s="40"/>
      <c r="HT62" s="40"/>
      <c r="HU62" s="40"/>
    </row>
    <row r="63" spans="1:229" s="41" customFormat="1" ht="28.8" customHeight="1">
      <c r="A63" s="124" t="s">
        <v>2069</v>
      </c>
      <c r="B63" s="80" t="s">
        <v>318</v>
      </c>
      <c r="C63" s="80"/>
      <c r="D63" s="80" t="s">
        <v>319</v>
      </c>
      <c r="E63" s="80" t="s">
        <v>320</v>
      </c>
      <c r="F63" s="80" t="s">
        <v>1632</v>
      </c>
      <c r="G63" s="135" t="s">
        <v>1633</v>
      </c>
      <c r="H63" s="81">
        <v>0.5</v>
      </c>
      <c r="I63" s="81" t="s">
        <v>590</v>
      </c>
      <c r="J63" s="79" t="s">
        <v>1321</v>
      </c>
      <c r="K63" s="81"/>
      <c r="L63" s="79"/>
      <c r="M63" s="82" t="s">
        <v>330</v>
      </c>
      <c r="N63" s="82" t="s">
        <v>24</v>
      </c>
      <c r="O63" s="82" t="s">
        <v>316</v>
      </c>
      <c r="P63" s="142">
        <v>0.2</v>
      </c>
      <c r="Q63" s="40">
        <f>SUMIF(Data_P!A:A,CONCATENATE(A63,"_",R$1),Data_P!J:J)</f>
        <v>3761.73</v>
      </c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0"/>
      <c r="BM63" s="40"/>
      <c r="BN63" s="40"/>
      <c r="BO63" s="40"/>
      <c r="BP63" s="40"/>
      <c r="BQ63" s="40"/>
      <c r="BR63" s="40"/>
      <c r="BS63" s="40"/>
      <c r="BT63" s="40"/>
      <c r="BU63" s="40"/>
      <c r="BV63" s="40"/>
      <c r="BW63" s="40"/>
      <c r="BX63" s="40"/>
      <c r="BY63" s="40"/>
      <c r="BZ63" s="40"/>
      <c r="CA63" s="40"/>
      <c r="CB63" s="40"/>
      <c r="CC63" s="40"/>
      <c r="CD63" s="40"/>
      <c r="CE63" s="40"/>
      <c r="CF63" s="40"/>
      <c r="CG63" s="40"/>
      <c r="CH63" s="40"/>
      <c r="CI63" s="40"/>
      <c r="CJ63" s="40"/>
      <c r="CK63" s="40"/>
      <c r="CL63" s="40"/>
      <c r="CM63" s="40"/>
      <c r="CN63" s="40"/>
      <c r="CO63" s="40"/>
      <c r="CP63" s="40"/>
      <c r="CQ63" s="40"/>
      <c r="CR63" s="40"/>
      <c r="CS63" s="40"/>
      <c r="CT63" s="40"/>
      <c r="CU63" s="40"/>
      <c r="CV63" s="40"/>
      <c r="CW63" s="40"/>
      <c r="CX63" s="40"/>
      <c r="CY63" s="40"/>
      <c r="CZ63" s="40"/>
      <c r="DA63" s="40"/>
      <c r="DB63" s="40"/>
      <c r="DC63" s="40"/>
      <c r="DD63" s="40"/>
      <c r="DE63" s="40"/>
      <c r="DF63" s="40"/>
      <c r="DG63" s="40"/>
      <c r="DH63" s="40"/>
      <c r="DI63" s="40"/>
      <c r="DJ63" s="40"/>
      <c r="DK63" s="40"/>
      <c r="DL63" s="40"/>
      <c r="DM63" s="40"/>
      <c r="DN63" s="40"/>
      <c r="DO63" s="40"/>
      <c r="DP63" s="40"/>
      <c r="DQ63" s="40"/>
      <c r="DR63" s="40"/>
      <c r="DS63" s="40"/>
      <c r="DT63" s="40"/>
      <c r="DU63" s="40"/>
      <c r="DV63" s="40"/>
      <c r="DW63" s="40"/>
      <c r="DX63" s="40"/>
      <c r="DY63" s="40"/>
      <c r="DZ63" s="40"/>
      <c r="EA63" s="40"/>
      <c r="EB63" s="40"/>
      <c r="EC63" s="40"/>
      <c r="ED63" s="40"/>
      <c r="EE63" s="40"/>
      <c r="EF63" s="40"/>
      <c r="EG63" s="40"/>
      <c r="EH63" s="40"/>
      <c r="EI63" s="40"/>
      <c r="EJ63" s="40"/>
      <c r="EK63" s="40"/>
      <c r="EL63" s="40"/>
      <c r="EM63" s="40"/>
      <c r="EN63" s="40"/>
      <c r="EO63" s="40"/>
      <c r="EP63" s="40"/>
      <c r="EQ63" s="40"/>
      <c r="ER63" s="40"/>
      <c r="ES63" s="40"/>
      <c r="ET63" s="40"/>
      <c r="EU63" s="40"/>
      <c r="EV63" s="40"/>
      <c r="EW63" s="40"/>
      <c r="EX63" s="40"/>
      <c r="EY63" s="40"/>
      <c r="EZ63" s="40"/>
      <c r="FA63" s="40"/>
      <c r="FB63" s="40"/>
      <c r="FC63" s="40"/>
      <c r="FD63" s="40"/>
      <c r="FE63" s="40"/>
      <c r="FF63" s="40"/>
      <c r="FG63" s="40"/>
      <c r="FH63" s="40"/>
      <c r="FI63" s="40"/>
      <c r="FJ63" s="40"/>
      <c r="FK63" s="40"/>
      <c r="FL63" s="40"/>
      <c r="FM63" s="40"/>
      <c r="FN63" s="40"/>
      <c r="FO63" s="40"/>
      <c r="FP63" s="40"/>
      <c r="FQ63" s="40"/>
      <c r="FR63" s="40"/>
      <c r="FS63" s="40"/>
      <c r="FT63" s="40"/>
      <c r="FU63" s="40"/>
      <c r="FV63" s="40"/>
      <c r="FW63" s="40"/>
      <c r="FX63" s="40"/>
      <c r="FY63" s="40"/>
      <c r="FZ63" s="40"/>
      <c r="GA63" s="40"/>
      <c r="GB63" s="40"/>
      <c r="GC63" s="40"/>
      <c r="GD63" s="40"/>
      <c r="GE63" s="40"/>
      <c r="GF63" s="40"/>
      <c r="GG63" s="40"/>
      <c r="GH63" s="40"/>
      <c r="GI63" s="40"/>
      <c r="GJ63" s="40"/>
      <c r="GK63" s="40"/>
      <c r="GL63" s="40"/>
      <c r="GM63" s="40"/>
      <c r="GN63" s="40"/>
      <c r="GO63" s="40"/>
      <c r="GP63" s="40"/>
      <c r="GQ63" s="40"/>
      <c r="GR63" s="40"/>
      <c r="GS63" s="40"/>
      <c r="GT63" s="40"/>
      <c r="GU63" s="40"/>
      <c r="GV63" s="40"/>
      <c r="GW63" s="40"/>
      <c r="GX63" s="40"/>
      <c r="GY63" s="40"/>
      <c r="GZ63" s="40"/>
      <c r="HA63" s="40"/>
      <c r="HB63" s="40"/>
      <c r="HC63" s="40"/>
      <c r="HD63" s="40"/>
      <c r="HE63" s="40"/>
      <c r="HF63" s="40"/>
      <c r="HG63" s="40"/>
      <c r="HH63" s="40"/>
      <c r="HI63" s="40"/>
      <c r="HJ63" s="40"/>
      <c r="HK63" s="40"/>
      <c r="HL63" s="40"/>
      <c r="HM63" s="40"/>
      <c r="HN63" s="40"/>
      <c r="HO63" s="40"/>
      <c r="HP63" s="40"/>
      <c r="HQ63" s="40"/>
      <c r="HR63" s="40"/>
      <c r="HS63" s="40"/>
      <c r="HT63" s="40"/>
      <c r="HU63" s="40"/>
    </row>
    <row r="64" spans="1:229" s="41" customFormat="1" ht="28.8" customHeight="1">
      <c r="A64" s="124" t="s">
        <v>2193</v>
      </c>
      <c r="B64" s="80" t="s">
        <v>2313</v>
      </c>
      <c r="C64" s="80"/>
      <c r="D64" s="80" t="s">
        <v>2314</v>
      </c>
      <c r="E64" s="80" t="s">
        <v>2315</v>
      </c>
      <c r="F64" s="80" t="s">
        <v>2316</v>
      </c>
      <c r="G64" s="135" t="s">
        <v>2317</v>
      </c>
      <c r="H64" s="81">
        <v>0.4</v>
      </c>
      <c r="I64" s="81"/>
      <c r="J64" s="79"/>
      <c r="K64" s="81"/>
      <c r="L64" s="79"/>
      <c r="M64" s="82"/>
      <c r="N64" s="82"/>
      <c r="O64" s="82" t="s">
        <v>316</v>
      </c>
      <c r="P64" s="142">
        <v>0.2</v>
      </c>
      <c r="Q64" s="40">
        <f>SUMIF(Data_P!A:A,CONCATENATE(A64,"_",R$1),Data_P!J:J)</f>
        <v>78.570000000000007</v>
      </c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/>
      <c r="BO64" s="40"/>
      <c r="BP64" s="40"/>
      <c r="BQ64" s="40"/>
      <c r="BR64" s="40"/>
      <c r="BS64" s="40"/>
      <c r="BT64" s="40"/>
      <c r="BU64" s="40"/>
      <c r="BV64" s="40"/>
      <c r="BW64" s="40"/>
      <c r="BX64" s="40"/>
      <c r="BY64" s="40"/>
      <c r="BZ64" s="40"/>
      <c r="CA64" s="40"/>
      <c r="CB64" s="40"/>
      <c r="CC64" s="40"/>
      <c r="CD64" s="40"/>
      <c r="CE64" s="40"/>
      <c r="CF64" s="40"/>
      <c r="CG64" s="40"/>
      <c r="CH64" s="40"/>
      <c r="CI64" s="40"/>
      <c r="CJ64" s="40"/>
      <c r="CK64" s="40"/>
      <c r="CL64" s="40"/>
      <c r="CM64" s="40"/>
      <c r="CN64" s="40"/>
      <c r="CO64" s="40"/>
      <c r="CP64" s="40"/>
      <c r="CQ64" s="40"/>
      <c r="CR64" s="40"/>
      <c r="CS64" s="40"/>
      <c r="CT64" s="40"/>
      <c r="CU64" s="40"/>
      <c r="CV64" s="40"/>
      <c r="CW64" s="40"/>
      <c r="CX64" s="40"/>
      <c r="CY64" s="40"/>
      <c r="CZ64" s="40"/>
      <c r="DA64" s="40"/>
      <c r="DB64" s="40"/>
      <c r="DC64" s="40"/>
      <c r="DD64" s="40"/>
      <c r="DE64" s="40"/>
      <c r="DF64" s="40"/>
      <c r="DG64" s="40"/>
      <c r="DH64" s="40"/>
      <c r="DI64" s="40"/>
      <c r="DJ64" s="40"/>
      <c r="DK64" s="40"/>
      <c r="DL64" s="40"/>
      <c r="DM64" s="40"/>
      <c r="DN64" s="40"/>
      <c r="DO64" s="40"/>
      <c r="DP64" s="40"/>
      <c r="DQ64" s="40"/>
      <c r="DR64" s="40"/>
      <c r="DS64" s="40"/>
      <c r="DT64" s="40"/>
      <c r="DU64" s="40"/>
      <c r="DV64" s="40"/>
      <c r="DW64" s="40"/>
      <c r="DX64" s="40"/>
      <c r="DY64" s="40"/>
      <c r="DZ64" s="40"/>
      <c r="EA64" s="40"/>
      <c r="EB64" s="40"/>
      <c r="EC64" s="40"/>
      <c r="ED64" s="40"/>
      <c r="EE64" s="40"/>
      <c r="EF64" s="40"/>
      <c r="EG64" s="40"/>
      <c r="EH64" s="40"/>
      <c r="EI64" s="40"/>
      <c r="EJ64" s="40"/>
      <c r="EK64" s="40"/>
      <c r="EL64" s="40"/>
      <c r="EM64" s="40"/>
      <c r="EN64" s="40"/>
      <c r="EO64" s="40"/>
      <c r="EP64" s="40"/>
      <c r="EQ64" s="40"/>
      <c r="ER64" s="40"/>
      <c r="ES64" s="40"/>
      <c r="ET64" s="40"/>
      <c r="EU64" s="40"/>
      <c r="EV64" s="40"/>
      <c r="EW64" s="40"/>
      <c r="EX64" s="40"/>
      <c r="EY64" s="40"/>
      <c r="EZ64" s="40"/>
      <c r="FA64" s="40"/>
      <c r="FB64" s="40"/>
      <c r="FC64" s="40"/>
      <c r="FD64" s="40"/>
      <c r="FE64" s="40"/>
      <c r="FF64" s="40"/>
      <c r="FG64" s="40"/>
      <c r="FH64" s="40"/>
      <c r="FI64" s="40"/>
      <c r="FJ64" s="40"/>
      <c r="FK64" s="40"/>
      <c r="FL64" s="40"/>
      <c r="FM64" s="40"/>
      <c r="FN64" s="40"/>
      <c r="FO64" s="40"/>
      <c r="FP64" s="40"/>
      <c r="FQ64" s="40"/>
      <c r="FR64" s="40"/>
      <c r="FS64" s="40"/>
      <c r="FT64" s="40"/>
      <c r="FU64" s="40"/>
      <c r="FV64" s="40"/>
      <c r="FW64" s="40"/>
      <c r="FX64" s="40"/>
      <c r="FY64" s="40"/>
      <c r="FZ64" s="40"/>
      <c r="GA64" s="40"/>
      <c r="GB64" s="40"/>
      <c r="GC64" s="40"/>
      <c r="GD64" s="40"/>
      <c r="GE64" s="40"/>
      <c r="GF64" s="40"/>
      <c r="GG64" s="40"/>
      <c r="GH64" s="40"/>
      <c r="GI64" s="40"/>
      <c r="GJ64" s="40"/>
      <c r="GK64" s="40"/>
      <c r="GL64" s="40"/>
      <c r="GM64" s="40"/>
      <c r="GN64" s="40"/>
      <c r="GO64" s="40"/>
      <c r="GP64" s="40"/>
      <c r="GQ64" s="40"/>
      <c r="GR64" s="40"/>
      <c r="GS64" s="40"/>
      <c r="GT64" s="40"/>
      <c r="GU64" s="40"/>
      <c r="GV64" s="40"/>
      <c r="GW64" s="40"/>
      <c r="GX64" s="40"/>
      <c r="GY64" s="40"/>
      <c r="GZ64" s="40"/>
      <c r="HA64" s="40"/>
      <c r="HB64" s="40"/>
      <c r="HC64" s="40"/>
      <c r="HD64" s="40"/>
      <c r="HE64" s="40"/>
      <c r="HF64" s="40"/>
      <c r="HG64" s="40"/>
      <c r="HH64" s="40"/>
      <c r="HI64" s="40"/>
      <c r="HJ64" s="40"/>
      <c r="HK64" s="40"/>
      <c r="HL64" s="40"/>
      <c r="HM64" s="40"/>
      <c r="HN64" s="40"/>
      <c r="HO64" s="40"/>
      <c r="HP64" s="40"/>
      <c r="HQ64" s="40"/>
      <c r="HR64" s="40"/>
      <c r="HS64" s="40"/>
      <c r="HT64" s="40"/>
      <c r="HU64" s="40"/>
    </row>
    <row r="65" spans="1:229" s="41" customFormat="1" ht="28.8" customHeight="1">
      <c r="A65" s="124" t="s">
        <v>2071</v>
      </c>
      <c r="B65" s="80" t="s">
        <v>184</v>
      </c>
      <c r="C65" s="80"/>
      <c r="D65" s="80" t="s">
        <v>190</v>
      </c>
      <c r="E65" s="80" t="s">
        <v>191</v>
      </c>
      <c r="F65" s="80" t="s">
        <v>192</v>
      </c>
      <c r="G65" s="135" t="s">
        <v>2072</v>
      </c>
      <c r="H65" s="81">
        <v>0.5</v>
      </c>
      <c r="I65" s="81">
        <v>-0.05</v>
      </c>
      <c r="J65" s="79" t="s">
        <v>189</v>
      </c>
      <c r="K65" s="81"/>
      <c r="L65" s="79"/>
      <c r="M65" s="82" t="s">
        <v>459</v>
      </c>
      <c r="N65" s="82" t="s">
        <v>240</v>
      </c>
      <c r="O65" s="82" t="s">
        <v>317</v>
      </c>
      <c r="P65" s="142">
        <v>0.2</v>
      </c>
      <c r="Q65" s="40">
        <f>SUMIF(Data_P!A:A,CONCATENATE(A65,"_",R$1),Data_P!J:J)</f>
        <v>0</v>
      </c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  <c r="BH65" s="40"/>
      <c r="BI65" s="40"/>
      <c r="BJ65" s="40"/>
      <c r="BK65" s="40"/>
      <c r="BL65" s="40"/>
      <c r="BM65" s="40"/>
      <c r="BN65" s="40"/>
      <c r="BO65" s="40"/>
      <c r="BP65" s="40"/>
      <c r="BQ65" s="40"/>
      <c r="BR65" s="40"/>
      <c r="BS65" s="40"/>
      <c r="BT65" s="40"/>
      <c r="BU65" s="40"/>
      <c r="BV65" s="40"/>
      <c r="BW65" s="40"/>
      <c r="BX65" s="40"/>
      <c r="BY65" s="40"/>
      <c r="BZ65" s="40"/>
      <c r="CA65" s="40"/>
      <c r="CB65" s="40"/>
      <c r="CC65" s="40"/>
      <c r="CD65" s="40"/>
      <c r="CE65" s="40"/>
      <c r="CF65" s="40"/>
      <c r="CG65" s="40"/>
      <c r="CH65" s="40"/>
      <c r="CI65" s="40"/>
      <c r="CJ65" s="40"/>
      <c r="CK65" s="40"/>
      <c r="CL65" s="40"/>
      <c r="CM65" s="40"/>
      <c r="CN65" s="40"/>
      <c r="CO65" s="40"/>
      <c r="CP65" s="40"/>
      <c r="CQ65" s="40"/>
      <c r="CR65" s="40"/>
      <c r="CS65" s="40"/>
      <c r="CT65" s="40"/>
      <c r="CU65" s="40"/>
      <c r="CV65" s="40"/>
      <c r="CW65" s="40"/>
      <c r="CX65" s="40"/>
      <c r="CY65" s="40"/>
      <c r="CZ65" s="40"/>
      <c r="DA65" s="40"/>
      <c r="DB65" s="40"/>
      <c r="DC65" s="40"/>
      <c r="DD65" s="40"/>
      <c r="DE65" s="40"/>
      <c r="DF65" s="40"/>
      <c r="DG65" s="40"/>
      <c r="DH65" s="40"/>
      <c r="DI65" s="40"/>
      <c r="DJ65" s="40"/>
      <c r="DK65" s="40"/>
      <c r="DL65" s="40"/>
      <c r="DM65" s="40"/>
      <c r="DN65" s="40"/>
      <c r="DO65" s="40"/>
      <c r="DP65" s="40"/>
      <c r="DQ65" s="40"/>
      <c r="DR65" s="40"/>
      <c r="DS65" s="40"/>
      <c r="DT65" s="40"/>
      <c r="DU65" s="40"/>
      <c r="DV65" s="40"/>
      <c r="DW65" s="40"/>
      <c r="DX65" s="40"/>
      <c r="DY65" s="40"/>
      <c r="DZ65" s="40"/>
      <c r="EA65" s="40"/>
      <c r="EB65" s="40"/>
      <c r="EC65" s="40"/>
      <c r="ED65" s="40"/>
      <c r="EE65" s="40"/>
      <c r="EF65" s="40"/>
      <c r="EG65" s="40"/>
      <c r="EH65" s="40"/>
      <c r="EI65" s="40"/>
      <c r="EJ65" s="40"/>
      <c r="EK65" s="40"/>
      <c r="EL65" s="40"/>
      <c r="EM65" s="40"/>
      <c r="EN65" s="40"/>
      <c r="EO65" s="40"/>
      <c r="EP65" s="40"/>
      <c r="EQ65" s="40"/>
      <c r="ER65" s="40"/>
      <c r="ES65" s="40"/>
      <c r="ET65" s="40"/>
      <c r="EU65" s="40"/>
      <c r="EV65" s="40"/>
      <c r="EW65" s="40"/>
      <c r="EX65" s="40"/>
      <c r="EY65" s="40"/>
      <c r="EZ65" s="40"/>
      <c r="FA65" s="40"/>
      <c r="FB65" s="40"/>
      <c r="FC65" s="40"/>
      <c r="FD65" s="40"/>
      <c r="FE65" s="40"/>
      <c r="FF65" s="40"/>
      <c r="FG65" s="40"/>
      <c r="FH65" s="40"/>
      <c r="FI65" s="40"/>
      <c r="FJ65" s="40"/>
      <c r="FK65" s="40"/>
      <c r="FL65" s="40"/>
      <c r="FM65" s="40"/>
      <c r="FN65" s="40"/>
      <c r="FO65" s="40"/>
      <c r="FP65" s="40"/>
      <c r="FQ65" s="40"/>
      <c r="FR65" s="40"/>
      <c r="FS65" s="40"/>
      <c r="FT65" s="40"/>
      <c r="FU65" s="40"/>
      <c r="FV65" s="40"/>
      <c r="FW65" s="40"/>
      <c r="FX65" s="40"/>
      <c r="FY65" s="40"/>
      <c r="FZ65" s="40"/>
      <c r="GA65" s="40"/>
      <c r="GB65" s="40"/>
      <c r="GC65" s="40"/>
      <c r="GD65" s="40"/>
      <c r="GE65" s="40"/>
      <c r="GF65" s="40"/>
      <c r="GG65" s="40"/>
      <c r="GH65" s="40"/>
      <c r="GI65" s="40"/>
      <c r="GJ65" s="40"/>
      <c r="GK65" s="40"/>
      <c r="GL65" s="40"/>
      <c r="GM65" s="40"/>
      <c r="GN65" s="40"/>
      <c r="GO65" s="40"/>
      <c r="GP65" s="40"/>
      <c r="GQ65" s="40"/>
      <c r="GR65" s="40"/>
      <c r="GS65" s="40"/>
      <c r="GT65" s="40"/>
      <c r="GU65" s="40"/>
      <c r="GV65" s="40"/>
      <c r="GW65" s="40"/>
      <c r="GX65" s="40"/>
      <c r="GY65" s="40"/>
      <c r="GZ65" s="40"/>
      <c r="HA65" s="40"/>
      <c r="HB65" s="40"/>
      <c r="HC65" s="40"/>
      <c r="HD65" s="40"/>
      <c r="HE65" s="40"/>
      <c r="HF65" s="40"/>
      <c r="HG65" s="40"/>
      <c r="HH65" s="40"/>
      <c r="HI65" s="40"/>
      <c r="HJ65" s="40"/>
      <c r="HK65" s="40"/>
      <c r="HL65" s="40"/>
      <c r="HM65" s="40"/>
      <c r="HN65" s="40"/>
      <c r="HO65" s="40"/>
      <c r="HP65" s="40"/>
      <c r="HQ65" s="40"/>
      <c r="HR65" s="40"/>
      <c r="HS65" s="40"/>
      <c r="HT65" s="40"/>
      <c r="HU65" s="40"/>
    </row>
    <row r="66" spans="1:229" s="41" customFormat="1" ht="28.8" customHeight="1">
      <c r="A66" s="124" t="s">
        <v>2151</v>
      </c>
      <c r="B66" s="80" t="s">
        <v>959</v>
      </c>
      <c r="C66" s="80"/>
      <c r="D66" s="80" t="s">
        <v>960</v>
      </c>
      <c r="E66" s="80" t="s">
        <v>961</v>
      </c>
      <c r="F66" s="80" t="s">
        <v>963</v>
      </c>
      <c r="G66" s="135" t="s">
        <v>962</v>
      </c>
      <c r="H66" s="81">
        <v>0.4</v>
      </c>
      <c r="I66" s="81">
        <v>-0.05</v>
      </c>
      <c r="J66" s="79" t="s">
        <v>399</v>
      </c>
      <c r="K66" s="81"/>
      <c r="L66" s="79"/>
      <c r="M66" s="82" t="s">
        <v>1067</v>
      </c>
      <c r="N66" s="82" t="s">
        <v>1068</v>
      </c>
      <c r="O66" s="82" t="s">
        <v>317</v>
      </c>
      <c r="P66" s="142">
        <v>0.2</v>
      </c>
      <c r="Q66" s="40">
        <f>SUMIF(Data_P!A:A,CONCATENATE(A66,"_",R$1),Data_P!J:J)</f>
        <v>634.58000000000004</v>
      </c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  <c r="BL66" s="40"/>
      <c r="BM66" s="40"/>
      <c r="BN66" s="40"/>
      <c r="BO66" s="40"/>
      <c r="BP66" s="40"/>
      <c r="BQ66" s="40"/>
      <c r="BR66" s="40"/>
      <c r="BS66" s="40"/>
      <c r="BT66" s="40"/>
      <c r="BU66" s="40"/>
      <c r="BV66" s="40"/>
      <c r="BW66" s="40"/>
      <c r="BX66" s="40"/>
      <c r="BY66" s="40"/>
      <c r="BZ66" s="40"/>
      <c r="CA66" s="40"/>
      <c r="CB66" s="40"/>
      <c r="CC66" s="40"/>
      <c r="CD66" s="40"/>
      <c r="CE66" s="40"/>
      <c r="CF66" s="40"/>
      <c r="CG66" s="40"/>
      <c r="CH66" s="40"/>
      <c r="CI66" s="40"/>
      <c r="CJ66" s="40"/>
      <c r="CK66" s="40"/>
      <c r="CL66" s="40"/>
      <c r="CM66" s="40"/>
      <c r="CN66" s="40"/>
      <c r="CO66" s="40"/>
      <c r="CP66" s="40"/>
      <c r="CQ66" s="40"/>
      <c r="CR66" s="40"/>
      <c r="CS66" s="40"/>
      <c r="CT66" s="40"/>
      <c r="CU66" s="40"/>
      <c r="CV66" s="40"/>
      <c r="CW66" s="40"/>
      <c r="CX66" s="40"/>
      <c r="CY66" s="40"/>
      <c r="CZ66" s="40"/>
      <c r="DA66" s="40"/>
      <c r="DB66" s="40"/>
      <c r="DC66" s="40"/>
      <c r="DD66" s="40"/>
      <c r="DE66" s="40"/>
      <c r="DF66" s="40"/>
      <c r="DG66" s="40"/>
      <c r="DH66" s="40"/>
      <c r="DI66" s="40"/>
      <c r="DJ66" s="40"/>
      <c r="DK66" s="40"/>
      <c r="DL66" s="40"/>
      <c r="DM66" s="40"/>
      <c r="DN66" s="40"/>
      <c r="DO66" s="40"/>
      <c r="DP66" s="40"/>
      <c r="DQ66" s="40"/>
      <c r="DR66" s="40"/>
      <c r="DS66" s="40"/>
      <c r="DT66" s="40"/>
      <c r="DU66" s="40"/>
      <c r="DV66" s="40"/>
      <c r="DW66" s="40"/>
      <c r="DX66" s="40"/>
      <c r="DY66" s="40"/>
      <c r="DZ66" s="40"/>
      <c r="EA66" s="40"/>
      <c r="EB66" s="40"/>
      <c r="EC66" s="40"/>
      <c r="ED66" s="40"/>
      <c r="EE66" s="40"/>
      <c r="EF66" s="40"/>
      <c r="EG66" s="40"/>
      <c r="EH66" s="40"/>
      <c r="EI66" s="40"/>
      <c r="EJ66" s="40"/>
      <c r="EK66" s="40"/>
      <c r="EL66" s="40"/>
      <c r="EM66" s="40"/>
      <c r="EN66" s="40"/>
      <c r="EO66" s="40"/>
      <c r="EP66" s="40"/>
      <c r="EQ66" s="40"/>
      <c r="ER66" s="40"/>
      <c r="ES66" s="40"/>
      <c r="ET66" s="40"/>
      <c r="EU66" s="40"/>
      <c r="EV66" s="40"/>
      <c r="EW66" s="40"/>
      <c r="EX66" s="40"/>
      <c r="EY66" s="40"/>
      <c r="EZ66" s="40"/>
      <c r="FA66" s="40"/>
      <c r="FB66" s="40"/>
      <c r="FC66" s="40"/>
      <c r="FD66" s="40"/>
      <c r="FE66" s="40"/>
      <c r="FF66" s="40"/>
      <c r="FG66" s="40"/>
      <c r="FH66" s="40"/>
      <c r="FI66" s="40"/>
      <c r="FJ66" s="40"/>
      <c r="FK66" s="40"/>
      <c r="FL66" s="40"/>
      <c r="FM66" s="40"/>
      <c r="FN66" s="40"/>
      <c r="FO66" s="40"/>
      <c r="FP66" s="40"/>
      <c r="FQ66" s="40"/>
      <c r="FR66" s="40"/>
      <c r="FS66" s="40"/>
      <c r="FT66" s="40"/>
      <c r="FU66" s="40"/>
      <c r="FV66" s="40"/>
      <c r="FW66" s="40"/>
      <c r="FX66" s="40"/>
      <c r="FY66" s="40"/>
      <c r="FZ66" s="40"/>
      <c r="GA66" s="40"/>
      <c r="GB66" s="40"/>
      <c r="GC66" s="40"/>
      <c r="GD66" s="40"/>
      <c r="GE66" s="40"/>
      <c r="GF66" s="40"/>
      <c r="GG66" s="40"/>
      <c r="GH66" s="40"/>
      <c r="GI66" s="40"/>
      <c r="GJ66" s="40"/>
      <c r="GK66" s="40"/>
      <c r="GL66" s="40"/>
      <c r="GM66" s="40"/>
      <c r="GN66" s="40"/>
      <c r="GO66" s="40"/>
      <c r="GP66" s="40"/>
      <c r="GQ66" s="40"/>
      <c r="GR66" s="40"/>
      <c r="GS66" s="40"/>
      <c r="GT66" s="40"/>
      <c r="GU66" s="40"/>
      <c r="GV66" s="40"/>
      <c r="GW66" s="40"/>
      <c r="GX66" s="40"/>
      <c r="GY66" s="40"/>
      <c r="GZ66" s="40"/>
      <c r="HA66" s="40"/>
      <c r="HB66" s="40"/>
      <c r="HC66" s="40"/>
      <c r="HD66" s="40"/>
      <c r="HE66" s="40"/>
      <c r="HF66" s="40"/>
      <c r="HG66" s="40"/>
      <c r="HH66" s="40"/>
      <c r="HI66" s="40"/>
      <c r="HJ66" s="40"/>
      <c r="HK66" s="40"/>
      <c r="HL66" s="40"/>
      <c r="HM66" s="40"/>
      <c r="HN66" s="40"/>
      <c r="HO66" s="40"/>
      <c r="HP66" s="40"/>
      <c r="HQ66" s="40"/>
      <c r="HR66" s="40"/>
      <c r="HS66" s="40"/>
      <c r="HT66" s="40"/>
      <c r="HU66" s="40"/>
    </row>
    <row r="67" spans="1:229" s="41" customFormat="1" ht="28.8" customHeight="1">
      <c r="A67" s="124" t="s">
        <v>380</v>
      </c>
      <c r="B67" s="80" t="s">
        <v>381</v>
      </c>
      <c r="C67" s="80"/>
      <c r="D67" s="80" t="s">
        <v>383</v>
      </c>
      <c r="E67" s="80" t="s">
        <v>371</v>
      </c>
      <c r="F67" s="80" t="s">
        <v>382</v>
      </c>
      <c r="G67" s="135" t="s">
        <v>2073</v>
      </c>
      <c r="H67" s="81">
        <v>0.25</v>
      </c>
      <c r="I67" s="81"/>
      <c r="J67" s="79"/>
      <c r="K67" s="81"/>
      <c r="L67" s="79"/>
      <c r="M67" s="82" t="s">
        <v>388</v>
      </c>
      <c r="N67" s="82" t="s">
        <v>389</v>
      </c>
      <c r="O67" s="82" t="s">
        <v>316</v>
      </c>
      <c r="P67" s="142">
        <v>0.2</v>
      </c>
      <c r="Q67" s="40">
        <f>SUMIF(Data_P!A:A,CONCATENATE(A67,"_",R$1),Data_P!J:J)</f>
        <v>1259.25</v>
      </c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  <c r="BL67" s="40"/>
      <c r="BM67" s="40"/>
      <c r="BN67" s="40"/>
      <c r="BO67" s="40"/>
      <c r="BP67" s="40"/>
      <c r="BQ67" s="40"/>
      <c r="BR67" s="40"/>
      <c r="BS67" s="40"/>
      <c r="BT67" s="40"/>
      <c r="BU67" s="40"/>
      <c r="BV67" s="40"/>
      <c r="BW67" s="40"/>
      <c r="BX67" s="40"/>
      <c r="BY67" s="40"/>
      <c r="BZ67" s="40"/>
      <c r="CA67" s="40"/>
      <c r="CB67" s="40"/>
      <c r="CC67" s="40"/>
      <c r="CD67" s="40"/>
      <c r="CE67" s="40"/>
      <c r="CF67" s="40"/>
      <c r="CG67" s="40"/>
      <c r="CH67" s="40"/>
      <c r="CI67" s="40"/>
      <c r="CJ67" s="40"/>
      <c r="CK67" s="40"/>
      <c r="CL67" s="40"/>
      <c r="CM67" s="40"/>
      <c r="CN67" s="40"/>
      <c r="CO67" s="40"/>
      <c r="CP67" s="40"/>
      <c r="CQ67" s="40"/>
      <c r="CR67" s="40"/>
      <c r="CS67" s="40"/>
      <c r="CT67" s="40"/>
      <c r="CU67" s="40"/>
      <c r="CV67" s="40"/>
      <c r="CW67" s="40"/>
      <c r="CX67" s="40"/>
      <c r="CY67" s="40"/>
      <c r="CZ67" s="40"/>
      <c r="DA67" s="40"/>
      <c r="DB67" s="40"/>
      <c r="DC67" s="40"/>
      <c r="DD67" s="40"/>
      <c r="DE67" s="40"/>
      <c r="DF67" s="40"/>
      <c r="DG67" s="40"/>
      <c r="DH67" s="40"/>
      <c r="DI67" s="40"/>
      <c r="DJ67" s="40"/>
      <c r="DK67" s="40"/>
      <c r="DL67" s="40"/>
      <c r="DM67" s="40"/>
      <c r="DN67" s="40"/>
      <c r="DO67" s="40"/>
      <c r="DP67" s="40"/>
      <c r="DQ67" s="40"/>
      <c r="DR67" s="40"/>
      <c r="DS67" s="40"/>
      <c r="DT67" s="40"/>
      <c r="DU67" s="40"/>
      <c r="DV67" s="40"/>
      <c r="DW67" s="40"/>
      <c r="DX67" s="40"/>
      <c r="DY67" s="40"/>
      <c r="DZ67" s="40"/>
      <c r="EA67" s="40"/>
      <c r="EB67" s="40"/>
      <c r="EC67" s="40"/>
      <c r="ED67" s="40"/>
      <c r="EE67" s="40"/>
      <c r="EF67" s="40"/>
      <c r="EG67" s="40"/>
      <c r="EH67" s="40"/>
      <c r="EI67" s="40"/>
      <c r="EJ67" s="40"/>
      <c r="EK67" s="40"/>
      <c r="EL67" s="40"/>
      <c r="EM67" s="40"/>
      <c r="EN67" s="40"/>
      <c r="EO67" s="40"/>
      <c r="EP67" s="40"/>
      <c r="EQ67" s="40"/>
      <c r="ER67" s="40"/>
      <c r="ES67" s="40"/>
      <c r="ET67" s="40"/>
      <c r="EU67" s="40"/>
      <c r="EV67" s="40"/>
      <c r="EW67" s="40"/>
      <c r="EX67" s="40"/>
      <c r="EY67" s="40"/>
      <c r="EZ67" s="40"/>
      <c r="FA67" s="40"/>
      <c r="FB67" s="40"/>
      <c r="FC67" s="40"/>
      <c r="FD67" s="40"/>
      <c r="FE67" s="40"/>
      <c r="FF67" s="40"/>
      <c r="FG67" s="40"/>
      <c r="FH67" s="40"/>
      <c r="FI67" s="40"/>
      <c r="FJ67" s="40"/>
      <c r="FK67" s="40"/>
      <c r="FL67" s="40"/>
      <c r="FM67" s="40"/>
      <c r="FN67" s="40"/>
      <c r="FO67" s="40"/>
      <c r="FP67" s="40"/>
      <c r="FQ67" s="40"/>
      <c r="FR67" s="40"/>
      <c r="FS67" s="40"/>
      <c r="FT67" s="40"/>
      <c r="FU67" s="40"/>
      <c r="FV67" s="40"/>
      <c r="FW67" s="40"/>
      <c r="FX67" s="40"/>
      <c r="FY67" s="40"/>
      <c r="FZ67" s="40"/>
      <c r="GA67" s="40"/>
      <c r="GB67" s="40"/>
      <c r="GC67" s="40"/>
      <c r="GD67" s="40"/>
      <c r="GE67" s="40"/>
      <c r="GF67" s="40"/>
      <c r="GG67" s="40"/>
      <c r="GH67" s="40"/>
      <c r="GI67" s="40"/>
      <c r="GJ67" s="40"/>
      <c r="GK67" s="40"/>
      <c r="GL67" s="40"/>
      <c r="GM67" s="40"/>
      <c r="GN67" s="40"/>
      <c r="GO67" s="40"/>
      <c r="GP67" s="40"/>
      <c r="GQ67" s="40"/>
      <c r="GR67" s="40"/>
      <c r="GS67" s="40"/>
      <c r="GT67" s="40"/>
      <c r="GU67" s="40"/>
      <c r="GV67" s="40"/>
      <c r="GW67" s="40"/>
      <c r="GX67" s="40"/>
      <c r="GY67" s="40"/>
      <c r="GZ67" s="40"/>
      <c r="HA67" s="40"/>
      <c r="HB67" s="40"/>
      <c r="HC67" s="40"/>
      <c r="HD67" s="40"/>
      <c r="HE67" s="40"/>
      <c r="HF67" s="40"/>
      <c r="HG67" s="40"/>
      <c r="HH67" s="40"/>
      <c r="HI67" s="40"/>
      <c r="HJ67" s="40"/>
      <c r="HK67" s="40"/>
      <c r="HL67" s="40"/>
      <c r="HM67" s="40"/>
      <c r="HN67" s="40"/>
      <c r="HO67" s="40"/>
      <c r="HP67" s="40"/>
      <c r="HQ67" s="40"/>
      <c r="HR67" s="40"/>
      <c r="HS67" s="40"/>
      <c r="HT67" s="40"/>
      <c r="HU67" s="40"/>
    </row>
    <row r="68" spans="1:229" s="41" customFormat="1" ht="28.8" customHeight="1">
      <c r="A68" s="124" t="s">
        <v>2074</v>
      </c>
      <c r="B68" s="80" t="s">
        <v>1000</v>
      </c>
      <c r="C68" s="80"/>
      <c r="D68" s="80" t="s">
        <v>1002</v>
      </c>
      <c r="E68" s="80" t="s">
        <v>1001</v>
      </c>
      <c r="F68" s="80" t="s">
        <v>1003</v>
      </c>
      <c r="G68" s="135" t="s">
        <v>1004</v>
      </c>
      <c r="H68" s="81">
        <v>0.4</v>
      </c>
      <c r="I68" s="81">
        <v>-0.05</v>
      </c>
      <c r="J68" s="79" t="s">
        <v>399</v>
      </c>
      <c r="K68" s="81"/>
      <c r="L68" s="79"/>
      <c r="M68" s="82" t="s">
        <v>1099</v>
      </c>
      <c r="N68" s="82" t="s">
        <v>240</v>
      </c>
      <c r="O68" s="82" t="s">
        <v>317</v>
      </c>
      <c r="P68" s="142">
        <v>0.2</v>
      </c>
      <c r="Q68" s="40">
        <f>SUMIF(Data_P!A:A,CONCATENATE(A68,"_",R$1),Data_P!J:J)</f>
        <v>579.95000000000005</v>
      </c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  <c r="BK68" s="40"/>
      <c r="BL68" s="40"/>
      <c r="BM68" s="40"/>
      <c r="BN68" s="40"/>
      <c r="BO68" s="40"/>
      <c r="BP68" s="40"/>
      <c r="BQ68" s="40"/>
      <c r="BR68" s="40"/>
      <c r="BS68" s="40"/>
      <c r="BT68" s="40"/>
      <c r="BU68" s="40"/>
      <c r="BV68" s="40"/>
      <c r="BW68" s="40"/>
      <c r="BX68" s="40"/>
      <c r="BY68" s="40"/>
      <c r="BZ68" s="40"/>
      <c r="CA68" s="40"/>
      <c r="CB68" s="40"/>
      <c r="CC68" s="40"/>
      <c r="CD68" s="40"/>
      <c r="CE68" s="40"/>
      <c r="CF68" s="40"/>
      <c r="CG68" s="40"/>
      <c r="CH68" s="40"/>
      <c r="CI68" s="40"/>
      <c r="CJ68" s="40"/>
      <c r="CK68" s="40"/>
      <c r="CL68" s="40"/>
      <c r="CM68" s="40"/>
      <c r="CN68" s="40"/>
      <c r="CO68" s="40"/>
      <c r="CP68" s="40"/>
      <c r="CQ68" s="40"/>
      <c r="CR68" s="40"/>
      <c r="CS68" s="40"/>
      <c r="CT68" s="40"/>
      <c r="CU68" s="40"/>
      <c r="CV68" s="40"/>
      <c r="CW68" s="40"/>
      <c r="CX68" s="40"/>
      <c r="CY68" s="40"/>
      <c r="CZ68" s="40"/>
      <c r="DA68" s="40"/>
      <c r="DB68" s="40"/>
      <c r="DC68" s="40"/>
      <c r="DD68" s="40"/>
      <c r="DE68" s="40"/>
      <c r="DF68" s="40"/>
      <c r="DG68" s="40"/>
      <c r="DH68" s="40"/>
      <c r="DI68" s="40"/>
      <c r="DJ68" s="40"/>
      <c r="DK68" s="40"/>
      <c r="DL68" s="40"/>
      <c r="DM68" s="40"/>
      <c r="DN68" s="40"/>
      <c r="DO68" s="40"/>
      <c r="DP68" s="40"/>
      <c r="DQ68" s="40"/>
      <c r="DR68" s="40"/>
      <c r="DS68" s="40"/>
      <c r="DT68" s="40"/>
      <c r="DU68" s="40"/>
      <c r="DV68" s="40"/>
      <c r="DW68" s="40"/>
      <c r="DX68" s="40"/>
      <c r="DY68" s="40"/>
      <c r="DZ68" s="40"/>
      <c r="EA68" s="40"/>
      <c r="EB68" s="40"/>
      <c r="EC68" s="40"/>
      <c r="ED68" s="40"/>
      <c r="EE68" s="40"/>
      <c r="EF68" s="40"/>
      <c r="EG68" s="40"/>
      <c r="EH68" s="40"/>
      <c r="EI68" s="40"/>
      <c r="EJ68" s="40"/>
      <c r="EK68" s="40"/>
      <c r="EL68" s="40"/>
      <c r="EM68" s="40"/>
      <c r="EN68" s="40"/>
      <c r="EO68" s="40"/>
      <c r="EP68" s="40"/>
      <c r="EQ68" s="40"/>
      <c r="ER68" s="40"/>
      <c r="ES68" s="40"/>
      <c r="ET68" s="40"/>
      <c r="EU68" s="40"/>
      <c r="EV68" s="40"/>
      <c r="EW68" s="40"/>
      <c r="EX68" s="40"/>
      <c r="EY68" s="40"/>
      <c r="EZ68" s="40"/>
      <c r="FA68" s="40"/>
      <c r="FB68" s="40"/>
      <c r="FC68" s="40"/>
      <c r="FD68" s="40"/>
      <c r="FE68" s="40"/>
      <c r="FF68" s="40"/>
      <c r="FG68" s="40"/>
      <c r="FH68" s="40"/>
      <c r="FI68" s="40"/>
      <c r="FJ68" s="40"/>
      <c r="FK68" s="40"/>
      <c r="FL68" s="40"/>
      <c r="FM68" s="40"/>
      <c r="FN68" s="40"/>
      <c r="FO68" s="40"/>
      <c r="FP68" s="40"/>
      <c r="FQ68" s="40"/>
      <c r="FR68" s="40"/>
      <c r="FS68" s="40"/>
      <c r="FT68" s="40"/>
      <c r="FU68" s="40"/>
      <c r="FV68" s="40"/>
      <c r="FW68" s="40"/>
      <c r="FX68" s="40"/>
      <c r="FY68" s="40"/>
      <c r="FZ68" s="40"/>
      <c r="GA68" s="40"/>
      <c r="GB68" s="40"/>
      <c r="GC68" s="40"/>
      <c r="GD68" s="40"/>
      <c r="GE68" s="40"/>
      <c r="GF68" s="40"/>
      <c r="GG68" s="40"/>
      <c r="GH68" s="40"/>
      <c r="GI68" s="40"/>
      <c r="GJ68" s="40"/>
      <c r="GK68" s="40"/>
      <c r="GL68" s="40"/>
      <c r="GM68" s="40"/>
      <c r="GN68" s="40"/>
      <c r="GO68" s="40"/>
      <c r="GP68" s="40"/>
      <c r="GQ68" s="40"/>
      <c r="GR68" s="40"/>
      <c r="GS68" s="40"/>
      <c r="GT68" s="40"/>
      <c r="GU68" s="40"/>
      <c r="GV68" s="40"/>
      <c r="GW68" s="40"/>
      <c r="GX68" s="40"/>
      <c r="GY68" s="40"/>
      <c r="GZ68" s="40"/>
      <c r="HA68" s="40"/>
      <c r="HB68" s="40"/>
      <c r="HC68" s="40"/>
      <c r="HD68" s="40"/>
      <c r="HE68" s="40"/>
      <c r="HF68" s="40"/>
      <c r="HG68" s="40"/>
      <c r="HH68" s="40"/>
      <c r="HI68" s="40"/>
      <c r="HJ68" s="40"/>
      <c r="HK68" s="40"/>
      <c r="HL68" s="40"/>
      <c r="HM68" s="40"/>
      <c r="HN68" s="40"/>
      <c r="HO68" s="40"/>
      <c r="HP68" s="40"/>
      <c r="HQ68" s="40"/>
      <c r="HR68" s="40"/>
      <c r="HS68" s="40"/>
      <c r="HT68" s="40"/>
      <c r="HU68" s="40"/>
    </row>
    <row r="69" spans="1:229" s="41" customFormat="1" ht="28.8" customHeight="1">
      <c r="A69" s="124" t="s">
        <v>1690</v>
      </c>
      <c r="B69" s="80" t="s">
        <v>112</v>
      </c>
      <c r="C69" s="80" t="s">
        <v>130</v>
      </c>
      <c r="D69" s="80" t="s">
        <v>124</v>
      </c>
      <c r="E69" s="80" t="s">
        <v>123</v>
      </c>
      <c r="F69" s="80" t="s">
        <v>17</v>
      </c>
      <c r="G69" s="135" t="s">
        <v>2020</v>
      </c>
      <c r="H69" s="81">
        <v>0.25</v>
      </c>
      <c r="I69" s="81"/>
      <c r="J69" s="79"/>
      <c r="K69" s="81"/>
      <c r="L69" s="79"/>
      <c r="M69" s="82" t="s">
        <v>13</v>
      </c>
      <c r="N69" s="82" t="s">
        <v>14</v>
      </c>
      <c r="O69" s="82" t="s">
        <v>316</v>
      </c>
      <c r="P69" s="142">
        <v>0.2</v>
      </c>
      <c r="Q69" s="40">
        <f>SUMIF(Data_P!A:A,CONCATENATE(A69,"_",R$1),Data_P!J:J)</f>
        <v>4362.26</v>
      </c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  <c r="BL69" s="40"/>
      <c r="BM69" s="40"/>
      <c r="BN69" s="40"/>
      <c r="BO69" s="40"/>
      <c r="BP69" s="40"/>
      <c r="BQ69" s="40"/>
      <c r="BR69" s="40"/>
      <c r="BS69" s="40"/>
      <c r="BT69" s="40"/>
      <c r="BU69" s="40"/>
      <c r="BV69" s="40"/>
      <c r="BW69" s="40"/>
      <c r="BX69" s="40"/>
      <c r="BY69" s="40"/>
      <c r="BZ69" s="40"/>
      <c r="CA69" s="40"/>
      <c r="CB69" s="40"/>
      <c r="CC69" s="40"/>
      <c r="CD69" s="40"/>
      <c r="CE69" s="40"/>
      <c r="CF69" s="40"/>
      <c r="CG69" s="40"/>
      <c r="CH69" s="40"/>
      <c r="CI69" s="40"/>
      <c r="CJ69" s="40"/>
      <c r="CK69" s="40"/>
      <c r="CL69" s="40"/>
      <c r="CM69" s="40"/>
      <c r="CN69" s="40"/>
      <c r="CO69" s="40"/>
      <c r="CP69" s="40"/>
      <c r="CQ69" s="40"/>
      <c r="CR69" s="40"/>
      <c r="CS69" s="40"/>
      <c r="CT69" s="40"/>
      <c r="CU69" s="40"/>
      <c r="CV69" s="40"/>
      <c r="CW69" s="40"/>
      <c r="CX69" s="40"/>
      <c r="CY69" s="40"/>
      <c r="CZ69" s="40"/>
      <c r="DA69" s="40"/>
      <c r="DB69" s="40"/>
      <c r="DC69" s="40"/>
      <c r="DD69" s="40"/>
      <c r="DE69" s="40"/>
      <c r="DF69" s="40"/>
      <c r="DG69" s="40"/>
      <c r="DH69" s="40"/>
      <c r="DI69" s="40"/>
      <c r="DJ69" s="40"/>
      <c r="DK69" s="40"/>
      <c r="DL69" s="40"/>
      <c r="DM69" s="40"/>
      <c r="DN69" s="40"/>
      <c r="DO69" s="40"/>
      <c r="DP69" s="40"/>
      <c r="DQ69" s="40"/>
      <c r="DR69" s="40"/>
      <c r="DS69" s="40"/>
      <c r="DT69" s="40"/>
      <c r="DU69" s="40"/>
      <c r="DV69" s="40"/>
      <c r="DW69" s="40"/>
      <c r="DX69" s="40"/>
      <c r="DY69" s="40"/>
      <c r="DZ69" s="40"/>
      <c r="EA69" s="40"/>
      <c r="EB69" s="40"/>
      <c r="EC69" s="40"/>
      <c r="ED69" s="40"/>
      <c r="EE69" s="40"/>
      <c r="EF69" s="40"/>
      <c r="EG69" s="40"/>
      <c r="EH69" s="40"/>
      <c r="EI69" s="40"/>
      <c r="EJ69" s="40"/>
      <c r="EK69" s="40"/>
      <c r="EL69" s="40"/>
      <c r="EM69" s="40"/>
      <c r="EN69" s="40"/>
      <c r="EO69" s="40"/>
      <c r="EP69" s="40"/>
      <c r="EQ69" s="40"/>
      <c r="ER69" s="40"/>
      <c r="ES69" s="40"/>
      <c r="ET69" s="40"/>
      <c r="EU69" s="40"/>
      <c r="EV69" s="40"/>
      <c r="EW69" s="40"/>
      <c r="EX69" s="40"/>
      <c r="EY69" s="40"/>
      <c r="EZ69" s="40"/>
      <c r="FA69" s="40"/>
      <c r="FB69" s="40"/>
      <c r="FC69" s="40"/>
      <c r="FD69" s="40"/>
      <c r="FE69" s="40"/>
      <c r="FF69" s="40"/>
      <c r="FG69" s="40"/>
      <c r="FH69" s="40"/>
      <c r="FI69" s="40"/>
      <c r="FJ69" s="40"/>
      <c r="FK69" s="40"/>
      <c r="FL69" s="40"/>
      <c r="FM69" s="40"/>
      <c r="FN69" s="40"/>
      <c r="FO69" s="40"/>
      <c r="FP69" s="40"/>
      <c r="FQ69" s="40"/>
      <c r="FR69" s="40"/>
      <c r="FS69" s="40"/>
      <c r="FT69" s="40"/>
      <c r="FU69" s="40"/>
      <c r="FV69" s="40"/>
      <c r="FW69" s="40"/>
      <c r="FX69" s="40"/>
      <c r="FY69" s="40"/>
      <c r="FZ69" s="40"/>
      <c r="GA69" s="40"/>
      <c r="GB69" s="40"/>
      <c r="GC69" s="40"/>
      <c r="GD69" s="40"/>
      <c r="GE69" s="40"/>
      <c r="GF69" s="40"/>
      <c r="GG69" s="40"/>
      <c r="GH69" s="40"/>
      <c r="GI69" s="40"/>
      <c r="GJ69" s="40"/>
      <c r="GK69" s="40"/>
      <c r="GL69" s="40"/>
      <c r="GM69" s="40"/>
      <c r="GN69" s="40"/>
      <c r="GO69" s="40"/>
      <c r="GP69" s="40"/>
      <c r="GQ69" s="40"/>
      <c r="GR69" s="40"/>
      <c r="GS69" s="40"/>
      <c r="GT69" s="40"/>
      <c r="GU69" s="40"/>
      <c r="GV69" s="40"/>
      <c r="GW69" s="40"/>
      <c r="GX69" s="40"/>
      <c r="GY69" s="40"/>
      <c r="GZ69" s="40"/>
      <c r="HA69" s="40"/>
      <c r="HB69" s="40"/>
      <c r="HC69" s="40"/>
      <c r="HD69" s="40"/>
      <c r="HE69" s="40"/>
      <c r="HF69" s="40"/>
      <c r="HG69" s="40"/>
      <c r="HH69" s="40"/>
      <c r="HI69" s="40"/>
      <c r="HJ69" s="40"/>
      <c r="HK69" s="40"/>
      <c r="HL69" s="40"/>
      <c r="HM69" s="40"/>
      <c r="HN69" s="40"/>
      <c r="HO69" s="40"/>
      <c r="HP69" s="40"/>
      <c r="HQ69" s="40"/>
      <c r="HR69" s="40"/>
      <c r="HS69" s="40"/>
      <c r="HT69" s="40"/>
      <c r="HU69" s="40"/>
    </row>
    <row r="70" spans="1:229" s="41" customFormat="1" ht="28.8" customHeight="1">
      <c r="A70" s="124" t="s">
        <v>1755</v>
      </c>
      <c r="B70" s="80" t="s">
        <v>2342</v>
      </c>
      <c r="C70" s="80" t="s">
        <v>2365</v>
      </c>
      <c r="D70" s="80" t="s">
        <v>2347</v>
      </c>
      <c r="E70" s="80" t="s">
        <v>2348</v>
      </c>
      <c r="F70" s="135" t="s">
        <v>2345</v>
      </c>
      <c r="G70" s="81" t="s">
        <v>2346</v>
      </c>
      <c r="H70" s="81">
        <v>0.4</v>
      </c>
      <c r="I70" s="81">
        <v>-0.05</v>
      </c>
      <c r="J70" s="79" t="s">
        <v>399</v>
      </c>
      <c r="K70" s="81"/>
      <c r="L70" s="79"/>
      <c r="M70" s="82" t="s">
        <v>2360</v>
      </c>
      <c r="N70" s="82" t="s">
        <v>262</v>
      </c>
      <c r="O70" s="82" t="s">
        <v>317</v>
      </c>
      <c r="P70" s="142">
        <v>0.2</v>
      </c>
      <c r="Q70" s="40">
        <f>SUMIF(Data_P!A:A,CONCATENATE(A70,"_",R$1),Data_P!J:J)</f>
        <v>172.13</v>
      </c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  <c r="BK70" s="40"/>
      <c r="BL70" s="40"/>
      <c r="BM70" s="40"/>
      <c r="BN70" s="40"/>
      <c r="BO70" s="40"/>
      <c r="BP70" s="40"/>
      <c r="BQ70" s="40"/>
      <c r="BR70" s="40"/>
      <c r="BS70" s="40"/>
      <c r="BT70" s="40"/>
      <c r="BU70" s="40"/>
      <c r="BV70" s="40"/>
      <c r="BW70" s="40"/>
      <c r="BX70" s="40"/>
      <c r="BY70" s="40"/>
      <c r="BZ70" s="40"/>
      <c r="CA70" s="40"/>
      <c r="CB70" s="40"/>
      <c r="CC70" s="40"/>
      <c r="CD70" s="40"/>
      <c r="CE70" s="40"/>
      <c r="CF70" s="40"/>
      <c r="CG70" s="40"/>
      <c r="CH70" s="40"/>
      <c r="CI70" s="40"/>
      <c r="CJ70" s="40"/>
      <c r="CK70" s="40"/>
      <c r="CL70" s="40"/>
      <c r="CM70" s="40"/>
      <c r="CN70" s="40"/>
      <c r="CO70" s="40"/>
      <c r="CP70" s="40"/>
      <c r="CQ70" s="40"/>
      <c r="CR70" s="40"/>
      <c r="CS70" s="40"/>
      <c r="CT70" s="40"/>
      <c r="CU70" s="40"/>
      <c r="CV70" s="40"/>
      <c r="CW70" s="40"/>
      <c r="CX70" s="40"/>
      <c r="CY70" s="40"/>
      <c r="CZ70" s="40"/>
      <c r="DA70" s="40"/>
      <c r="DB70" s="40"/>
      <c r="DC70" s="40"/>
      <c r="DD70" s="40"/>
      <c r="DE70" s="40"/>
      <c r="DF70" s="40"/>
      <c r="DG70" s="40"/>
      <c r="DH70" s="40"/>
      <c r="DI70" s="40"/>
      <c r="DJ70" s="40"/>
      <c r="DK70" s="40"/>
      <c r="DL70" s="40"/>
      <c r="DM70" s="40"/>
      <c r="DN70" s="40"/>
      <c r="DO70" s="40"/>
      <c r="DP70" s="40"/>
      <c r="DQ70" s="40"/>
      <c r="DR70" s="40"/>
      <c r="DS70" s="40"/>
      <c r="DT70" s="40"/>
      <c r="DU70" s="40"/>
      <c r="DV70" s="40"/>
      <c r="DW70" s="40"/>
      <c r="DX70" s="40"/>
      <c r="DY70" s="40"/>
      <c r="DZ70" s="40"/>
      <c r="EA70" s="40"/>
      <c r="EB70" s="40"/>
      <c r="EC70" s="40"/>
      <c r="ED70" s="40"/>
      <c r="EE70" s="40"/>
      <c r="EF70" s="40"/>
      <c r="EG70" s="40"/>
      <c r="EH70" s="40"/>
      <c r="EI70" s="40"/>
      <c r="EJ70" s="40"/>
      <c r="EK70" s="40"/>
      <c r="EL70" s="40"/>
      <c r="EM70" s="40"/>
      <c r="EN70" s="40"/>
      <c r="EO70" s="40"/>
      <c r="EP70" s="40"/>
      <c r="EQ70" s="40"/>
      <c r="ER70" s="40"/>
      <c r="ES70" s="40"/>
      <c r="ET70" s="40"/>
      <c r="EU70" s="40"/>
      <c r="EV70" s="40"/>
      <c r="EW70" s="40"/>
      <c r="EX70" s="40"/>
      <c r="EY70" s="40"/>
      <c r="EZ70" s="40"/>
      <c r="FA70" s="40"/>
      <c r="FB70" s="40"/>
      <c r="FC70" s="40"/>
      <c r="FD70" s="40"/>
      <c r="FE70" s="40"/>
      <c r="FF70" s="40"/>
      <c r="FG70" s="40"/>
      <c r="FH70" s="40"/>
      <c r="FI70" s="40"/>
      <c r="FJ70" s="40"/>
      <c r="FK70" s="40"/>
      <c r="FL70" s="40"/>
      <c r="FM70" s="40"/>
      <c r="FN70" s="40"/>
      <c r="FO70" s="40"/>
      <c r="FP70" s="40"/>
      <c r="FQ70" s="40"/>
      <c r="FR70" s="40"/>
      <c r="FS70" s="40"/>
      <c r="FT70" s="40"/>
      <c r="FU70" s="40"/>
      <c r="FV70" s="40"/>
      <c r="FW70" s="40"/>
      <c r="FX70" s="40"/>
      <c r="FY70" s="40"/>
      <c r="FZ70" s="40"/>
      <c r="GA70" s="40"/>
      <c r="GB70" s="40"/>
      <c r="GC70" s="40"/>
      <c r="GD70" s="40"/>
      <c r="GE70" s="40"/>
      <c r="GF70" s="40"/>
      <c r="GG70" s="40"/>
      <c r="GH70" s="40"/>
      <c r="GI70" s="40"/>
      <c r="GJ70" s="40"/>
      <c r="GK70" s="40"/>
      <c r="GL70" s="40"/>
      <c r="GM70" s="40"/>
      <c r="GN70" s="40"/>
      <c r="GO70" s="40"/>
      <c r="GP70" s="40"/>
      <c r="GQ70" s="40"/>
      <c r="GR70" s="40"/>
      <c r="GS70" s="40"/>
      <c r="GT70" s="40"/>
      <c r="GU70" s="40"/>
      <c r="GV70" s="40"/>
      <c r="GW70" s="40"/>
      <c r="GX70" s="40"/>
      <c r="GY70" s="40"/>
      <c r="GZ70" s="40"/>
      <c r="HA70" s="40"/>
      <c r="HB70" s="40"/>
      <c r="HC70" s="40"/>
      <c r="HD70" s="40"/>
      <c r="HE70" s="40"/>
      <c r="HF70" s="40"/>
      <c r="HG70" s="40"/>
      <c r="HH70" s="40"/>
      <c r="HI70" s="40"/>
      <c r="HJ70" s="40"/>
      <c r="HK70" s="40"/>
      <c r="HL70" s="40"/>
      <c r="HM70" s="40"/>
      <c r="HN70" s="40"/>
      <c r="HO70" s="40"/>
      <c r="HP70" s="40"/>
      <c r="HQ70" s="40"/>
      <c r="HR70" s="40"/>
      <c r="HS70" s="40"/>
      <c r="HT70" s="40"/>
      <c r="HU70" s="40"/>
    </row>
    <row r="71" spans="1:229" s="41" customFormat="1" ht="28.8" customHeight="1">
      <c r="A71" s="124" t="s">
        <v>1336</v>
      </c>
      <c r="B71" s="80" t="s">
        <v>1328</v>
      </c>
      <c r="C71" s="80"/>
      <c r="D71" s="80" t="s">
        <v>1329</v>
      </c>
      <c r="E71" s="80" t="s">
        <v>913</v>
      </c>
      <c r="F71" s="80" t="s">
        <v>1330</v>
      </c>
      <c r="G71" s="135" t="s">
        <v>1331</v>
      </c>
      <c r="H71" s="81">
        <v>0.4</v>
      </c>
      <c r="I71" s="81"/>
      <c r="J71" s="79"/>
      <c r="K71" s="81"/>
      <c r="L71" s="79"/>
      <c r="M71" s="82" t="s">
        <v>1552</v>
      </c>
      <c r="N71" s="82" t="s">
        <v>1427</v>
      </c>
      <c r="O71" s="82" t="s">
        <v>316</v>
      </c>
      <c r="P71" s="142">
        <v>0.2</v>
      </c>
      <c r="Q71" s="40">
        <f>SUMIF(Data_P!A:A,CONCATENATE(A71,"_",R$1),Data_P!J:J)</f>
        <v>321.95999999999998</v>
      </c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  <c r="BI71" s="40"/>
      <c r="BJ71" s="40"/>
      <c r="BK71" s="40"/>
      <c r="BL71" s="40"/>
      <c r="BM71" s="40"/>
      <c r="BN71" s="40"/>
      <c r="BO71" s="40"/>
      <c r="BP71" s="40"/>
      <c r="BQ71" s="40"/>
      <c r="BR71" s="40"/>
      <c r="BS71" s="40"/>
      <c r="BT71" s="40"/>
      <c r="BU71" s="40"/>
      <c r="BV71" s="40"/>
      <c r="BW71" s="40"/>
      <c r="BX71" s="40"/>
      <c r="BY71" s="40"/>
      <c r="BZ71" s="40"/>
      <c r="CA71" s="40"/>
      <c r="CB71" s="40"/>
      <c r="CC71" s="40"/>
      <c r="CD71" s="40"/>
      <c r="CE71" s="40"/>
      <c r="CF71" s="40"/>
      <c r="CG71" s="40"/>
      <c r="CH71" s="40"/>
      <c r="CI71" s="40"/>
      <c r="CJ71" s="40"/>
      <c r="CK71" s="40"/>
      <c r="CL71" s="40"/>
      <c r="CM71" s="40"/>
      <c r="CN71" s="40"/>
      <c r="CO71" s="40"/>
      <c r="CP71" s="40"/>
      <c r="CQ71" s="40"/>
      <c r="CR71" s="40"/>
      <c r="CS71" s="40"/>
      <c r="CT71" s="40"/>
      <c r="CU71" s="40"/>
      <c r="CV71" s="40"/>
      <c r="CW71" s="40"/>
      <c r="CX71" s="40"/>
      <c r="CY71" s="40"/>
      <c r="CZ71" s="40"/>
      <c r="DA71" s="40"/>
      <c r="DB71" s="40"/>
      <c r="DC71" s="40"/>
      <c r="DD71" s="40"/>
      <c r="DE71" s="40"/>
      <c r="DF71" s="40"/>
      <c r="DG71" s="40"/>
      <c r="DH71" s="40"/>
      <c r="DI71" s="40"/>
      <c r="DJ71" s="40"/>
      <c r="DK71" s="40"/>
      <c r="DL71" s="40"/>
      <c r="DM71" s="40"/>
      <c r="DN71" s="40"/>
      <c r="DO71" s="40"/>
      <c r="DP71" s="40"/>
      <c r="DQ71" s="40"/>
      <c r="DR71" s="40"/>
      <c r="DS71" s="40"/>
      <c r="DT71" s="40"/>
      <c r="DU71" s="40"/>
      <c r="DV71" s="40"/>
      <c r="DW71" s="40"/>
      <c r="DX71" s="40"/>
      <c r="DY71" s="40"/>
      <c r="DZ71" s="40"/>
      <c r="EA71" s="40"/>
      <c r="EB71" s="40"/>
      <c r="EC71" s="40"/>
      <c r="ED71" s="40"/>
      <c r="EE71" s="40"/>
      <c r="EF71" s="40"/>
      <c r="EG71" s="40"/>
      <c r="EH71" s="40"/>
      <c r="EI71" s="40"/>
      <c r="EJ71" s="40"/>
      <c r="EK71" s="40"/>
      <c r="EL71" s="40"/>
      <c r="EM71" s="40"/>
      <c r="EN71" s="40"/>
      <c r="EO71" s="40"/>
      <c r="EP71" s="40"/>
      <c r="EQ71" s="40"/>
      <c r="ER71" s="40"/>
      <c r="ES71" s="40"/>
      <c r="ET71" s="40"/>
      <c r="EU71" s="40"/>
      <c r="EV71" s="40"/>
      <c r="EW71" s="40"/>
      <c r="EX71" s="40"/>
      <c r="EY71" s="40"/>
      <c r="EZ71" s="40"/>
      <c r="FA71" s="40"/>
      <c r="FB71" s="40"/>
      <c r="FC71" s="40"/>
      <c r="FD71" s="40"/>
      <c r="FE71" s="40"/>
      <c r="FF71" s="40"/>
      <c r="FG71" s="40"/>
      <c r="FH71" s="40"/>
      <c r="FI71" s="40"/>
      <c r="FJ71" s="40"/>
      <c r="FK71" s="40"/>
      <c r="FL71" s="40"/>
      <c r="FM71" s="40"/>
      <c r="FN71" s="40"/>
      <c r="FO71" s="40"/>
      <c r="FP71" s="40"/>
      <c r="FQ71" s="40"/>
      <c r="FR71" s="40"/>
      <c r="FS71" s="40"/>
      <c r="FT71" s="40"/>
      <c r="FU71" s="40"/>
      <c r="FV71" s="40"/>
      <c r="FW71" s="40"/>
      <c r="FX71" s="40"/>
      <c r="FY71" s="40"/>
      <c r="FZ71" s="40"/>
      <c r="GA71" s="40"/>
      <c r="GB71" s="40"/>
      <c r="GC71" s="40"/>
      <c r="GD71" s="40"/>
      <c r="GE71" s="40"/>
      <c r="GF71" s="40"/>
      <c r="GG71" s="40"/>
      <c r="GH71" s="40"/>
      <c r="GI71" s="40"/>
      <c r="GJ71" s="40"/>
      <c r="GK71" s="40"/>
      <c r="GL71" s="40"/>
      <c r="GM71" s="40"/>
      <c r="GN71" s="40"/>
      <c r="GO71" s="40"/>
      <c r="GP71" s="40"/>
      <c r="GQ71" s="40"/>
      <c r="GR71" s="40"/>
      <c r="GS71" s="40"/>
      <c r="GT71" s="40"/>
      <c r="GU71" s="40"/>
      <c r="GV71" s="40"/>
      <c r="GW71" s="40"/>
      <c r="GX71" s="40"/>
      <c r="GY71" s="40"/>
      <c r="GZ71" s="40"/>
      <c r="HA71" s="40"/>
      <c r="HB71" s="40"/>
      <c r="HC71" s="40"/>
      <c r="HD71" s="40"/>
      <c r="HE71" s="40"/>
      <c r="HF71" s="40"/>
      <c r="HG71" s="40"/>
      <c r="HH71" s="40"/>
      <c r="HI71" s="40"/>
      <c r="HJ71" s="40"/>
      <c r="HK71" s="40"/>
      <c r="HL71" s="40"/>
      <c r="HM71" s="40"/>
      <c r="HN71" s="40"/>
      <c r="HO71" s="40"/>
      <c r="HP71" s="40"/>
      <c r="HQ71" s="40"/>
      <c r="HR71" s="40"/>
      <c r="HS71" s="40"/>
      <c r="HT71" s="40"/>
      <c r="HU71" s="40"/>
    </row>
    <row r="72" spans="1:229" s="41" customFormat="1" ht="28.8" customHeight="1">
      <c r="A72" s="124" t="s">
        <v>1088</v>
      </c>
      <c r="B72" s="80" t="s">
        <v>1089</v>
      </c>
      <c r="C72" s="80"/>
      <c r="D72" s="80" t="s">
        <v>1090</v>
      </c>
      <c r="E72" s="80" t="s">
        <v>345</v>
      </c>
      <c r="F72" s="80" t="s">
        <v>1091</v>
      </c>
      <c r="G72" s="135" t="s">
        <v>1092</v>
      </c>
      <c r="H72" s="81">
        <v>0.5</v>
      </c>
      <c r="I72" s="81">
        <v>-0.1</v>
      </c>
      <c r="J72" s="79" t="s">
        <v>399</v>
      </c>
      <c r="K72" s="81"/>
      <c r="L72" s="79"/>
      <c r="M72" s="82" t="s">
        <v>1093</v>
      </c>
      <c r="N72" s="82" t="s">
        <v>389</v>
      </c>
      <c r="O72" s="82" t="s">
        <v>316</v>
      </c>
      <c r="P72" s="142">
        <v>0.2</v>
      </c>
      <c r="Q72" s="40">
        <f>SUMIF(Data_P!A:A,CONCATENATE(A72,"_",R$1),Data_P!J:J)</f>
        <v>192.94</v>
      </c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  <c r="BL72" s="40"/>
      <c r="BM72" s="40"/>
      <c r="BN72" s="40"/>
      <c r="BO72" s="40"/>
      <c r="BP72" s="40"/>
      <c r="BQ72" s="40"/>
      <c r="BR72" s="40"/>
      <c r="BS72" s="40"/>
      <c r="BT72" s="40"/>
      <c r="BU72" s="40"/>
      <c r="BV72" s="40"/>
      <c r="BW72" s="40"/>
      <c r="BX72" s="40"/>
      <c r="BY72" s="40"/>
      <c r="BZ72" s="40"/>
      <c r="CA72" s="40"/>
      <c r="CB72" s="40"/>
      <c r="CC72" s="40"/>
      <c r="CD72" s="40"/>
      <c r="CE72" s="40"/>
      <c r="CF72" s="40"/>
      <c r="CG72" s="40"/>
      <c r="CH72" s="40"/>
      <c r="CI72" s="40"/>
      <c r="CJ72" s="40"/>
      <c r="CK72" s="40"/>
      <c r="CL72" s="40"/>
      <c r="CM72" s="40"/>
      <c r="CN72" s="40"/>
      <c r="CO72" s="40"/>
      <c r="CP72" s="40"/>
      <c r="CQ72" s="40"/>
      <c r="CR72" s="40"/>
      <c r="CS72" s="40"/>
      <c r="CT72" s="40"/>
      <c r="CU72" s="40"/>
      <c r="CV72" s="40"/>
      <c r="CW72" s="40"/>
      <c r="CX72" s="40"/>
      <c r="CY72" s="40"/>
      <c r="CZ72" s="40"/>
      <c r="DA72" s="40"/>
      <c r="DB72" s="40"/>
      <c r="DC72" s="40"/>
      <c r="DD72" s="40"/>
      <c r="DE72" s="40"/>
      <c r="DF72" s="40"/>
      <c r="DG72" s="40"/>
      <c r="DH72" s="40"/>
      <c r="DI72" s="40"/>
      <c r="DJ72" s="40"/>
      <c r="DK72" s="40"/>
      <c r="DL72" s="40"/>
      <c r="DM72" s="40"/>
      <c r="DN72" s="40"/>
      <c r="DO72" s="40"/>
      <c r="DP72" s="40"/>
      <c r="DQ72" s="40"/>
      <c r="DR72" s="40"/>
      <c r="DS72" s="40"/>
      <c r="DT72" s="40"/>
      <c r="DU72" s="40"/>
      <c r="DV72" s="40"/>
      <c r="DW72" s="40"/>
      <c r="DX72" s="40"/>
      <c r="DY72" s="40"/>
      <c r="DZ72" s="40"/>
      <c r="EA72" s="40"/>
      <c r="EB72" s="40"/>
      <c r="EC72" s="40"/>
      <c r="ED72" s="40"/>
      <c r="EE72" s="40"/>
      <c r="EF72" s="40"/>
      <c r="EG72" s="40"/>
      <c r="EH72" s="40"/>
      <c r="EI72" s="40"/>
      <c r="EJ72" s="40"/>
      <c r="EK72" s="40"/>
      <c r="EL72" s="40"/>
      <c r="EM72" s="40"/>
      <c r="EN72" s="40"/>
      <c r="EO72" s="40"/>
      <c r="EP72" s="40"/>
      <c r="EQ72" s="40"/>
      <c r="ER72" s="40"/>
      <c r="ES72" s="40"/>
      <c r="ET72" s="40"/>
      <c r="EU72" s="40"/>
      <c r="EV72" s="40"/>
      <c r="EW72" s="40"/>
      <c r="EX72" s="40"/>
      <c r="EY72" s="40"/>
      <c r="EZ72" s="40"/>
      <c r="FA72" s="40"/>
      <c r="FB72" s="40"/>
      <c r="FC72" s="40"/>
      <c r="FD72" s="40"/>
      <c r="FE72" s="40"/>
      <c r="FF72" s="40"/>
      <c r="FG72" s="40"/>
      <c r="FH72" s="40"/>
      <c r="FI72" s="40"/>
      <c r="FJ72" s="40"/>
      <c r="FK72" s="40"/>
      <c r="FL72" s="40"/>
      <c r="FM72" s="40"/>
      <c r="FN72" s="40"/>
      <c r="FO72" s="40"/>
      <c r="FP72" s="40"/>
      <c r="FQ72" s="40"/>
      <c r="FR72" s="40"/>
      <c r="FS72" s="40"/>
      <c r="FT72" s="40"/>
      <c r="FU72" s="40"/>
      <c r="FV72" s="40"/>
      <c r="FW72" s="40"/>
      <c r="FX72" s="40"/>
      <c r="FY72" s="40"/>
      <c r="FZ72" s="40"/>
      <c r="GA72" s="40"/>
      <c r="GB72" s="40"/>
      <c r="GC72" s="40"/>
      <c r="GD72" s="40"/>
      <c r="GE72" s="40"/>
      <c r="GF72" s="40"/>
      <c r="GG72" s="40"/>
      <c r="GH72" s="40"/>
      <c r="GI72" s="40"/>
      <c r="GJ72" s="40"/>
      <c r="GK72" s="40"/>
      <c r="GL72" s="40"/>
      <c r="GM72" s="40"/>
      <c r="GN72" s="40"/>
      <c r="GO72" s="40"/>
      <c r="GP72" s="40"/>
      <c r="GQ72" s="40"/>
      <c r="GR72" s="40"/>
      <c r="GS72" s="40"/>
      <c r="GT72" s="40"/>
      <c r="GU72" s="40"/>
      <c r="GV72" s="40"/>
      <c r="GW72" s="40"/>
      <c r="GX72" s="40"/>
      <c r="GY72" s="40"/>
      <c r="GZ72" s="40"/>
      <c r="HA72" s="40"/>
      <c r="HB72" s="40"/>
      <c r="HC72" s="40"/>
      <c r="HD72" s="40"/>
      <c r="HE72" s="40"/>
      <c r="HF72" s="40"/>
      <c r="HG72" s="40"/>
      <c r="HH72" s="40"/>
      <c r="HI72" s="40"/>
      <c r="HJ72" s="40"/>
      <c r="HK72" s="40"/>
      <c r="HL72" s="40"/>
      <c r="HM72" s="40"/>
      <c r="HN72" s="40"/>
      <c r="HO72" s="40"/>
      <c r="HP72" s="40"/>
      <c r="HQ72" s="40"/>
      <c r="HR72" s="40"/>
      <c r="HS72" s="40"/>
      <c r="HT72" s="40"/>
      <c r="HU72" s="40"/>
    </row>
    <row r="73" spans="1:229" s="41" customFormat="1" ht="28.8" customHeight="1">
      <c r="A73" s="124" t="s">
        <v>1018</v>
      </c>
      <c r="B73" s="80" t="s">
        <v>1021</v>
      </c>
      <c r="C73" s="80" t="s">
        <v>1024</v>
      </c>
      <c r="D73" s="80" t="s">
        <v>1019</v>
      </c>
      <c r="E73" s="80" t="s">
        <v>1020</v>
      </c>
      <c r="F73" s="80" t="s">
        <v>1022</v>
      </c>
      <c r="G73" s="135" t="s">
        <v>1023</v>
      </c>
      <c r="H73" s="81">
        <v>0.65</v>
      </c>
      <c r="I73" s="81">
        <v>0.05</v>
      </c>
      <c r="J73" s="79" t="s">
        <v>1025</v>
      </c>
      <c r="K73" s="81"/>
      <c r="L73" s="79"/>
      <c r="M73" s="82" t="s">
        <v>1922</v>
      </c>
      <c r="N73" s="82" t="s">
        <v>431</v>
      </c>
      <c r="O73" s="82" t="s">
        <v>317</v>
      </c>
      <c r="P73" s="142">
        <v>0.2</v>
      </c>
      <c r="Q73" s="40">
        <f>SUMIF(Data_P!A:A,CONCATENATE(A73,"_",R$1),Data_P!J:J)</f>
        <v>680.54</v>
      </c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  <c r="BK73" s="40"/>
      <c r="BL73" s="40"/>
      <c r="BM73" s="40"/>
      <c r="BN73" s="40"/>
      <c r="BO73" s="40"/>
      <c r="BP73" s="40"/>
      <c r="BQ73" s="40"/>
      <c r="BR73" s="40"/>
      <c r="BS73" s="40"/>
      <c r="BT73" s="40"/>
      <c r="BU73" s="40"/>
      <c r="BV73" s="40"/>
      <c r="BW73" s="40"/>
      <c r="BX73" s="40"/>
      <c r="BY73" s="40"/>
      <c r="BZ73" s="40"/>
      <c r="CA73" s="40"/>
      <c r="CB73" s="40"/>
      <c r="CC73" s="40"/>
      <c r="CD73" s="40"/>
      <c r="CE73" s="40"/>
      <c r="CF73" s="40"/>
      <c r="CG73" s="40"/>
      <c r="CH73" s="40"/>
      <c r="CI73" s="40"/>
      <c r="CJ73" s="40"/>
      <c r="CK73" s="40"/>
      <c r="CL73" s="40"/>
      <c r="CM73" s="40"/>
      <c r="CN73" s="40"/>
      <c r="CO73" s="40"/>
      <c r="CP73" s="40"/>
      <c r="CQ73" s="40"/>
      <c r="CR73" s="40"/>
      <c r="CS73" s="40"/>
      <c r="CT73" s="40"/>
      <c r="CU73" s="40"/>
      <c r="CV73" s="40"/>
      <c r="CW73" s="40"/>
      <c r="CX73" s="40"/>
      <c r="CY73" s="40"/>
      <c r="CZ73" s="40"/>
      <c r="DA73" s="40"/>
      <c r="DB73" s="40"/>
      <c r="DC73" s="40"/>
      <c r="DD73" s="40"/>
      <c r="DE73" s="40"/>
      <c r="DF73" s="40"/>
      <c r="DG73" s="40"/>
      <c r="DH73" s="40"/>
      <c r="DI73" s="40"/>
      <c r="DJ73" s="40"/>
      <c r="DK73" s="40"/>
      <c r="DL73" s="40"/>
      <c r="DM73" s="40"/>
      <c r="DN73" s="40"/>
      <c r="DO73" s="40"/>
      <c r="DP73" s="40"/>
      <c r="DQ73" s="40"/>
      <c r="DR73" s="40"/>
      <c r="DS73" s="40"/>
      <c r="DT73" s="40"/>
      <c r="DU73" s="40"/>
      <c r="DV73" s="40"/>
      <c r="DW73" s="40"/>
      <c r="DX73" s="40"/>
      <c r="DY73" s="40"/>
      <c r="DZ73" s="40"/>
      <c r="EA73" s="40"/>
      <c r="EB73" s="40"/>
      <c r="EC73" s="40"/>
      <c r="ED73" s="40"/>
      <c r="EE73" s="40"/>
      <c r="EF73" s="40"/>
      <c r="EG73" s="40"/>
      <c r="EH73" s="40"/>
      <c r="EI73" s="40"/>
      <c r="EJ73" s="40"/>
      <c r="EK73" s="40"/>
      <c r="EL73" s="40"/>
      <c r="EM73" s="40"/>
      <c r="EN73" s="40"/>
      <c r="EO73" s="40"/>
      <c r="EP73" s="40"/>
      <c r="EQ73" s="40"/>
      <c r="ER73" s="40"/>
      <c r="ES73" s="40"/>
      <c r="ET73" s="40"/>
      <c r="EU73" s="40"/>
      <c r="EV73" s="40"/>
      <c r="EW73" s="40"/>
      <c r="EX73" s="40"/>
      <c r="EY73" s="40"/>
      <c r="EZ73" s="40"/>
      <c r="FA73" s="40"/>
      <c r="FB73" s="40"/>
      <c r="FC73" s="40"/>
      <c r="FD73" s="40"/>
      <c r="FE73" s="40"/>
      <c r="FF73" s="40"/>
      <c r="FG73" s="40"/>
      <c r="FH73" s="40"/>
      <c r="FI73" s="40"/>
      <c r="FJ73" s="40"/>
      <c r="FK73" s="40"/>
      <c r="FL73" s="40"/>
      <c r="FM73" s="40"/>
      <c r="FN73" s="40"/>
      <c r="FO73" s="40"/>
      <c r="FP73" s="40"/>
      <c r="FQ73" s="40"/>
      <c r="FR73" s="40"/>
      <c r="FS73" s="40"/>
      <c r="FT73" s="40"/>
      <c r="FU73" s="40"/>
      <c r="FV73" s="40"/>
      <c r="FW73" s="40"/>
      <c r="FX73" s="40"/>
      <c r="FY73" s="40"/>
      <c r="FZ73" s="40"/>
      <c r="GA73" s="40"/>
      <c r="GB73" s="40"/>
      <c r="GC73" s="40"/>
      <c r="GD73" s="40"/>
      <c r="GE73" s="40"/>
      <c r="GF73" s="40"/>
      <c r="GG73" s="40"/>
      <c r="GH73" s="40"/>
      <c r="GI73" s="40"/>
      <c r="GJ73" s="40"/>
      <c r="GK73" s="40"/>
      <c r="GL73" s="40"/>
      <c r="GM73" s="40"/>
      <c r="GN73" s="40"/>
      <c r="GO73" s="40"/>
      <c r="GP73" s="40"/>
      <c r="GQ73" s="40"/>
      <c r="GR73" s="40"/>
      <c r="GS73" s="40"/>
      <c r="GT73" s="40"/>
      <c r="GU73" s="40"/>
      <c r="GV73" s="40"/>
      <c r="GW73" s="40"/>
      <c r="GX73" s="40"/>
      <c r="GY73" s="40"/>
      <c r="GZ73" s="40"/>
      <c r="HA73" s="40"/>
      <c r="HB73" s="40"/>
      <c r="HC73" s="40"/>
      <c r="HD73" s="40"/>
      <c r="HE73" s="40"/>
      <c r="HF73" s="40"/>
      <c r="HG73" s="40"/>
      <c r="HH73" s="40"/>
      <c r="HI73" s="40"/>
      <c r="HJ73" s="40"/>
      <c r="HK73" s="40"/>
      <c r="HL73" s="40"/>
      <c r="HM73" s="40"/>
      <c r="HN73" s="40"/>
      <c r="HO73" s="40"/>
      <c r="HP73" s="40"/>
      <c r="HQ73" s="40"/>
      <c r="HR73" s="40"/>
      <c r="HS73" s="40"/>
      <c r="HT73" s="40"/>
      <c r="HU73" s="40"/>
    </row>
    <row r="74" spans="1:229" s="41" customFormat="1" ht="28.8" customHeight="1">
      <c r="A74" s="124" t="s">
        <v>1255</v>
      </c>
      <c r="B74" s="80" t="s">
        <v>876</v>
      </c>
      <c r="C74" s="80"/>
      <c r="D74" s="80" t="s">
        <v>877</v>
      </c>
      <c r="E74" s="80" t="s">
        <v>286</v>
      </c>
      <c r="F74" s="80" t="s">
        <v>878</v>
      </c>
      <c r="G74" s="135" t="s">
        <v>879</v>
      </c>
      <c r="H74" s="81">
        <v>0.25</v>
      </c>
      <c r="I74" s="81"/>
      <c r="J74" s="79"/>
      <c r="K74" s="81"/>
      <c r="L74" s="79"/>
      <c r="M74" s="82" t="s">
        <v>1078</v>
      </c>
      <c r="N74" s="82" t="s">
        <v>294</v>
      </c>
      <c r="O74" s="82" t="s">
        <v>316</v>
      </c>
      <c r="P74" s="142">
        <v>0.2</v>
      </c>
      <c r="Q74" s="40">
        <f>SUMIF(Data_P!A:A,CONCATENATE(A74,"_",R$1),Data_P!J:J)</f>
        <v>99</v>
      </c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  <c r="CM74" s="40"/>
      <c r="CN74" s="40"/>
      <c r="CO74" s="40"/>
      <c r="CP74" s="40"/>
      <c r="CQ74" s="40"/>
      <c r="CR74" s="40"/>
      <c r="CS74" s="40"/>
      <c r="CT74" s="40"/>
      <c r="CU74" s="40"/>
      <c r="CV74" s="40"/>
      <c r="CW74" s="40"/>
      <c r="CX74" s="40"/>
      <c r="CY74" s="40"/>
      <c r="CZ74" s="40"/>
      <c r="DA74" s="40"/>
      <c r="DB74" s="40"/>
      <c r="DC74" s="40"/>
      <c r="DD74" s="40"/>
      <c r="DE74" s="40"/>
      <c r="DF74" s="40"/>
      <c r="DG74" s="40"/>
      <c r="DH74" s="40"/>
      <c r="DI74" s="40"/>
      <c r="DJ74" s="40"/>
      <c r="DK74" s="40"/>
      <c r="DL74" s="40"/>
      <c r="DM74" s="40"/>
      <c r="DN74" s="40"/>
      <c r="DO74" s="40"/>
      <c r="DP74" s="40"/>
      <c r="DQ74" s="40"/>
      <c r="DR74" s="40"/>
      <c r="DS74" s="40"/>
      <c r="DT74" s="40"/>
      <c r="DU74" s="40"/>
      <c r="DV74" s="40"/>
      <c r="DW74" s="40"/>
      <c r="DX74" s="40"/>
      <c r="DY74" s="40"/>
      <c r="DZ74" s="40"/>
      <c r="EA74" s="40"/>
      <c r="EB74" s="40"/>
      <c r="EC74" s="40"/>
      <c r="ED74" s="40"/>
      <c r="EE74" s="40"/>
      <c r="EF74" s="40"/>
      <c r="EG74" s="40"/>
      <c r="EH74" s="40"/>
      <c r="EI74" s="40"/>
      <c r="EJ74" s="40"/>
      <c r="EK74" s="40"/>
      <c r="EL74" s="40"/>
      <c r="EM74" s="40"/>
      <c r="EN74" s="40"/>
      <c r="EO74" s="40"/>
      <c r="EP74" s="40"/>
      <c r="EQ74" s="40"/>
      <c r="ER74" s="40"/>
      <c r="ES74" s="40"/>
      <c r="ET74" s="40"/>
      <c r="EU74" s="40"/>
      <c r="EV74" s="40"/>
      <c r="EW74" s="40"/>
      <c r="EX74" s="40"/>
      <c r="EY74" s="40"/>
      <c r="EZ74" s="40"/>
      <c r="FA74" s="40"/>
      <c r="FB74" s="40"/>
      <c r="FC74" s="40"/>
      <c r="FD74" s="40"/>
      <c r="FE74" s="40"/>
      <c r="FF74" s="40"/>
      <c r="FG74" s="40"/>
      <c r="FH74" s="40"/>
      <c r="FI74" s="40"/>
      <c r="FJ74" s="40"/>
      <c r="FK74" s="40"/>
      <c r="FL74" s="40"/>
      <c r="FM74" s="40"/>
      <c r="FN74" s="40"/>
      <c r="FO74" s="40"/>
      <c r="FP74" s="40"/>
      <c r="FQ74" s="40"/>
      <c r="FR74" s="40"/>
      <c r="FS74" s="40"/>
      <c r="FT74" s="40"/>
      <c r="FU74" s="40"/>
      <c r="FV74" s="40"/>
      <c r="FW74" s="40"/>
      <c r="FX74" s="40"/>
      <c r="FY74" s="40"/>
      <c r="FZ74" s="40"/>
      <c r="GA74" s="40"/>
      <c r="GB74" s="40"/>
      <c r="GC74" s="40"/>
      <c r="GD74" s="40"/>
      <c r="GE74" s="40"/>
      <c r="GF74" s="40"/>
      <c r="GG74" s="40"/>
      <c r="GH74" s="40"/>
      <c r="GI74" s="40"/>
      <c r="GJ74" s="40"/>
      <c r="GK74" s="40"/>
      <c r="GL74" s="40"/>
      <c r="GM74" s="40"/>
      <c r="GN74" s="40"/>
      <c r="GO74" s="40"/>
      <c r="GP74" s="40"/>
      <c r="GQ74" s="40"/>
      <c r="GR74" s="40"/>
      <c r="GS74" s="40"/>
      <c r="GT74" s="40"/>
      <c r="GU74" s="40"/>
      <c r="GV74" s="40"/>
      <c r="GW74" s="40"/>
      <c r="GX74" s="40"/>
      <c r="GY74" s="40"/>
      <c r="GZ74" s="40"/>
      <c r="HA74" s="40"/>
      <c r="HB74" s="40"/>
      <c r="HC74" s="40"/>
      <c r="HD74" s="40"/>
      <c r="HE74" s="40"/>
      <c r="HF74" s="40"/>
      <c r="HG74" s="40"/>
      <c r="HH74" s="40"/>
      <c r="HI74" s="40"/>
      <c r="HJ74" s="40"/>
      <c r="HK74" s="40"/>
      <c r="HL74" s="40"/>
      <c r="HM74" s="40"/>
      <c r="HN74" s="40"/>
      <c r="HO74" s="40"/>
      <c r="HP74" s="40"/>
      <c r="HQ74" s="40"/>
      <c r="HR74" s="40"/>
      <c r="HS74" s="40"/>
      <c r="HT74" s="40"/>
      <c r="HU74" s="40"/>
    </row>
    <row r="75" spans="1:229" s="41" customFormat="1" ht="28.8" customHeight="1">
      <c r="A75" s="124" t="s">
        <v>1026</v>
      </c>
      <c r="B75" s="80" t="s">
        <v>2343</v>
      </c>
      <c r="C75" s="80" t="s">
        <v>2366</v>
      </c>
      <c r="D75" s="80" t="s">
        <v>2349</v>
      </c>
      <c r="E75" s="80" t="s">
        <v>2350</v>
      </c>
      <c r="F75" s="135" t="s">
        <v>2351</v>
      </c>
      <c r="G75" s="81" t="s">
        <v>2352</v>
      </c>
      <c r="H75" s="81">
        <v>0.5</v>
      </c>
      <c r="I75" s="81">
        <v>-0.1</v>
      </c>
      <c r="J75" s="79" t="s">
        <v>2358</v>
      </c>
      <c r="K75" s="81"/>
      <c r="L75" s="79"/>
      <c r="M75" s="82" t="s">
        <v>2361</v>
      </c>
      <c r="N75" s="82" t="s">
        <v>1109</v>
      </c>
      <c r="O75" s="82" t="s">
        <v>316</v>
      </c>
      <c r="P75" s="142">
        <v>0.2</v>
      </c>
      <c r="Q75" s="40">
        <f>SUMIF(Data_P!A:A,CONCATENATE(A75,"_",R$1),Data_P!J:J)</f>
        <v>4090.7400000000002</v>
      </c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40"/>
      <c r="CW75" s="40"/>
      <c r="CX75" s="40"/>
      <c r="CY75" s="40"/>
      <c r="CZ75" s="40"/>
      <c r="DA75" s="40"/>
      <c r="DB75" s="40"/>
      <c r="DC75" s="40"/>
      <c r="DD75" s="40"/>
      <c r="DE75" s="40"/>
      <c r="DF75" s="40"/>
      <c r="DG75" s="40"/>
      <c r="DH75" s="40"/>
      <c r="DI75" s="40"/>
      <c r="DJ75" s="40"/>
      <c r="DK75" s="40"/>
      <c r="DL75" s="40"/>
      <c r="DM75" s="40"/>
      <c r="DN75" s="40"/>
      <c r="DO75" s="40"/>
      <c r="DP75" s="40"/>
      <c r="DQ75" s="40"/>
      <c r="DR75" s="40"/>
      <c r="DS75" s="40"/>
      <c r="DT75" s="40"/>
      <c r="DU75" s="40"/>
      <c r="DV75" s="40"/>
      <c r="DW75" s="40"/>
      <c r="DX75" s="40"/>
      <c r="DY75" s="40"/>
      <c r="DZ75" s="40"/>
      <c r="EA75" s="40"/>
      <c r="EB75" s="40"/>
      <c r="EC75" s="40"/>
      <c r="ED75" s="40"/>
      <c r="EE75" s="40"/>
      <c r="EF75" s="40"/>
      <c r="EG75" s="40"/>
      <c r="EH75" s="40"/>
      <c r="EI75" s="40"/>
      <c r="EJ75" s="40"/>
      <c r="EK75" s="40"/>
      <c r="EL75" s="40"/>
      <c r="EM75" s="40"/>
      <c r="EN75" s="40"/>
      <c r="EO75" s="40"/>
      <c r="EP75" s="40"/>
      <c r="EQ75" s="40"/>
      <c r="ER75" s="40"/>
      <c r="ES75" s="40"/>
      <c r="ET75" s="40"/>
      <c r="EU75" s="40"/>
      <c r="EV75" s="40"/>
      <c r="EW75" s="40"/>
      <c r="EX75" s="40"/>
      <c r="EY75" s="40"/>
      <c r="EZ75" s="40"/>
      <c r="FA75" s="40"/>
      <c r="FB75" s="40"/>
      <c r="FC75" s="40"/>
      <c r="FD75" s="40"/>
      <c r="FE75" s="40"/>
      <c r="FF75" s="40"/>
      <c r="FG75" s="40"/>
      <c r="FH75" s="40"/>
      <c r="FI75" s="40"/>
      <c r="FJ75" s="40"/>
      <c r="FK75" s="40"/>
      <c r="FL75" s="40"/>
      <c r="FM75" s="40"/>
      <c r="FN75" s="40"/>
      <c r="FO75" s="40"/>
      <c r="FP75" s="40"/>
      <c r="FQ75" s="40"/>
      <c r="FR75" s="40"/>
      <c r="FS75" s="40"/>
      <c r="FT75" s="40"/>
      <c r="FU75" s="40"/>
      <c r="FV75" s="40"/>
      <c r="FW75" s="40"/>
      <c r="FX75" s="40"/>
      <c r="FY75" s="40"/>
      <c r="FZ75" s="40"/>
      <c r="GA75" s="40"/>
      <c r="GB75" s="40"/>
      <c r="GC75" s="40"/>
      <c r="GD75" s="40"/>
      <c r="GE75" s="40"/>
      <c r="GF75" s="40"/>
      <c r="GG75" s="40"/>
      <c r="GH75" s="40"/>
      <c r="GI75" s="40"/>
      <c r="GJ75" s="40"/>
      <c r="GK75" s="40"/>
      <c r="GL75" s="40"/>
      <c r="GM75" s="40"/>
      <c r="GN75" s="40"/>
      <c r="GO75" s="40"/>
      <c r="GP75" s="40"/>
      <c r="GQ75" s="40"/>
      <c r="GR75" s="40"/>
      <c r="GS75" s="40"/>
      <c r="GT75" s="40"/>
      <c r="GU75" s="40"/>
      <c r="GV75" s="40"/>
      <c r="GW75" s="40"/>
      <c r="GX75" s="40"/>
      <c r="GY75" s="40"/>
      <c r="GZ75" s="40"/>
      <c r="HA75" s="40"/>
      <c r="HB75" s="40"/>
      <c r="HC75" s="40"/>
      <c r="HD75" s="40"/>
      <c r="HE75" s="40"/>
      <c r="HF75" s="40"/>
      <c r="HG75" s="40"/>
      <c r="HH75" s="40"/>
      <c r="HI75" s="40"/>
      <c r="HJ75" s="40"/>
      <c r="HK75" s="40"/>
      <c r="HL75" s="40"/>
      <c r="HM75" s="40"/>
      <c r="HN75" s="40"/>
      <c r="HO75" s="40"/>
      <c r="HP75" s="40"/>
      <c r="HQ75" s="40"/>
      <c r="HR75" s="40"/>
      <c r="HS75" s="40"/>
      <c r="HT75" s="40"/>
      <c r="HU75" s="40"/>
    </row>
    <row r="76" spans="1:229" s="41" customFormat="1" ht="28.8" customHeight="1">
      <c r="A76" s="124" t="s">
        <v>1397</v>
      </c>
      <c r="B76" s="80" t="s">
        <v>1447</v>
      </c>
      <c r="C76" s="80"/>
      <c r="D76" s="80" t="s">
        <v>1448</v>
      </c>
      <c r="E76" s="80" t="s">
        <v>1449</v>
      </c>
      <c r="F76" s="80" t="s">
        <v>1450</v>
      </c>
      <c r="G76" s="135" t="s">
        <v>1451</v>
      </c>
      <c r="H76" s="81">
        <v>0.35</v>
      </c>
      <c r="I76" s="81"/>
      <c r="J76" s="79"/>
      <c r="K76" s="81"/>
      <c r="L76" s="79"/>
      <c r="M76" s="82" t="s">
        <v>1653</v>
      </c>
      <c r="N76" s="82" t="s">
        <v>1652</v>
      </c>
      <c r="O76" s="82" t="s">
        <v>317</v>
      </c>
      <c r="P76" s="142">
        <v>0.2</v>
      </c>
      <c r="Q76" s="40">
        <f>SUMIF(Data_P!A:A,CONCATENATE(A76,"_",R$1),Data_P!J:J)</f>
        <v>569.29999999999995</v>
      </c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40"/>
      <c r="CW76" s="40"/>
      <c r="CX76" s="40"/>
      <c r="CY76" s="40"/>
      <c r="CZ76" s="40"/>
      <c r="DA76" s="40"/>
      <c r="DB76" s="40"/>
      <c r="DC76" s="40"/>
      <c r="DD76" s="40"/>
      <c r="DE76" s="40"/>
      <c r="DF76" s="40"/>
      <c r="DG76" s="40"/>
      <c r="DH76" s="40"/>
      <c r="DI76" s="40"/>
      <c r="DJ76" s="40"/>
      <c r="DK76" s="40"/>
      <c r="DL76" s="40"/>
      <c r="DM76" s="40"/>
      <c r="DN76" s="40"/>
      <c r="DO76" s="40"/>
      <c r="DP76" s="40"/>
      <c r="DQ76" s="40"/>
      <c r="DR76" s="40"/>
      <c r="DS76" s="40"/>
      <c r="DT76" s="40"/>
      <c r="DU76" s="40"/>
      <c r="DV76" s="40"/>
      <c r="DW76" s="40"/>
      <c r="DX76" s="40"/>
      <c r="DY76" s="40"/>
      <c r="DZ76" s="40"/>
      <c r="EA76" s="40"/>
      <c r="EB76" s="40"/>
      <c r="EC76" s="40"/>
      <c r="ED76" s="40"/>
      <c r="EE76" s="40"/>
      <c r="EF76" s="40"/>
      <c r="EG76" s="40"/>
      <c r="EH76" s="40"/>
      <c r="EI76" s="40"/>
      <c r="EJ76" s="40"/>
      <c r="EK76" s="40"/>
      <c r="EL76" s="40"/>
      <c r="EM76" s="40"/>
      <c r="EN76" s="40"/>
      <c r="EO76" s="40"/>
      <c r="EP76" s="40"/>
      <c r="EQ76" s="40"/>
      <c r="ER76" s="40"/>
      <c r="ES76" s="40"/>
      <c r="ET76" s="40"/>
      <c r="EU76" s="40"/>
      <c r="EV76" s="40"/>
      <c r="EW76" s="40"/>
      <c r="EX76" s="40"/>
      <c r="EY76" s="40"/>
      <c r="EZ76" s="40"/>
      <c r="FA76" s="40"/>
      <c r="FB76" s="40"/>
      <c r="FC76" s="40"/>
      <c r="FD76" s="40"/>
      <c r="FE76" s="40"/>
      <c r="FF76" s="40"/>
      <c r="FG76" s="40"/>
      <c r="FH76" s="40"/>
      <c r="FI76" s="40"/>
      <c r="FJ76" s="40"/>
      <c r="FK76" s="40"/>
      <c r="FL76" s="40"/>
      <c r="FM76" s="40"/>
      <c r="FN76" s="40"/>
      <c r="FO76" s="40"/>
      <c r="FP76" s="40"/>
      <c r="FQ76" s="40"/>
      <c r="FR76" s="40"/>
      <c r="FS76" s="40"/>
      <c r="FT76" s="40"/>
      <c r="FU76" s="40"/>
      <c r="FV76" s="40"/>
      <c r="FW76" s="40"/>
      <c r="FX76" s="40"/>
      <c r="FY76" s="40"/>
      <c r="FZ76" s="40"/>
      <c r="GA76" s="40"/>
      <c r="GB76" s="40"/>
      <c r="GC76" s="40"/>
      <c r="GD76" s="40"/>
      <c r="GE76" s="40"/>
      <c r="GF76" s="40"/>
      <c r="GG76" s="40"/>
      <c r="GH76" s="40"/>
      <c r="GI76" s="40"/>
      <c r="GJ76" s="40"/>
      <c r="GK76" s="40"/>
      <c r="GL76" s="40"/>
      <c r="GM76" s="40"/>
      <c r="GN76" s="40"/>
      <c r="GO76" s="40"/>
      <c r="GP76" s="40"/>
      <c r="GQ76" s="40"/>
      <c r="GR76" s="40"/>
      <c r="GS76" s="40"/>
      <c r="GT76" s="40"/>
      <c r="GU76" s="40"/>
      <c r="GV76" s="40"/>
      <c r="GW76" s="40"/>
      <c r="GX76" s="40"/>
      <c r="GY76" s="40"/>
      <c r="GZ76" s="40"/>
      <c r="HA76" s="40"/>
      <c r="HB76" s="40"/>
      <c r="HC76" s="40"/>
      <c r="HD76" s="40"/>
      <c r="HE76" s="40"/>
      <c r="HF76" s="40"/>
      <c r="HG76" s="40"/>
      <c r="HH76" s="40"/>
      <c r="HI76" s="40"/>
      <c r="HJ76" s="40"/>
      <c r="HK76" s="40"/>
      <c r="HL76" s="40"/>
      <c r="HM76" s="40"/>
      <c r="HN76" s="40"/>
      <c r="HO76" s="40"/>
      <c r="HP76" s="40"/>
      <c r="HQ76" s="40"/>
      <c r="HR76" s="40"/>
      <c r="HS76" s="40"/>
      <c r="HT76" s="40"/>
      <c r="HU76" s="40"/>
    </row>
    <row r="77" spans="1:229" s="41" customFormat="1" ht="28.8" customHeight="1">
      <c r="A77" s="124" t="s">
        <v>2198</v>
      </c>
      <c r="B77" s="80" t="s">
        <v>2248</v>
      </c>
      <c r="C77" s="80"/>
      <c r="D77" s="80" t="s">
        <v>2251</v>
      </c>
      <c r="E77" s="80" t="s">
        <v>2252</v>
      </c>
      <c r="F77" s="80" t="s">
        <v>2249</v>
      </c>
      <c r="G77" s="135" t="s">
        <v>2250</v>
      </c>
      <c r="H77" s="81">
        <v>0.3</v>
      </c>
      <c r="I77" s="81"/>
      <c r="J77" s="79"/>
      <c r="K77" s="81"/>
      <c r="L77" s="79"/>
      <c r="M77" s="82"/>
      <c r="N77" s="82"/>
      <c r="O77" s="82" t="s">
        <v>316</v>
      </c>
      <c r="P77" s="142">
        <v>0.2</v>
      </c>
      <c r="Q77" s="40">
        <f>SUMIF(Data_P!A:A,CONCATENATE(A77,"_",R$1),Data_P!J:J)</f>
        <v>62.3</v>
      </c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0"/>
      <c r="DN77" s="40"/>
      <c r="DO77" s="40"/>
      <c r="DP77" s="40"/>
      <c r="DQ77" s="40"/>
      <c r="DR77" s="40"/>
      <c r="DS77" s="40"/>
      <c r="DT77" s="40"/>
      <c r="DU77" s="40"/>
      <c r="DV77" s="40"/>
      <c r="DW77" s="40"/>
      <c r="DX77" s="40"/>
      <c r="DY77" s="40"/>
      <c r="DZ77" s="40"/>
      <c r="EA77" s="40"/>
      <c r="EB77" s="40"/>
      <c r="EC77" s="40"/>
      <c r="ED77" s="40"/>
      <c r="EE77" s="40"/>
      <c r="EF77" s="40"/>
      <c r="EG77" s="40"/>
      <c r="EH77" s="40"/>
      <c r="EI77" s="40"/>
      <c r="EJ77" s="40"/>
      <c r="EK77" s="40"/>
      <c r="EL77" s="40"/>
      <c r="EM77" s="40"/>
      <c r="EN77" s="40"/>
      <c r="EO77" s="40"/>
      <c r="EP77" s="40"/>
      <c r="EQ77" s="40"/>
      <c r="ER77" s="40"/>
      <c r="ES77" s="40"/>
      <c r="ET77" s="40"/>
      <c r="EU77" s="40"/>
      <c r="EV77" s="40"/>
      <c r="EW77" s="40"/>
      <c r="EX77" s="40"/>
      <c r="EY77" s="40"/>
      <c r="EZ77" s="40"/>
      <c r="FA77" s="40"/>
      <c r="FB77" s="40"/>
      <c r="FC77" s="40"/>
      <c r="FD77" s="40"/>
      <c r="FE77" s="40"/>
      <c r="FF77" s="40"/>
      <c r="FG77" s="40"/>
      <c r="FH77" s="40"/>
      <c r="FI77" s="40"/>
      <c r="FJ77" s="40"/>
      <c r="FK77" s="40"/>
      <c r="FL77" s="40"/>
      <c r="FM77" s="40"/>
      <c r="FN77" s="40"/>
      <c r="FO77" s="40"/>
      <c r="FP77" s="40"/>
      <c r="FQ77" s="40"/>
      <c r="FR77" s="40"/>
      <c r="FS77" s="40"/>
      <c r="FT77" s="40"/>
      <c r="FU77" s="40"/>
      <c r="FV77" s="40"/>
      <c r="FW77" s="40"/>
      <c r="FX77" s="40"/>
      <c r="FY77" s="40"/>
      <c r="FZ77" s="40"/>
      <c r="GA77" s="40"/>
      <c r="GB77" s="40"/>
      <c r="GC77" s="40"/>
      <c r="GD77" s="40"/>
      <c r="GE77" s="40"/>
      <c r="GF77" s="40"/>
      <c r="GG77" s="40"/>
      <c r="GH77" s="40"/>
      <c r="GI77" s="40"/>
      <c r="GJ77" s="40"/>
      <c r="GK77" s="40"/>
      <c r="GL77" s="40"/>
      <c r="GM77" s="40"/>
      <c r="GN77" s="40"/>
      <c r="GO77" s="40"/>
      <c r="GP77" s="40"/>
      <c r="GQ77" s="40"/>
      <c r="GR77" s="40"/>
      <c r="GS77" s="40"/>
      <c r="GT77" s="40"/>
      <c r="GU77" s="40"/>
      <c r="GV77" s="40"/>
      <c r="GW77" s="40"/>
      <c r="GX77" s="40"/>
      <c r="GY77" s="40"/>
      <c r="GZ77" s="40"/>
      <c r="HA77" s="40"/>
      <c r="HB77" s="40"/>
      <c r="HC77" s="40"/>
      <c r="HD77" s="40"/>
      <c r="HE77" s="40"/>
      <c r="HF77" s="40"/>
      <c r="HG77" s="40"/>
      <c r="HH77" s="40"/>
      <c r="HI77" s="40"/>
      <c r="HJ77" s="40"/>
      <c r="HK77" s="40"/>
      <c r="HL77" s="40"/>
      <c r="HM77" s="40"/>
      <c r="HN77" s="40"/>
      <c r="HO77" s="40"/>
      <c r="HP77" s="40"/>
      <c r="HQ77" s="40"/>
      <c r="HR77" s="40"/>
      <c r="HS77" s="40"/>
      <c r="HT77" s="40"/>
      <c r="HU77" s="40"/>
    </row>
    <row r="78" spans="1:229" s="41" customFormat="1" ht="28.8" customHeight="1">
      <c r="A78" s="124" t="s">
        <v>2075</v>
      </c>
      <c r="B78" s="80" t="s">
        <v>297</v>
      </c>
      <c r="C78" s="80"/>
      <c r="D78" s="80" t="s">
        <v>298</v>
      </c>
      <c r="E78" s="80" t="s">
        <v>299</v>
      </c>
      <c r="F78" s="80" t="s">
        <v>300</v>
      </c>
      <c r="G78" s="135" t="s">
        <v>2076</v>
      </c>
      <c r="H78" s="81">
        <v>0.55000000000000004</v>
      </c>
      <c r="I78" s="81">
        <v>-0.15</v>
      </c>
      <c r="J78" s="79" t="s">
        <v>301</v>
      </c>
      <c r="K78" s="81">
        <v>-0.2</v>
      </c>
      <c r="L78" s="79" t="s">
        <v>302</v>
      </c>
      <c r="M78" s="82" t="s">
        <v>328</v>
      </c>
      <c r="N78" s="82" t="s">
        <v>329</v>
      </c>
      <c r="O78" s="82" t="s">
        <v>316</v>
      </c>
      <c r="P78" s="142">
        <v>0.2</v>
      </c>
      <c r="Q78" s="40">
        <f>SUMIF(Data_P!A:A,CONCATENATE(A78,"_",R$1),Data_P!J:J)</f>
        <v>1759.1700000000003</v>
      </c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40"/>
      <c r="CF78" s="40"/>
      <c r="CG78" s="40"/>
      <c r="CH78" s="40"/>
      <c r="CI78" s="40"/>
      <c r="CJ78" s="40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40"/>
      <c r="CW78" s="40"/>
      <c r="CX78" s="40"/>
      <c r="CY78" s="40"/>
      <c r="CZ78" s="40"/>
      <c r="DA78" s="40"/>
      <c r="DB78" s="40"/>
      <c r="DC78" s="40"/>
      <c r="DD78" s="40"/>
      <c r="DE78" s="40"/>
      <c r="DF78" s="40"/>
      <c r="DG78" s="40"/>
      <c r="DH78" s="40"/>
      <c r="DI78" s="40"/>
      <c r="DJ78" s="40"/>
      <c r="DK78" s="40"/>
      <c r="DL78" s="40"/>
      <c r="DM78" s="40"/>
      <c r="DN78" s="40"/>
      <c r="DO78" s="40"/>
      <c r="DP78" s="40"/>
      <c r="DQ78" s="40"/>
      <c r="DR78" s="40"/>
      <c r="DS78" s="40"/>
      <c r="DT78" s="40"/>
      <c r="DU78" s="40"/>
      <c r="DV78" s="40"/>
      <c r="DW78" s="40"/>
      <c r="DX78" s="40"/>
      <c r="DY78" s="40"/>
      <c r="DZ78" s="40"/>
      <c r="EA78" s="40"/>
      <c r="EB78" s="40"/>
      <c r="EC78" s="40"/>
      <c r="ED78" s="40"/>
      <c r="EE78" s="40"/>
      <c r="EF78" s="40"/>
      <c r="EG78" s="40"/>
      <c r="EH78" s="40"/>
      <c r="EI78" s="40"/>
      <c r="EJ78" s="40"/>
      <c r="EK78" s="40"/>
      <c r="EL78" s="40"/>
      <c r="EM78" s="40"/>
      <c r="EN78" s="40"/>
      <c r="EO78" s="40"/>
      <c r="EP78" s="40"/>
      <c r="EQ78" s="40"/>
      <c r="ER78" s="40"/>
      <c r="ES78" s="40"/>
      <c r="ET78" s="40"/>
      <c r="EU78" s="40"/>
      <c r="EV78" s="40"/>
      <c r="EW78" s="40"/>
      <c r="EX78" s="40"/>
      <c r="EY78" s="40"/>
      <c r="EZ78" s="40"/>
      <c r="FA78" s="40"/>
      <c r="FB78" s="40"/>
      <c r="FC78" s="40"/>
      <c r="FD78" s="40"/>
      <c r="FE78" s="40"/>
      <c r="FF78" s="40"/>
      <c r="FG78" s="40"/>
      <c r="FH78" s="40"/>
      <c r="FI78" s="40"/>
      <c r="FJ78" s="40"/>
      <c r="FK78" s="40"/>
      <c r="FL78" s="40"/>
      <c r="FM78" s="40"/>
      <c r="FN78" s="40"/>
      <c r="FO78" s="40"/>
      <c r="FP78" s="40"/>
      <c r="FQ78" s="40"/>
      <c r="FR78" s="40"/>
      <c r="FS78" s="40"/>
      <c r="FT78" s="40"/>
      <c r="FU78" s="40"/>
      <c r="FV78" s="40"/>
      <c r="FW78" s="40"/>
      <c r="FX78" s="40"/>
      <c r="FY78" s="40"/>
      <c r="FZ78" s="40"/>
      <c r="GA78" s="40"/>
      <c r="GB78" s="40"/>
      <c r="GC78" s="40"/>
      <c r="GD78" s="40"/>
      <c r="GE78" s="40"/>
      <c r="GF78" s="40"/>
      <c r="GG78" s="40"/>
      <c r="GH78" s="40"/>
      <c r="GI78" s="40"/>
      <c r="GJ78" s="40"/>
      <c r="GK78" s="40"/>
      <c r="GL78" s="40"/>
      <c r="GM78" s="40"/>
      <c r="GN78" s="40"/>
      <c r="GO78" s="40"/>
      <c r="GP78" s="40"/>
      <c r="GQ78" s="40"/>
      <c r="GR78" s="40"/>
      <c r="GS78" s="40"/>
      <c r="GT78" s="40"/>
      <c r="GU78" s="40"/>
      <c r="GV78" s="40"/>
      <c r="GW78" s="40"/>
      <c r="GX78" s="40"/>
      <c r="GY78" s="40"/>
      <c r="GZ78" s="40"/>
      <c r="HA78" s="40"/>
      <c r="HB78" s="40"/>
      <c r="HC78" s="40"/>
      <c r="HD78" s="40"/>
      <c r="HE78" s="40"/>
      <c r="HF78" s="40"/>
      <c r="HG78" s="40"/>
      <c r="HH78" s="40"/>
      <c r="HI78" s="40"/>
      <c r="HJ78" s="40"/>
      <c r="HK78" s="40"/>
      <c r="HL78" s="40"/>
      <c r="HM78" s="40"/>
      <c r="HN78" s="40"/>
      <c r="HO78" s="40"/>
      <c r="HP78" s="40"/>
      <c r="HQ78" s="40"/>
      <c r="HR78" s="40"/>
      <c r="HS78" s="40"/>
      <c r="HT78" s="40"/>
      <c r="HU78" s="40"/>
    </row>
    <row r="79" spans="1:229" s="41" customFormat="1" ht="28.8" customHeight="1">
      <c r="A79" s="124" t="s">
        <v>295</v>
      </c>
      <c r="B79" s="80" t="s">
        <v>296</v>
      </c>
      <c r="C79" s="80"/>
      <c r="D79" s="80" t="s">
        <v>298</v>
      </c>
      <c r="E79" s="80" t="s">
        <v>299</v>
      </c>
      <c r="F79" s="80" t="s">
        <v>300</v>
      </c>
      <c r="G79" s="135" t="s">
        <v>2021</v>
      </c>
      <c r="H79" s="81">
        <v>0.55000000000000004</v>
      </c>
      <c r="I79" s="81">
        <v>-0.15</v>
      </c>
      <c r="J79" s="79" t="s">
        <v>301</v>
      </c>
      <c r="K79" s="81">
        <v>-0.2</v>
      </c>
      <c r="L79" s="79" t="s">
        <v>302</v>
      </c>
      <c r="M79" s="82" t="s">
        <v>328</v>
      </c>
      <c r="N79" s="82" t="s">
        <v>329</v>
      </c>
      <c r="O79" s="82" t="s">
        <v>316</v>
      </c>
      <c r="P79" s="142">
        <v>0.2</v>
      </c>
      <c r="Q79" s="40">
        <f>SUMIF(Data_P!A:A,CONCATENATE(A79,"_",R$1),Data_P!J:J)</f>
        <v>1208.48</v>
      </c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/>
      <c r="BO79" s="40"/>
      <c r="BP79" s="40"/>
      <c r="BQ79" s="40"/>
      <c r="BR79" s="40"/>
      <c r="BS79" s="40"/>
      <c r="BT79" s="40"/>
      <c r="BU79" s="40"/>
      <c r="BV79" s="40"/>
      <c r="BW79" s="40"/>
      <c r="BX79" s="40"/>
      <c r="BY79" s="40"/>
      <c r="BZ79" s="40"/>
      <c r="CA79" s="40"/>
      <c r="CB79" s="40"/>
      <c r="CC79" s="40"/>
      <c r="CD79" s="40"/>
      <c r="CE79" s="40"/>
      <c r="CF79" s="40"/>
      <c r="CG79" s="40"/>
      <c r="CH79" s="40"/>
      <c r="CI79" s="40"/>
      <c r="CJ79" s="40"/>
      <c r="CK79" s="40"/>
      <c r="CL79" s="40"/>
      <c r="CM79" s="40"/>
      <c r="CN79" s="40"/>
      <c r="CO79" s="40"/>
      <c r="CP79" s="40"/>
      <c r="CQ79" s="40"/>
      <c r="CR79" s="40"/>
      <c r="CS79" s="40"/>
      <c r="CT79" s="40"/>
      <c r="CU79" s="40"/>
      <c r="CV79" s="40"/>
      <c r="CW79" s="40"/>
      <c r="CX79" s="40"/>
      <c r="CY79" s="40"/>
      <c r="CZ79" s="40"/>
      <c r="DA79" s="40"/>
      <c r="DB79" s="40"/>
      <c r="DC79" s="40"/>
      <c r="DD79" s="40"/>
      <c r="DE79" s="40"/>
      <c r="DF79" s="40"/>
      <c r="DG79" s="40"/>
      <c r="DH79" s="40"/>
      <c r="DI79" s="40"/>
      <c r="DJ79" s="40"/>
      <c r="DK79" s="40"/>
      <c r="DL79" s="40"/>
      <c r="DM79" s="40"/>
      <c r="DN79" s="40"/>
      <c r="DO79" s="40"/>
      <c r="DP79" s="40"/>
      <c r="DQ79" s="40"/>
      <c r="DR79" s="40"/>
      <c r="DS79" s="40"/>
      <c r="DT79" s="40"/>
      <c r="DU79" s="40"/>
      <c r="DV79" s="40"/>
      <c r="DW79" s="40"/>
      <c r="DX79" s="40"/>
      <c r="DY79" s="40"/>
      <c r="DZ79" s="40"/>
      <c r="EA79" s="40"/>
      <c r="EB79" s="40"/>
      <c r="EC79" s="40"/>
      <c r="ED79" s="40"/>
      <c r="EE79" s="40"/>
      <c r="EF79" s="40"/>
      <c r="EG79" s="40"/>
      <c r="EH79" s="40"/>
      <c r="EI79" s="40"/>
      <c r="EJ79" s="40"/>
      <c r="EK79" s="40"/>
      <c r="EL79" s="40"/>
      <c r="EM79" s="40"/>
      <c r="EN79" s="40"/>
      <c r="EO79" s="40"/>
      <c r="EP79" s="40"/>
      <c r="EQ79" s="40"/>
      <c r="ER79" s="40"/>
      <c r="ES79" s="40"/>
      <c r="ET79" s="40"/>
      <c r="EU79" s="40"/>
      <c r="EV79" s="40"/>
      <c r="EW79" s="40"/>
      <c r="EX79" s="40"/>
      <c r="EY79" s="40"/>
      <c r="EZ79" s="40"/>
      <c r="FA79" s="40"/>
      <c r="FB79" s="40"/>
      <c r="FC79" s="40"/>
      <c r="FD79" s="40"/>
      <c r="FE79" s="40"/>
      <c r="FF79" s="40"/>
      <c r="FG79" s="40"/>
      <c r="FH79" s="40"/>
      <c r="FI79" s="40"/>
      <c r="FJ79" s="40"/>
      <c r="FK79" s="40"/>
      <c r="FL79" s="40"/>
      <c r="FM79" s="40"/>
      <c r="FN79" s="40"/>
      <c r="FO79" s="40"/>
      <c r="FP79" s="40"/>
      <c r="FQ79" s="40"/>
      <c r="FR79" s="40"/>
      <c r="FS79" s="40"/>
      <c r="FT79" s="40"/>
      <c r="FU79" s="40"/>
      <c r="FV79" s="40"/>
      <c r="FW79" s="40"/>
      <c r="FX79" s="40"/>
      <c r="FY79" s="40"/>
      <c r="FZ79" s="40"/>
      <c r="GA79" s="40"/>
      <c r="GB79" s="40"/>
      <c r="GC79" s="40"/>
      <c r="GD79" s="40"/>
      <c r="GE79" s="40"/>
      <c r="GF79" s="40"/>
      <c r="GG79" s="40"/>
      <c r="GH79" s="40"/>
      <c r="GI79" s="40"/>
      <c r="GJ79" s="40"/>
      <c r="GK79" s="40"/>
      <c r="GL79" s="40"/>
      <c r="GM79" s="40"/>
      <c r="GN79" s="40"/>
      <c r="GO79" s="40"/>
      <c r="GP79" s="40"/>
      <c r="GQ79" s="40"/>
      <c r="GR79" s="40"/>
      <c r="GS79" s="40"/>
      <c r="GT79" s="40"/>
      <c r="GU79" s="40"/>
      <c r="GV79" s="40"/>
      <c r="GW79" s="40"/>
      <c r="GX79" s="40"/>
      <c r="GY79" s="40"/>
      <c r="GZ79" s="40"/>
      <c r="HA79" s="40"/>
      <c r="HB79" s="40"/>
      <c r="HC79" s="40"/>
      <c r="HD79" s="40"/>
      <c r="HE79" s="40"/>
      <c r="HF79" s="40"/>
      <c r="HG79" s="40"/>
      <c r="HH79" s="40"/>
      <c r="HI79" s="40"/>
      <c r="HJ79" s="40"/>
      <c r="HK79" s="40"/>
      <c r="HL79" s="40"/>
      <c r="HM79" s="40"/>
      <c r="HN79" s="40"/>
      <c r="HO79" s="40"/>
      <c r="HP79" s="40"/>
      <c r="HQ79" s="40"/>
      <c r="HR79" s="40"/>
      <c r="HS79" s="40"/>
      <c r="HT79" s="40"/>
      <c r="HU79" s="40"/>
    </row>
    <row r="80" spans="1:229" s="41" customFormat="1" ht="28.8" customHeight="1">
      <c r="A80" s="124" t="s">
        <v>1082</v>
      </c>
      <c r="B80" s="80" t="s">
        <v>589</v>
      </c>
      <c r="C80" s="80"/>
      <c r="D80" s="80" t="s">
        <v>916</v>
      </c>
      <c r="E80" s="80" t="s">
        <v>891</v>
      </c>
      <c r="F80" s="80" t="s">
        <v>1322</v>
      </c>
      <c r="G80" s="135" t="s">
        <v>2077</v>
      </c>
      <c r="H80" s="81">
        <v>0.4</v>
      </c>
      <c r="I80" s="81" t="s">
        <v>590</v>
      </c>
      <c r="J80" s="79" t="s">
        <v>591</v>
      </c>
      <c r="K80" s="81"/>
      <c r="L80" s="79"/>
      <c r="M80" s="82" t="s">
        <v>1842</v>
      </c>
      <c r="N80" s="82" t="s">
        <v>1431</v>
      </c>
      <c r="O80" s="82" t="s">
        <v>317</v>
      </c>
      <c r="P80" s="142">
        <v>0.2</v>
      </c>
      <c r="Q80" s="40">
        <f>SUMIF(Data_P!A:A,CONCATENATE(A80,"_",R$1),Data_P!J:J)</f>
        <v>15600.82</v>
      </c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  <c r="BO80" s="40"/>
      <c r="BP80" s="40"/>
      <c r="BQ80" s="40"/>
      <c r="BR80" s="40"/>
      <c r="BS80" s="40"/>
      <c r="BT80" s="40"/>
      <c r="BU80" s="40"/>
      <c r="BV80" s="40"/>
      <c r="BW80" s="40"/>
      <c r="BX80" s="40"/>
      <c r="BY80" s="40"/>
      <c r="BZ80" s="40"/>
      <c r="CA80" s="40"/>
      <c r="CB80" s="40"/>
      <c r="CC80" s="40"/>
      <c r="CD80" s="40"/>
      <c r="CE80" s="40"/>
      <c r="CF80" s="40"/>
      <c r="CG80" s="40"/>
      <c r="CH80" s="40"/>
      <c r="CI80" s="40"/>
      <c r="CJ80" s="40"/>
      <c r="CK80" s="40"/>
      <c r="CL80" s="40"/>
      <c r="CM80" s="40"/>
      <c r="CN80" s="40"/>
      <c r="CO80" s="40"/>
      <c r="CP80" s="40"/>
      <c r="CQ80" s="40"/>
      <c r="CR80" s="40"/>
      <c r="CS80" s="40"/>
      <c r="CT80" s="40"/>
      <c r="CU80" s="40"/>
      <c r="CV80" s="40"/>
      <c r="CW80" s="40"/>
      <c r="CX80" s="40"/>
      <c r="CY80" s="40"/>
      <c r="CZ80" s="40"/>
      <c r="DA80" s="40"/>
      <c r="DB80" s="40"/>
      <c r="DC80" s="40"/>
      <c r="DD80" s="40"/>
      <c r="DE80" s="40"/>
      <c r="DF80" s="40"/>
      <c r="DG80" s="40"/>
      <c r="DH80" s="40"/>
      <c r="DI80" s="40"/>
      <c r="DJ80" s="40"/>
      <c r="DK80" s="40"/>
      <c r="DL80" s="40"/>
      <c r="DM80" s="40"/>
      <c r="DN80" s="40"/>
      <c r="DO80" s="40"/>
      <c r="DP80" s="40"/>
      <c r="DQ80" s="40"/>
      <c r="DR80" s="40"/>
      <c r="DS80" s="40"/>
      <c r="DT80" s="40"/>
      <c r="DU80" s="40"/>
      <c r="DV80" s="40"/>
      <c r="DW80" s="40"/>
      <c r="DX80" s="40"/>
      <c r="DY80" s="40"/>
      <c r="DZ80" s="40"/>
      <c r="EA80" s="40"/>
      <c r="EB80" s="40"/>
      <c r="EC80" s="40"/>
      <c r="ED80" s="40"/>
      <c r="EE80" s="40"/>
      <c r="EF80" s="40"/>
      <c r="EG80" s="40"/>
      <c r="EH80" s="40"/>
      <c r="EI80" s="40"/>
      <c r="EJ80" s="40"/>
      <c r="EK80" s="40"/>
      <c r="EL80" s="40"/>
      <c r="EM80" s="40"/>
      <c r="EN80" s="40"/>
      <c r="EO80" s="40"/>
      <c r="EP80" s="40"/>
      <c r="EQ80" s="40"/>
      <c r="ER80" s="40"/>
      <c r="ES80" s="40"/>
      <c r="ET80" s="40"/>
      <c r="EU80" s="40"/>
      <c r="EV80" s="40"/>
      <c r="EW80" s="40"/>
      <c r="EX80" s="40"/>
      <c r="EY80" s="40"/>
      <c r="EZ80" s="40"/>
      <c r="FA80" s="40"/>
      <c r="FB80" s="40"/>
      <c r="FC80" s="40"/>
      <c r="FD80" s="40"/>
      <c r="FE80" s="40"/>
      <c r="FF80" s="40"/>
      <c r="FG80" s="40"/>
      <c r="FH80" s="40"/>
      <c r="FI80" s="40"/>
      <c r="FJ80" s="40"/>
      <c r="FK80" s="40"/>
      <c r="FL80" s="40"/>
      <c r="FM80" s="40"/>
      <c r="FN80" s="40"/>
      <c r="FO80" s="40"/>
      <c r="FP80" s="40"/>
      <c r="FQ80" s="40"/>
      <c r="FR80" s="40"/>
      <c r="FS80" s="40"/>
      <c r="FT80" s="40"/>
      <c r="FU80" s="40"/>
      <c r="FV80" s="40"/>
      <c r="FW80" s="40"/>
      <c r="FX80" s="40"/>
      <c r="FY80" s="40"/>
      <c r="FZ80" s="40"/>
      <c r="GA80" s="40"/>
      <c r="GB80" s="40"/>
      <c r="GC80" s="40"/>
      <c r="GD80" s="40"/>
      <c r="GE80" s="40"/>
      <c r="GF80" s="40"/>
      <c r="GG80" s="40"/>
      <c r="GH80" s="40"/>
      <c r="GI80" s="40"/>
      <c r="GJ80" s="40"/>
      <c r="GK80" s="40"/>
      <c r="GL80" s="40"/>
      <c r="GM80" s="40"/>
      <c r="GN80" s="40"/>
      <c r="GO80" s="40"/>
      <c r="GP80" s="40"/>
      <c r="GQ80" s="40"/>
      <c r="GR80" s="40"/>
      <c r="GS80" s="40"/>
      <c r="GT80" s="40"/>
      <c r="GU80" s="40"/>
      <c r="GV80" s="40"/>
      <c r="GW80" s="40"/>
      <c r="GX80" s="40"/>
      <c r="GY80" s="40"/>
      <c r="GZ80" s="40"/>
      <c r="HA80" s="40"/>
      <c r="HB80" s="40"/>
      <c r="HC80" s="40"/>
      <c r="HD80" s="40"/>
      <c r="HE80" s="40"/>
      <c r="HF80" s="40"/>
      <c r="HG80" s="40"/>
      <c r="HH80" s="40"/>
      <c r="HI80" s="40"/>
      <c r="HJ80" s="40"/>
      <c r="HK80" s="40"/>
      <c r="HL80" s="40"/>
      <c r="HM80" s="40"/>
      <c r="HN80" s="40"/>
      <c r="HO80" s="40"/>
      <c r="HP80" s="40"/>
      <c r="HQ80" s="40"/>
      <c r="HR80" s="40"/>
      <c r="HS80" s="40"/>
      <c r="HT80" s="40"/>
      <c r="HU80" s="40"/>
    </row>
    <row r="81" spans="1:229" s="41" customFormat="1" ht="28.8" customHeight="1">
      <c r="A81" s="124" t="s">
        <v>1219</v>
      </c>
      <c r="B81" s="80" t="s">
        <v>1249</v>
      </c>
      <c r="C81" s="80"/>
      <c r="D81" s="80" t="s">
        <v>1220</v>
      </c>
      <c r="E81" s="80" t="s">
        <v>337</v>
      </c>
      <c r="F81" s="80" t="s">
        <v>1221</v>
      </c>
      <c r="G81" s="135" t="s">
        <v>1222</v>
      </c>
      <c r="H81" s="81">
        <v>0.4</v>
      </c>
      <c r="I81" s="81"/>
      <c r="J81" s="79"/>
      <c r="K81" s="81"/>
      <c r="L81" s="79"/>
      <c r="M81" s="82" t="s">
        <v>1223</v>
      </c>
      <c r="N81" s="82" t="s">
        <v>1224</v>
      </c>
      <c r="O81" s="82" t="s">
        <v>316</v>
      </c>
      <c r="P81" s="142">
        <v>0.2</v>
      </c>
      <c r="Q81" s="40">
        <f>SUMIF(Data_P!A:A,CONCATENATE(A81,"_",R$1),Data_P!J:J)</f>
        <v>635.41999999999996</v>
      </c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/>
      <c r="BO81" s="40"/>
      <c r="BP81" s="40"/>
      <c r="BQ81" s="40"/>
      <c r="BR81" s="40"/>
      <c r="BS81" s="40"/>
      <c r="BT81" s="40"/>
      <c r="BU81" s="40"/>
      <c r="BV81" s="40"/>
      <c r="BW81" s="40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  <c r="CM81" s="40"/>
      <c r="CN81" s="40"/>
      <c r="CO81" s="40"/>
      <c r="CP81" s="40"/>
      <c r="CQ81" s="40"/>
      <c r="CR81" s="40"/>
      <c r="CS81" s="40"/>
      <c r="CT81" s="40"/>
      <c r="CU81" s="40"/>
      <c r="CV81" s="40"/>
      <c r="CW81" s="40"/>
      <c r="CX81" s="40"/>
      <c r="CY81" s="40"/>
      <c r="CZ81" s="40"/>
      <c r="DA81" s="40"/>
      <c r="DB81" s="40"/>
      <c r="DC81" s="40"/>
      <c r="DD81" s="40"/>
      <c r="DE81" s="40"/>
      <c r="DF81" s="40"/>
      <c r="DG81" s="40"/>
      <c r="DH81" s="40"/>
      <c r="DI81" s="40"/>
      <c r="DJ81" s="40"/>
      <c r="DK81" s="40"/>
      <c r="DL81" s="40"/>
      <c r="DM81" s="40"/>
      <c r="DN81" s="40"/>
      <c r="DO81" s="40"/>
      <c r="DP81" s="40"/>
      <c r="DQ81" s="40"/>
      <c r="DR81" s="40"/>
      <c r="DS81" s="40"/>
      <c r="DT81" s="40"/>
      <c r="DU81" s="40"/>
      <c r="DV81" s="40"/>
      <c r="DW81" s="40"/>
      <c r="DX81" s="40"/>
      <c r="DY81" s="40"/>
      <c r="DZ81" s="40"/>
      <c r="EA81" s="40"/>
      <c r="EB81" s="40"/>
      <c r="EC81" s="40"/>
      <c r="ED81" s="40"/>
      <c r="EE81" s="40"/>
      <c r="EF81" s="40"/>
      <c r="EG81" s="40"/>
      <c r="EH81" s="40"/>
      <c r="EI81" s="40"/>
      <c r="EJ81" s="40"/>
      <c r="EK81" s="40"/>
      <c r="EL81" s="40"/>
      <c r="EM81" s="40"/>
      <c r="EN81" s="40"/>
      <c r="EO81" s="40"/>
      <c r="EP81" s="40"/>
      <c r="EQ81" s="40"/>
      <c r="ER81" s="40"/>
      <c r="ES81" s="40"/>
      <c r="ET81" s="40"/>
      <c r="EU81" s="40"/>
      <c r="EV81" s="40"/>
      <c r="EW81" s="40"/>
      <c r="EX81" s="40"/>
      <c r="EY81" s="40"/>
      <c r="EZ81" s="40"/>
      <c r="FA81" s="40"/>
      <c r="FB81" s="40"/>
      <c r="FC81" s="40"/>
      <c r="FD81" s="40"/>
      <c r="FE81" s="40"/>
      <c r="FF81" s="40"/>
      <c r="FG81" s="40"/>
      <c r="FH81" s="40"/>
      <c r="FI81" s="40"/>
      <c r="FJ81" s="40"/>
      <c r="FK81" s="40"/>
      <c r="FL81" s="40"/>
      <c r="FM81" s="40"/>
      <c r="FN81" s="40"/>
      <c r="FO81" s="40"/>
      <c r="FP81" s="40"/>
      <c r="FQ81" s="40"/>
      <c r="FR81" s="40"/>
      <c r="FS81" s="40"/>
      <c r="FT81" s="40"/>
      <c r="FU81" s="40"/>
      <c r="FV81" s="40"/>
      <c r="FW81" s="40"/>
      <c r="FX81" s="40"/>
      <c r="FY81" s="40"/>
      <c r="FZ81" s="40"/>
      <c r="GA81" s="40"/>
      <c r="GB81" s="40"/>
      <c r="GC81" s="40"/>
      <c r="GD81" s="40"/>
      <c r="GE81" s="40"/>
      <c r="GF81" s="40"/>
      <c r="GG81" s="40"/>
      <c r="GH81" s="40"/>
      <c r="GI81" s="40"/>
      <c r="GJ81" s="40"/>
      <c r="GK81" s="40"/>
      <c r="GL81" s="40"/>
      <c r="GM81" s="40"/>
      <c r="GN81" s="40"/>
      <c r="GO81" s="40"/>
      <c r="GP81" s="40"/>
      <c r="GQ81" s="40"/>
      <c r="GR81" s="40"/>
      <c r="GS81" s="40"/>
      <c r="GT81" s="40"/>
      <c r="GU81" s="40"/>
      <c r="GV81" s="40"/>
      <c r="GW81" s="40"/>
      <c r="GX81" s="40"/>
      <c r="GY81" s="40"/>
      <c r="GZ81" s="40"/>
      <c r="HA81" s="40"/>
      <c r="HB81" s="40"/>
      <c r="HC81" s="40"/>
      <c r="HD81" s="40"/>
      <c r="HE81" s="40"/>
      <c r="HF81" s="40"/>
      <c r="HG81" s="40"/>
      <c r="HH81" s="40"/>
      <c r="HI81" s="40"/>
      <c r="HJ81" s="40"/>
      <c r="HK81" s="40"/>
      <c r="HL81" s="40"/>
      <c r="HM81" s="40"/>
      <c r="HN81" s="40"/>
      <c r="HO81" s="40"/>
      <c r="HP81" s="40"/>
      <c r="HQ81" s="40"/>
      <c r="HR81" s="40"/>
      <c r="HS81" s="40"/>
      <c r="HT81" s="40"/>
      <c r="HU81" s="40"/>
    </row>
    <row r="82" spans="1:229" s="41" customFormat="1" ht="28.8" customHeight="1">
      <c r="A82" s="124" t="s">
        <v>2078</v>
      </c>
      <c r="B82" s="80" t="s">
        <v>333</v>
      </c>
      <c r="C82" s="80"/>
      <c r="D82" s="80" t="s">
        <v>334</v>
      </c>
      <c r="E82" s="80" t="s">
        <v>259</v>
      </c>
      <c r="F82" s="80" t="s">
        <v>335</v>
      </c>
      <c r="G82" s="135" t="s">
        <v>336</v>
      </c>
      <c r="H82" s="81">
        <v>0.5</v>
      </c>
      <c r="I82" s="81">
        <v>-0.1</v>
      </c>
      <c r="J82" s="79" t="s">
        <v>194</v>
      </c>
      <c r="K82" s="81"/>
      <c r="L82" s="79"/>
      <c r="M82" s="82" t="s">
        <v>464</v>
      </c>
      <c r="N82" s="82" t="s">
        <v>262</v>
      </c>
      <c r="O82" s="82" t="s">
        <v>316</v>
      </c>
      <c r="P82" s="142">
        <v>0.2</v>
      </c>
      <c r="Q82" s="40">
        <f>SUMIF(Data_P!A:A,CONCATENATE(A82,"_",R$1),Data_P!J:J)</f>
        <v>2840.48</v>
      </c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  <c r="CM82" s="40"/>
      <c r="CN82" s="40"/>
      <c r="CO82" s="40"/>
      <c r="CP82" s="40"/>
      <c r="CQ82" s="40"/>
      <c r="CR82" s="40"/>
      <c r="CS82" s="40"/>
      <c r="CT82" s="40"/>
      <c r="CU82" s="40"/>
      <c r="CV82" s="40"/>
      <c r="CW82" s="40"/>
      <c r="CX82" s="40"/>
      <c r="CY82" s="40"/>
      <c r="CZ82" s="40"/>
      <c r="DA82" s="40"/>
      <c r="DB82" s="40"/>
      <c r="DC82" s="40"/>
      <c r="DD82" s="40"/>
      <c r="DE82" s="40"/>
      <c r="DF82" s="40"/>
      <c r="DG82" s="40"/>
      <c r="DH82" s="40"/>
      <c r="DI82" s="40"/>
      <c r="DJ82" s="40"/>
      <c r="DK82" s="40"/>
      <c r="DL82" s="40"/>
      <c r="DM82" s="40"/>
      <c r="DN82" s="40"/>
      <c r="DO82" s="40"/>
      <c r="DP82" s="40"/>
      <c r="DQ82" s="40"/>
      <c r="DR82" s="40"/>
      <c r="DS82" s="40"/>
      <c r="DT82" s="40"/>
      <c r="DU82" s="40"/>
      <c r="DV82" s="40"/>
      <c r="DW82" s="40"/>
      <c r="DX82" s="40"/>
      <c r="DY82" s="40"/>
      <c r="DZ82" s="40"/>
      <c r="EA82" s="40"/>
      <c r="EB82" s="40"/>
      <c r="EC82" s="40"/>
      <c r="ED82" s="40"/>
      <c r="EE82" s="40"/>
      <c r="EF82" s="40"/>
      <c r="EG82" s="40"/>
      <c r="EH82" s="40"/>
      <c r="EI82" s="40"/>
      <c r="EJ82" s="40"/>
      <c r="EK82" s="40"/>
      <c r="EL82" s="40"/>
      <c r="EM82" s="40"/>
      <c r="EN82" s="40"/>
      <c r="EO82" s="40"/>
      <c r="EP82" s="40"/>
      <c r="EQ82" s="40"/>
      <c r="ER82" s="40"/>
      <c r="ES82" s="40"/>
      <c r="ET82" s="40"/>
      <c r="EU82" s="40"/>
      <c r="EV82" s="40"/>
      <c r="EW82" s="40"/>
      <c r="EX82" s="40"/>
      <c r="EY82" s="40"/>
      <c r="EZ82" s="40"/>
      <c r="FA82" s="40"/>
      <c r="FB82" s="40"/>
      <c r="FC82" s="40"/>
      <c r="FD82" s="40"/>
      <c r="FE82" s="40"/>
      <c r="FF82" s="40"/>
      <c r="FG82" s="40"/>
      <c r="FH82" s="40"/>
      <c r="FI82" s="40"/>
      <c r="FJ82" s="40"/>
      <c r="FK82" s="40"/>
      <c r="FL82" s="40"/>
      <c r="FM82" s="40"/>
      <c r="FN82" s="40"/>
      <c r="FO82" s="40"/>
      <c r="FP82" s="40"/>
      <c r="FQ82" s="40"/>
      <c r="FR82" s="40"/>
      <c r="FS82" s="40"/>
      <c r="FT82" s="40"/>
      <c r="FU82" s="40"/>
      <c r="FV82" s="40"/>
      <c r="FW82" s="40"/>
      <c r="FX82" s="40"/>
      <c r="FY82" s="40"/>
      <c r="FZ82" s="40"/>
      <c r="GA82" s="40"/>
      <c r="GB82" s="40"/>
      <c r="GC82" s="40"/>
      <c r="GD82" s="40"/>
      <c r="GE82" s="40"/>
      <c r="GF82" s="40"/>
      <c r="GG82" s="40"/>
      <c r="GH82" s="40"/>
      <c r="GI82" s="40"/>
      <c r="GJ82" s="40"/>
      <c r="GK82" s="40"/>
      <c r="GL82" s="40"/>
      <c r="GM82" s="40"/>
      <c r="GN82" s="40"/>
      <c r="GO82" s="40"/>
      <c r="GP82" s="40"/>
      <c r="GQ82" s="40"/>
      <c r="GR82" s="40"/>
      <c r="GS82" s="40"/>
      <c r="GT82" s="40"/>
      <c r="GU82" s="40"/>
      <c r="GV82" s="40"/>
      <c r="GW82" s="40"/>
      <c r="GX82" s="40"/>
      <c r="GY82" s="40"/>
      <c r="GZ82" s="40"/>
      <c r="HA82" s="40"/>
      <c r="HB82" s="40"/>
      <c r="HC82" s="40"/>
      <c r="HD82" s="40"/>
      <c r="HE82" s="40"/>
      <c r="HF82" s="40"/>
      <c r="HG82" s="40"/>
      <c r="HH82" s="40"/>
      <c r="HI82" s="40"/>
      <c r="HJ82" s="40"/>
      <c r="HK82" s="40"/>
      <c r="HL82" s="40"/>
      <c r="HM82" s="40"/>
      <c r="HN82" s="40"/>
      <c r="HO82" s="40"/>
      <c r="HP82" s="40"/>
      <c r="HQ82" s="40"/>
      <c r="HR82" s="40"/>
      <c r="HS82" s="40"/>
      <c r="HT82" s="40"/>
      <c r="HU82" s="40"/>
    </row>
    <row r="83" spans="1:229" s="41" customFormat="1" ht="28.8" customHeight="1">
      <c r="A83" s="124" t="s">
        <v>2340</v>
      </c>
      <c r="B83" s="80" t="s">
        <v>333</v>
      </c>
      <c r="C83" s="80" t="s">
        <v>2364</v>
      </c>
      <c r="D83" s="80" t="s">
        <v>2353</v>
      </c>
      <c r="E83" s="80" t="s">
        <v>2354</v>
      </c>
      <c r="F83" s="135" t="s">
        <v>2355</v>
      </c>
      <c r="G83" s="81" t="s">
        <v>2356</v>
      </c>
      <c r="H83" s="81" t="s">
        <v>2357</v>
      </c>
      <c r="I83" s="81" t="s">
        <v>2357</v>
      </c>
      <c r="J83" s="79" t="s">
        <v>2357</v>
      </c>
      <c r="K83" s="81" t="s">
        <v>2357</v>
      </c>
      <c r="L83" s="79" t="s">
        <v>2357</v>
      </c>
      <c r="M83" s="82" t="s">
        <v>2362</v>
      </c>
      <c r="N83" s="82" t="s">
        <v>897</v>
      </c>
      <c r="O83" s="82" t="s">
        <v>316</v>
      </c>
      <c r="P83" s="142">
        <v>0.2</v>
      </c>
      <c r="Q83" s="40">
        <f>SUMIF(Data_P!A:A,CONCATENATE(A83,"_",R$1),Data_P!J:J)</f>
        <v>0</v>
      </c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  <c r="CM83" s="40"/>
      <c r="CN83" s="40"/>
      <c r="CO83" s="40"/>
      <c r="CP83" s="40"/>
      <c r="CQ83" s="40"/>
      <c r="CR83" s="40"/>
      <c r="CS83" s="40"/>
      <c r="CT83" s="40"/>
      <c r="CU83" s="40"/>
      <c r="CV83" s="40"/>
      <c r="CW83" s="40"/>
      <c r="CX83" s="40"/>
      <c r="CY83" s="40"/>
      <c r="CZ83" s="40"/>
      <c r="DA83" s="40"/>
      <c r="DB83" s="40"/>
      <c r="DC83" s="40"/>
      <c r="DD83" s="40"/>
      <c r="DE83" s="40"/>
      <c r="DF83" s="40"/>
      <c r="DG83" s="40"/>
      <c r="DH83" s="40"/>
      <c r="DI83" s="40"/>
      <c r="DJ83" s="40"/>
      <c r="DK83" s="40"/>
      <c r="DL83" s="40"/>
      <c r="DM83" s="40"/>
      <c r="DN83" s="40"/>
      <c r="DO83" s="40"/>
      <c r="DP83" s="40"/>
      <c r="DQ83" s="40"/>
      <c r="DR83" s="40"/>
      <c r="DS83" s="40"/>
      <c r="DT83" s="40"/>
      <c r="DU83" s="40"/>
      <c r="DV83" s="40"/>
      <c r="DW83" s="40"/>
      <c r="DX83" s="40"/>
      <c r="DY83" s="40"/>
      <c r="DZ83" s="40"/>
      <c r="EA83" s="40"/>
      <c r="EB83" s="40"/>
      <c r="EC83" s="40"/>
      <c r="ED83" s="40"/>
      <c r="EE83" s="40"/>
      <c r="EF83" s="40"/>
      <c r="EG83" s="40"/>
      <c r="EH83" s="40"/>
      <c r="EI83" s="40"/>
      <c r="EJ83" s="40"/>
      <c r="EK83" s="40"/>
      <c r="EL83" s="40"/>
      <c r="EM83" s="40"/>
      <c r="EN83" s="40"/>
      <c r="EO83" s="40"/>
      <c r="EP83" s="40"/>
      <c r="EQ83" s="40"/>
      <c r="ER83" s="40"/>
      <c r="ES83" s="40"/>
      <c r="ET83" s="40"/>
      <c r="EU83" s="40"/>
      <c r="EV83" s="40"/>
      <c r="EW83" s="40"/>
      <c r="EX83" s="40"/>
      <c r="EY83" s="40"/>
      <c r="EZ83" s="40"/>
      <c r="FA83" s="40"/>
      <c r="FB83" s="40"/>
      <c r="FC83" s="40"/>
      <c r="FD83" s="40"/>
      <c r="FE83" s="40"/>
      <c r="FF83" s="40"/>
      <c r="FG83" s="40"/>
      <c r="FH83" s="40"/>
      <c r="FI83" s="40"/>
      <c r="FJ83" s="40"/>
      <c r="FK83" s="40"/>
      <c r="FL83" s="40"/>
      <c r="FM83" s="40"/>
      <c r="FN83" s="40"/>
      <c r="FO83" s="40"/>
      <c r="FP83" s="40"/>
      <c r="FQ83" s="40"/>
      <c r="FR83" s="40"/>
      <c r="FS83" s="40"/>
      <c r="FT83" s="40"/>
      <c r="FU83" s="40"/>
      <c r="FV83" s="40"/>
      <c r="FW83" s="40"/>
      <c r="FX83" s="40"/>
      <c r="FY83" s="40"/>
      <c r="FZ83" s="40"/>
      <c r="GA83" s="40"/>
      <c r="GB83" s="40"/>
      <c r="GC83" s="40"/>
      <c r="GD83" s="40"/>
      <c r="GE83" s="40"/>
      <c r="GF83" s="40"/>
      <c r="GG83" s="40"/>
      <c r="GH83" s="40"/>
      <c r="GI83" s="40"/>
      <c r="GJ83" s="40"/>
      <c r="GK83" s="40"/>
      <c r="GL83" s="40"/>
      <c r="GM83" s="40"/>
      <c r="GN83" s="40"/>
      <c r="GO83" s="40"/>
      <c r="GP83" s="40"/>
      <c r="GQ83" s="40"/>
      <c r="GR83" s="40"/>
      <c r="GS83" s="40"/>
      <c r="GT83" s="40"/>
      <c r="GU83" s="40"/>
      <c r="GV83" s="40"/>
      <c r="GW83" s="40"/>
      <c r="GX83" s="40"/>
      <c r="GY83" s="40"/>
      <c r="GZ83" s="40"/>
      <c r="HA83" s="40"/>
      <c r="HB83" s="40"/>
      <c r="HC83" s="40"/>
      <c r="HD83" s="40"/>
      <c r="HE83" s="40"/>
      <c r="HF83" s="40"/>
      <c r="HG83" s="40"/>
      <c r="HH83" s="40"/>
      <c r="HI83" s="40"/>
      <c r="HJ83" s="40"/>
      <c r="HK83" s="40"/>
      <c r="HL83" s="40"/>
      <c r="HM83" s="40"/>
      <c r="HN83" s="40"/>
      <c r="HO83" s="40"/>
      <c r="HP83" s="40"/>
      <c r="HQ83" s="40"/>
      <c r="HR83" s="40"/>
      <c r="HS83" s="40"/>
      <c r="HT83" s="40"/>
      <c r="HU83" s="40"/>
    </row>
    <row r="84" spans="1:229" s="41" customFormat="1" ht="28.8" customHeight="1">
      <c r="A84" s="124" t="s">
        <v>2202</v>
      </c>
      <c r="B84" s="80" t="s">
        <v>2236</v>
      </c>
      <c r="C84" s="80"/>
      <c r="D84" s="80" t="s">
        <v>2255</v>
      </c>
      <c r="E84" s="80" t="s">
        <v>2256</v>
      </c>
      <c r="F84" s="80" t="s">
        <v>2237</v>
      </c>
      <c r="G84" s="135" t="s">
        <v>2238</v>
      </c>
      <c r="H84" s="81">
        <v>0.4</v>
      </c>
      <c r="I84" s="81">
        <v>-0.05</v>
      </c>
      <c r="J84" s="79" t="s">
        <v>2239</v>
      </c>
      <c r="K84" s="81"/>
      <c r="L84" s="79"/>
      <c r="M84" s="82"/>
      <c r="N84" s="82"/>
      <c r="O84" s="82" t="s">
        <v>316</v>
      </c>
      <c r="P84" s="142">
        <v>0.2</v>
      </c>
      <c r="Q84" s="40">
        <f>SUMIF(Data_P!A:A,CONCATENATE(A84,"_",R$1),Data_P!J:J)</f>
        <v>622.78</v>
      </c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0"/>
      <c r="BT84" s="40"/>
      <c r="BU84" s="40"/>
      <c r="BV84" s="40"/>
      <c r="BW84" s="40"/>
      <c r="BX84" s="40"/>
      <c r="BY84" s="40"/>
      <c r="BZ84" s="40"/>
      <c r="CA84" s="40"/>
      <c r="CB84" s="40"/>
      <c r="CC84" s="40"/>
      <c r="CD84" s="40"/>
      <c r="CE84" s="40"/>
      <c r="CF84" s="40"/>
      <c r="CG84" s="40"/>
      <c r="CH84" s="40"/>
      <c r="CI84" s="40"/>
      <c r="CJ84" s="40"/>
      <c r="CK84" s="40"/>
      <c r="CL84" s="40"/>
      <c r="CM84" s="40"/>
      <c r="CN84" s="40"/>
      <c r="CO84" s="40"/>
      <c r="CP84" s="40"/>
      <c r="CQ84" s="40"/>
      <c r="CR84" s="40"/>
      <c r="CS84" s="40"/>
      <c r="CT84" s="40"/>
      <c r="CU84" s="40"/>
      <c r="CV84" s="40"/>
      <c r="CW84" s="40"/>
      <c r="CX84" s="40"/>
      <c r="CY84" s="40"/>
      <c r="CZ84" s="40"/>
      <c r="DA84" s="40"/>
      <c r="DB84" s="40"/>
      <c r="DC84" s="40"/>
      <c r="DD84" s="40"/>
      <c r="DE84" s="40"/>
      <c r="DF84" s="40"/>
      <c r="DG84" s="40"/>
      <c r="DH84" s="40"/>
      <c r="DI84" s="40"/>
      <c r="DJ84" s="40"/>
      <c r="DK84" s="40"/>
      <c r="DL84" s="40"/>
      <c r="DM84" s="40"/>
      <c r="DN84" s="40"/>
      <c r="DO84" s="40"/>
      <c r="DP84" s="40"/>
      <c r="DQ84" s="40"/>
      <c r="DR84" s="40"/>
      <c r="DS84" s="40"/>
      <c r="DT84" s="40"/>
      <c r="DU84" s="40"/>
      <c r="DV84" s="40"/>
      <c r="DW84" s="40"/>
      <c r="DX84" s="40"/>
      <c r="DY84" s="40"/>
      <c r="DZ84" s="40"/>
      <c r="EA84" s="40"/>
      <c r="EB84" s="40"/>
      <c r="EC84" s="40"/>
      <c r="ED84" s="40"/>
      <c r="EE84" s="40"/>
      <c r="EF84" s="40"/>
      <c r="EG84" s="40"/>
      <c r="EH84" s="40"/>
      <c r="EI84" s="40"/>
      <c r="EJ84" s="40"/>
      <c r="EK84" s="40"/>
      <c r="EL84" s="40"/>
      <c r="EM84" s="40"/>
      <c r="EN84" s="40"/>
      <c r="EO84" s="40"/>
      <c r="EP84" s="40"/>
      <c r="EQ84" s="40"/>
      <c r="ER84" s="40"/>
      <c r="ES84" s="40"/>
      <c r="ET84" s="40"/>
      <c r="EU84" s="40"/>
      <c r="EV84" s="40"/>
      <c r="EW84" s="40"/>
      <c r="EX84" s="40"/>
      <c r="EY84" s="40"/>
      <c r="EZ84" s="40"/>
      <c r="FA84" s="40"/>
      <c r="FB84" s="40"/>
      <c r="FC84" s="40"/>
      <c r="FD84" s="40"/>
      <c r="FE84" s="40"/>
      <c r="FF84" s="40"/>
      <c r="FG84" s="40"/>
      <c r="FH84" s="40"/>
      <c r="FI84" s="40"/>
      <c r="FJ84" s="40"/>
      <c r="FK84" s="40"/>
      <c r="FL84" s="40"/>
      <c r="FM84" s="40"/>
      <c r="FN84" s="40"/>
      <c r="FO84" s="40"/>
      <c r="FP84" s="40"/>
      <c r="FQ84" s="40"/>
      <c r="FR84" s="40"/>
      <c r="FS84" s="40"/>
      <c r="FT84" s="40"/>
      <c r="FU84" s="40"/>
      <c r="FV84" s="40"/>
      <c r="FW84" s="40"/>
      <c r="FX84" s="40"/>
      <c r="FY84" s="40"/>
      <c r="FZ84" s="40"/>
      <c r="GA84" s="40"/>
      <c r="GB84" s="40"/>
      <c r="GC84" s="40"/>
      <c r="GD84" s="40"/>
      <c r="GE84" s="40"/>
      <c r="GF84" s="40"/>
      <c r="GG84" s="40"/>
      <c r="GH84" s="40"/>
      <c r="GI84" s="40"/>
      <c r="GJ84" s="40"/>
      <c r="GK84" s="40"/>
      <c r="GL84" s="40"/>
      <c r="GM84" s="40"/>
      <c r="GN84" s="40"/>
      <c r="GO84" s="40"/>
      <c r="GP84" s="40"/>
      <c r="GQ84" s="40"/>
      <c r="GR84" s="40"/>
      <c r="GS84" s="40"/>
      <c r="GT84" s="40"/>
      <c r="GU84" s="40"/>
      <c r="GV84" s="40"/>
      <c r="GW84" s="40"/>
      <c r="GX84" s="40"/>
      <c r="GY84" s="40"/>
      <c r="GZ84" s="40"/>
      <c r="HA84" s="40"/>
      <c r="HB84" s="40"/>
      <c r="HC84" s="40"/>
      <c r="HD84" s="40"/>
      <c r="HE84" s="40"/>
      <c r="HF84" s="40"/>
      <c r="HG84" s="40"/>
      <c r="HH84" s="40"/>
      <c r="HI84" s="40"/>
      <c r="HJ84" s="40"/>
      <c r="HK84" s="40"/>
      <c r="HL84" s="40"/>
      <c r="HM84" s="40"/>
      <c r="HN84" s="40"/>
      <c r="HO84" s="40"/>
      <c r="HP84" s="40"/>
      <c r="HQ84" s="40"/>
      <c r="HR84" s="40"/>
      <c r="HS84" s="40"/>
      <c r="HT84" s="40"/>
      <c r="HU84" s="40"/>
    </row>
    <row r="85" spans="1:229" s="41" customFormat="1" ht="28.8" customHeight="1">
      <c r="A85" s="124" t="s">
        <v>1808</v>
      </c>
      <c r="B85" s="80" t="s">
        <v>1878</v>
      </c>
      <c r="C85" s="80"/>
      <c r="D85" s="80" t="s">
        <v>1879</v>
      </c>
      <c r="E85" s="80" t="s">
        <v>1880</v>
      </c>
      <c r="F85" s="80" t="s">
        <v>1881</v>
      </c>
      <c r="G85" s="135" t="s">
        <v>1882</v>
      </c>
      <c r="H85" s="81">
        <v>0.2</v>
      </c>
      <c r="I85" s="81"/>
      <c r="J85" s="79"/>
      <c r="K85" s="81"/>
      <c r="L85" s="79"/>
      <c r="M85" s="82" t="s">
        <v>1924</v>
      </c>
      <c r="N85" s="82"/>
      <c r="O85" s="82" t="s">
        <v>316</v>
      </c>
      <c r="P85" s="142">
        <v>0.2</v>
      </c>
      <c r="Q85" s="40">
        <f>SUMIF(Data_P!A:A,CONCATENATE(A85,"_",R$1),Data_P!J:J)</f>
        <v>0</v>
      </c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  <c r="BM85" s="40"/>
      <c r="BN85" s="40"/>
      <c r="BO85" s="40"/>
      <c r="BP85" s="40"/>
      <c r="BQ85" s="40"/>
      <c r="BR85" s="40"/>
      <c r="BS85" s="40"/>
      <c r="BT85" s="40"/>
      <c r="BU85" s="40"/>
      <c r="BV85" s="40"/>
      <c r="BW85" s="40"/>
      <c r="BX85" s="40"/>
      <c r="BY85" s="40"/>
      <c r="BZ85" s="40"/>
      <c r="CA85" s="40"/>
      <c r="CB85" s="40"/>
      <c r="CC85" s="40"/>
      <c r="CD85" s="40"/>
      <c r="CE85" s="40"/>
      <c r="CF85" s="40"/>
      <c r="CG85" s="40"/>
      <c r="CH85" s="40"/>
      <c r="CI85" s="40"/>
      <c r="CJ85" s="40"/>
      <c r="CK85" s="40"/>
      <c r="CL85" s="40"/>
      <c r="CM85" s="40"/>
      <c r="CN85" s="40"/>
      <c r="CO85" s="40"/>
      <c r="CP85" s="40"/>
      <c r="CQ85" s="40"/>
      <c r="CR85" s="40"/>
      <c r="CS85" s="40"/>
      <c r="CT85" s="40"/>
      <c r="CU85" s="40"/>
      <c r="CV85" s="40"/>
      <c r="CW85" s="40"/>
      <c r="CX85" s="40"/>
      <c r="CY85" s="40"/>
      <c r="CZ85" s="40"/>
      <c r="DA85" s="40"/>
      <c r="DB85" s="40"/>
      <c r="DC85" s="40"/>
      <c r="DD85" s="40"/>
      <c r="DE85" s="40"/>
      <c r="DF85" s="40"/>
      <c r="DG85" s="40"/>
      <c r="DH85" s="40"/>
      <c r="DI85" s="40"/>
      <c r="DJ85" s="40"/>
      <c r="DK85" s="40"/>
      <c r="DL85" s="40"/>
      <c r="DM85" s="40"/>
      <c r="DN85" s="40"/>
      <c r="DO85" s="40"/>
      <c r="DP85" s="40"/>
      <c r="DQ85" s="40"/>
      <c r="DR85" s="40"/>
      <c r="DS85" s="40"/>
      <c r="DT85" s="40"/>
      <c r="DU85" s="40"/>
      <c r="DV85" s="40"/>
      <c r="DW85" s="40"/>
      <c r="DX85" s="40"/>
      <c r="DY85" s="40"/>
      <c r="DZ85" s="40"/>
      <c r="EA85" s="40"/>
      <c r="EB85" s="40"/>
      <c r="EC85" s="40"/>
      <c r="ED85" s="40"/>
      <c r="EE85" s="40"/>
      <c r="EF85" s="40"/>
      <c r="EG85" s="40"/>
      <c r="EH85" s="40"/>
      <c r="EI85" s="40"/>
      <c r="EJ85" s="40"/>
      <c r="EK85" s="40"/>
      <c r="EL85" s="40"/>
      <c r="EM85" s="40"/>
      <c r="EN85" s="40"/>
      <c r="EO85" s="40"/>
      <c r="EP85" s="40"/>
      <c r="EQ85" s="40"/>
      <c r="ER85" s="40"/>
      <c r="ES85" s="40"/>
      <c r="ET85" s="40"/>
      <c r="EU85" s="40"/>
      <c r="EV85" s="40"/>
      <c r="EW85" s="40"/>
      <c r="EX85" s="40"/>
      <c r="EY85" s="40"/>
      <c r="EZ85" s="40"/>
      <c r="FA85" s="40"/>
      <c r="FB85" s="40"/>
      <c r="FC85" s="40"/>
      <c r="FD85" s="40"/>
      <c r="FE85" s="40"/>
      <c r="FF85" s="40"/>
      <c r="FG85" s="40"/>
      <c r="FH85" s="40"/>
      <c r="FI85" s="40"/>
      <c r="FJ85" s="40"/>
      <c r="FK85" s="40"/>
      <c r="FL85" s="40"/>
      <c r="FM85" s="40"/>
      <c r="FN85" s="40"/>
      <c r="FO85" s="40"/>
      <c r="FP85" s="40"/>
      <c r="FQ85" s="40"/>
      <c r="FR85" s="40"/>
      <c r="FS85" s="40"/>
      <c r="FT85" s="40"/>
      <c r="FU85" s="40"/>
      <c r="FV85" s="40"/>
      <c r="FW85" s="40"/>
      <c r="FX85" s="40"/>
      <c r="FY85" s="40"/>
      <c r="FZ85" s="40"/>
      <c r="GA85" s="40"/>
      <c r="GB85" s="40"/>
      <c r="GC85" s="40"/>
      <c r="GD85" s="40"/>
      <c r="GE85" s="40"/>
      <c r="GF85" s="40"/>
      <c r="GG85" s="40"/>
      <c r="GH85" s="40"/>
      <c r="GI85" s="40"/>
      <c r="GJ85" s="40"/>
      <c r="GK85" s="40"/>
      <c r="GL85" s="40"/>
      <c r="GM85" s="40"/>
      <c r="GN85" s="40"/>
      <c r="GO85" s="40"/>
      <c r="GP85" s="40"/>
      <c r="GQ85" s="40"/>
      <c r="GR85" s="40"/>
      <c r="GS85" s="40"/>
      <c r="GT85" s="40"/>
      <c r="GU85" s="40"/>
      <c r="GV85" s="40"/>
      <c r="GW85" s="40"/>
      <c r="GX85" s="40"/>
      <c r="GY85" s="40"/>
      <c r="GZ85" s="40"/>
      <c r="HA85" s="40"/>
      <c r="HB85" s="40"/>
      <c r="HC85" s="40"/>
      <c r="HD85" s="40"/>
      <c r="HE85" s="40"/>
      <c r="HF85" s="40"/>
      <c r="HG85" s="40"/>
      <c r="HH85" s="40"/>
      <c r="HI85" s="40"/>
      <c r="HJ85" s="40"/>
      <c r="HK85" s="40"/>
      <c r="HL85" s="40"/>
      <c r="HM85" s="40"/>
      <c r="HN85" s="40"/>
      <c r="HO85" s="40"/>
      <c r="HP85" s="40"/>
      <c r="HQ85" s="40"/>
      <c r="HR85" s="40"/>
      <c r="HS85" s="40"/>
      <c r="HT85" s="40"/>
      <c r="HU85" s="40"/>
    </row>
    <row r="86" spans="1:229" s="41" customFormat="1" ht="28.8" customHeight="1">
      <c r="A86" s="124" t="s">
        <v>1701</v>
      </c>
      <c r="B86" s="80" t="s">
        <v>1702</v>
      </c>
      <c r="C86" s="80"/>
      <c r="D86" s="80" t="s">
        <v>1718</v>
      </c>
      <c r="E86" s="80" t="s">
        <v>1719</v>
      </c>
      <c r="F86" s="80" t="s">
        <v>1703</v>
      </c>
      <c r="G86" s="135" t="s">
        <v>1704</v>
      </c>
      <c r="H86" s="81">
        <v>0.4</v>
      </c>
      <c r="I86" s="81"/>
      <c r="J86" s="79"/>
      <c r="K86" s="81"/>
      <c r="L86" s="79"/>
      <c r="M86" s="82" t="s">
        <v>1923</v>
      </c>
      <c r="N86" s="82" t="s">
        <v>1388</v>
      </c>
      <c r="O86" s="82" t="s">
        <v>317</v>
      </c>
      <c r="P86" s="142">
        <v>0.2</v>
      </c>
      <c r="Q86" s="40">
        <f>SUMIF(Data_P!A:A,CONCATENATE(A86,"_",R$1),Data_P!J:J)</f>
        <v>47.11</v>
      </c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  <c r="BJ86" s="40"/>
      <c r="BK86" s="40"/>
      <c r="BL86" s="40"/>
      <c r="BM86" s="40"/>
      <c r="BN86" s="40"/>
      <c r="BO86" s="40"/>
      <c r="BP86" s="40"/>
      <c r="BQ86" s="40"/>
      <c r="BR86" s="40"/>
      <c r="BS86" s="40"/>
      <c r="BT86" s="40"/>
      <c r="BU86" s="40"/>
      <c r="BV86" s="40"/>
      <c r="BW86" s="40"/>
      <c r="BX86" s="40"/>
      <c r="BY86" s="40"/>
      <c r="BZ86" s="40"/>
      <c r="CA86" s="40"/>
      <c r="CB86" s="40"/>
      <c r="CC86" s="40"/>
      <c r="CD86" s="40"/>
      <c r="CE86" s="40"/>
      <c r="CF86" s="40"/>
      <c r="CG86" s="40"/>
      <c r="CH86" s="40"/>
      <c r="CI86" s="40"/>
      <c r="CJ86" s="40"/>
      <c r="CK86" s="40"/>
      <c r="CL86" s="40"/>
      <c r="CM86" s="40"/>
      <c r="CN86" s="40"/>
      <c r="CO86" s="40"/>
      <c r="CP86" s="40"/>
      <c r="CQ86" s="40"/>
      <c r="CR86" s="40"/>
      <c r="CS86" s="40"/>
      <c r="CT86" s="40"/>
      <c r="CU86" s="40"/>
      <c r="CV86" s="40"/>
      <c r="CW86" s="40"/>
      <c r="CX86" s="40"/>
      <c r="CY86" s="40"/>
      <c r="CZ86" s="40"/>
      <c r="DA86" s="40"/>
      <c r="DB86" s="40"/>
      <c r="DC86" s="40"/>
      <c r="DD86" s="40"/>
      <c r="DE86" s="40"/>
      <c r="DF86" s="40"/>
      <c r="DG86" s="40"/>
      <c r="DH86" s="40"/>
      <c r="DI86" s="40"/>
      <c r="DJ86" s="40"/>
      <c r="DK86" s="40"/>
      <c r="DL86" s="40"/>
      <c r="DM86" s="40"/>
      <c r="DN86" s="40"/>
      <c r="DO86" s="40"/>
      <c r="DP86" s="40"/>
      <c r="DQ86" s="40"/>
      <c r="DR86" s="40"/>
      <c r="DS86" s="40"/>
      <c r="DT86" s="40"/>
      <c r="DU86" s="40"/>
      <c r="DV86" s="40"/>
      <c r="DW86" s="40"/>
      <c r="DX86" s="40"/>
      <c r="DY86" s="40"/>
      <c r="DZ86" s="40"/>
      <c r="EA86" s="40"/>
      <c r="EB86" s="40"/>
      <c r="EC86" s="40"/>
      <c r="ED86" s="40"/>
      <c r="EE86" s="40"/>
      <c r="EF86" s="40"/>
      <c r="EG86" s="40"/>
      <c r="EH86" s="40"/>
      <c r="EI86" s="40"/>
      <c r="EJ86" s="40"/>
      <c r="EK86" s="40"/>
      <c r="EL86" s="40"/>
      <c r="EM86" s="40"/>
      <c r="EN86" s="40"/>
      <c r="EO86" s="40"/>
      <c r="EP86" s="40"/>
      <c r="EQ86" s="40"/>
      <c r="ER86" s="40"/>
      <c r="ES86" s="40"/>
      <c r="ET86" s="40"/>
      <c r="EU86" s="40"/>
      <c r="EV86" s="40"/>
      <c r="EW86" s="40"/>
      <c r="EX86" s="40"/>
      <c r="EY86" s="40"/>
      <c r="EZ86" s="40"/>
      <c r="FA86" s="40"/>
      <c r="FB86" s="40"/>
      <c r="FC86" s="40"/>
      <c r="FD86" s="40"/>
      <c r="FE86" s="40"/>
      <c r="FF86" s="40"/>
      <c r="FG86" s="40"/>
      <c r="FH86" s="40"/>
      <c r="FI86" s="40"/>
      <c r="FJ86" s="40"/>
      <c r="FK86" s="40"/>
      <c r="FL86" s="40"/>
      <c r="FM86" s="40"/>
      <c r="FN86" s="40"/>
      <c r="FO86" s="40"/>
      <c r="FP86" s="40"/>
      <c r="FQ86" s="40"/>
      <c r="FR86" s="40"/>
      <c r="FS86" s="40"/>
      <c r="FT86" s="40"/>
      <c r="FU86" s="40"/>
      <c r="FV86" s="40"/>
      <c r="FW86" s="40"/>
      <c r="FX86" s="40"/>
      <c r="FY86" s="40"/>
      <c r="FZ86" s="40"/>
      <c r="GA86" s="40"/>
      <c r="GB86" s="40"/>
      <c r="GC86" s="40"/>
      <c r="GD86" s="40"/>
      <c r="GE86" s="40"/>
      <c r="GF86" s="40"/>
      <c r="GG86" s="40"/>
      <c r="GH86" s="40"/>
      <c r="GI86" s="40"/>
      <c r="GJ86" s="40"/>
      <c r="GK86" s="40"/>
      <c r="GL86" s="40"/>
      <c r="GM86" s="40"/>
      <c r="GN86" s="40"/>
      <c r="GO86" s="40"/>
      <c r="GP86" s="40"/>
      <c r="GQ86" s="40"/>
      <c r="GR86" s="40"/>
      <c r="GS86" s="40"/>
      <c r="GT86" s="40"/>
      <c r="GU86" s="40"/>
      <c r="GV86" s="40"/>
      <c r="GW86" s="40"/>
      <c r="GX86" s="40"/>
      <c r="GY86" s="40"/>
      <c r="GZ86" s="40"/>
      <c r="HA86" s="40"/>
      <c r="HB86" s="40"/>
      <c r="HC86" s="40"/>
      <c r="HD86" s="40"/>
      <c r="HE86" s="40"/>
      <c r="HF86" s="40"/>
      <c r="HG86" s="40"/>
      <c r="HH86" s="40"/>
      <c r="HI86" s="40"/>
      <c r="HJ86" s="40"/>
      <c r="HK86" s="40"/>
      <c r="HL86" s="40"/>
      <c r="HM86" s="40"/>
      <c r="HN86" s="40"/>
      <c r="HO86" s="40"/>
      <c r="HP86" s="40"/>
      <c r="HQ86" s="40"/>
      <c r="HR86" s="40"/>
      <c r="HS86" s="40"/>
      <c r="HT86" s="40"/>
      <c r="HU86" s="40"/>
    </row>
    <row r="87" spans="1:229" s="41" customFormat="1" ht="28.8" customHeight="1">
      <c r="A87" s="124" t="s">
        <v>439</v>
      </c>
      <c r="B87" s="80" t="s">
        <v>440</v>
      </c>
      <c r="C87" s="80"/>
      <c r="D87" s="80" t="s">
        <v>441</v>
      </c>
      <c r="E87" s="80" t="s">
        <v>442</v>
      </c>
      <c r="F87" s="80" t="s">
        <v>443</v>
      </c>
      <c r="G87" s="135" t="s">
        <v>444</v>
      </c>
      <c r="H87" s="81">
        <v>0.4</v>
      </c>
      <c r="I87" s="81">
        <v>-0.1</v>
      </c>
      <c r="J87" s="79" t="s">
        <v>445</v>
      </c>
      <c r="K87" s="81"/>
      <c r="L87" s="79"/>
      <c r="M87" s="82" t="s">
        <v>634</v>
      </c>
      <c r="N87" s="82"/>
      <c r="O87" s="82" t="s">
        <v>316</v>
      </c>
      <c r="P87" s="142">
        <v>0.2</v>
      </c>
      <c r="Q87" s="40">
        <f>SUMIF(Data_P!A:A,CONCATENATE(A87,"_",R$1),Data_P!J:J)</f>
        <v>610.74</v>
      </c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  <c r="BK87" s="40"/>
      <c r="BL87" s="40"/>
      <c r="BM87" s="40"/>
      <c r="BN87" s="40"/>
      <c r="BO87" s="40"/>
      <c r="BP87" s="40"/>
      <c r="BQ87" s="40"/>
      <c r="BR87" s="40"/>
      <c r="BS87" s="40"/>
      <c r="BT87" s="40"/>
      <c r="BU87" s="40"/>
      <c r="BV87" s="40"/>
      <c r="BW87" s="40"/>
      <c r="BX87" s="40"/>
      <c r="BY87" s="40"/>
      <c r="BZ87" s="40"/>
      <c r="CA87" s="40"/>
      <c r="CB87" s="40"/>
      <c r="CC87" s="40"/>
      <c r="CD87" s="40"/>
      <c r="CE87" s="40"/>
      <c r="CF87" s="40"/>
      <c r="CG87" s="40"/>
      <c r="CH87" s="40"/>
      <c r="CI87" s="40"/>
      <c r="CJ87" s="40"/>
      <c r="CK87" s="40"/>
      <c r="CL87" s="40"/>
      <c r="CM87" s="40"/>
      <c r="CN87" s="40"/>
      <c r="CO87" s="40"/>
      <c r="CP87" s="40"/>
      <c r="CQ87" s="40"/>
      <c r="CR87" s="40"/>
      <c r="CS87" s="40"/>
      <c r="CT87" s="40"/>
      <c r="CU87" s="40"/>
      <c r="CV87" s="40"/>
      <c r="CW87" s="40"/>
      <c r="CX87" s="40"/>
      <c r="CY87" s="40"/>
      <c r="CZ87" s="40"/>
      <c r="DA87" s="40"/>
      <c r="DB87" s="40"/>
      <c r="DC87" s="40"/>
      <c r="DD87" s="40"/>
      <c r="DE87" s="40"/>
      <c r="DF87" s="40"/>
      <c r="DG87" s="40"/>
      <c r="DH87" s="40"/>
      <c r="DI87" s="40"/>
      <c r="DJ87" s="40"/>
      <c r="DK87" s="40"/>
      <c r="DL87" s="40"/>
      <c r="DM87" s="40"/>
      <c r="DN87" s="40"/>
      <c r="DO87" s="40"/>
      <c r="DP87" s="40"/>
      <c r="DQ87" s="40"/>
      <c r="DR87" s="40"/>
      <c r="DS87" s="40"/>
      <c r="DT87" s="40"/>
      <c r="DU87" s="40"/>
      <c r="DV87" s="40"/>
      <c r="DW87" s="40"/>
      <c r="DX87" s="40"/>
      <c r="DY87" s="40"/>
      <c r="DZ87" s="40"/>
      <c r="EA87" s="40"/>
      <c r="EB87" s="40"/>
      <c r="EC87" s="40"/>
      <c r="ED87" s="40"/>
      <c r="EE87" s="40"/>
      <c r="EF87" s="40"/>
      <c r="EG87" s="40"/>
      <c r="EH87" s="40"/>
      <c r="EI87" s="40"/>
      <c r="EJ87" s="40"/>
      <c r="EK87" s="40"/>
      <c r="EL87" s="40"/>
      <c r="EM87" s="40"/>
      <c r="EN87" s="40"/>
      <c r="EO87" s="40"/>
      <c r="EP87" s="40"/>
      <c r="EQ87" s="40"/>
      <c r="ER87" s="40"/>
      <c r="ES87" s="40"/>
      <c r="ET87" s="40"/>
      <c r="EU87" s="40"/>
      <c r="EV87" s="40"/>
      <c r="EW87" s="40"/>
      <c r="EX87" s="40"/>
      <c r="EY87" s="40"/>
      <c r="EZ87" s="40"/>
      <c r="FA87" s="40"/>
      <c r="FB87" s="40"/>
      <c r="FC87" s="40"/>
      <c r="FD87" s="40"/>
      <c r="FE87" s="40"/>
      <c r="FF87" s="40"/>
      <c r="FG87" s="40"/>
      <c r="FH87" s="40"/>
      <c r="FI87" s="40"/>
      <c r="FJ87" s="40"/>
      <c r="FK87" s="40"/>
      <c r="FL87" s="40"/>
      <c r="FM87" s="40"/>
      <c r="FN87" s="40"/>
      <c r="FO87" s="40"/>
      <c r="FP87" s="40"/>
      <c r="FQ87" s="40"/>
      <c r="FR87" s="40"/>
      <c r="FS87" s="40"/>
      <c r="FT87" s="40"/>
      <c r="FU87" s="40"/>
      <c r="FV87" s="40"/>
      <c r="FW87" s="40"/>
      <c r="FX87" s="40"/>
      <c r="FY87" s="40"/>
      <c r="FZ87" s="40"/>
      <c r="GA87" s="40"/>
      <c r="GB87" s="40"/>
      <c r="GC87" s="40"/>
      <c r="GD87" s="40"/>
      <c r="GE87" s="40"/>
      <c r="GF87" s="40"/>
      <c r="GG87" s="40"/>
      <c r="GH87" s="40"/>
      <c r="GI87" s="40"/>
      <c r="GJ87" s="40"/>
      <c r="GK87" s="40"/>
      <c r="GL87" s="40"/>
      <c r="GM87" s="40"/>
      <c r="GN87" s="40"/>
      <c r="GO87" s="40"/>
      <c r="GP87" s="40"/>
      <c r="GQ87" s="40"/>
      <c r="GR87" s="40"/>
      <c r="GS87" s="40"/>
      <c r="GT87" s="40"/>
      <c r="GU87" s="40"/>
      <c r="GV87" s="40"/>
      <c r="GW87" s="40"/>
      <c r="GX87" s="40"/>
      <c r="GY87" s="40"/>
      <c r="GZ87" s="40"/>
      <c r="HA87" s="40"/>
      <c r="HB87" s="40"/>
      <c r="HC87" s="40"/>
      <c r="HD87" s="40"/>
      <c r="HE87" s="40"/>
      <c r="HF87" s="40"/>
      <c r="HG87" s="40"/>
      <c r="HH87" s="40"/>
      <c r="HI87" s="40"/>
      <c r="HJ87" s="40"/>
      <c r="HK87" s="40"/>
      <c r="HL87" s="40"/>
      <c r="HM87" s="40"/>
      <c r="HN87" s="40"/>
      <c r="HO87" s="40"/>
      <c r="HP87" s="40"/>
      <c r="HQ87" s="40"/>
      <c r="HR87" s="40"/>
      <c r="HS87" s="40"/>
      <c r="HT87" s="40"/>
      <c r="HU87" s="40"/>
    </row>
    <row r="88" spans="1:229" s="41" customFormat="1" ht="28.8" customHeight="1">
      <c r="A88" s="124" t="s">
        <v>230</v>
      </c>
      <c r="B88" s="80" t="s">
        <v>52</v>
      </c>
      <c r="C88" s="80" t="s">
        <v>56</v>
      </c>
      <c r="D88" s="80" t="s">
        <v>42</v>
      </c>
      <c r="E88" s="80" t="s">
        <v>43</v>
      </c>
      <c r="F88" s="80" t="s">
        <v>7</v>
      </c>
      <c r="G88" s="135" t="s">
        <v>82</v>
      </c>
      <c r="H88" s="81">
        <v>0.25</v>
      </c>
      <c r="I88" s="81">
        <v>-0.125</v>
      </c>
      <c r="J88" s="79" t="s">
        <v>19</v>
      </c>
      <c r="K88" s="81"/>
      <c r="L88" s="79"/>
      <c r="M88" s="82" t="s">
        <v>385</v>
      </c>
      <c r="N88" s="82" t="s">
        <v>1</v>
      </c>
      <c r="O88" s="82" t="s">
        <v>316</v>
      </c>
      <c r="P88" s="142">
        <v>0.2</v>
      </c>
      <c r="Q88" s="40">
        <f>SUMIF(Data_P!A:A,CONCATENATE(A88,"_",R$1),Data_P!J:J)</f>
        <v>1029.9000000000001</v>
      </c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  <c r="BJ88" s="40"/>
      <c r="BK88" s="40"/>
      <c r="BL88" s="40"/>
      <c r="BM88" s="40"/>
      <c r="BN88" s="40"/>
      <c r="BO88" s="40"/>
      <c r="BP88" s="40"/>
      <c r="BQ88" s="40"/>
      <c r="BR88" s="40"/>
      <c r="BS88" s="40"/>
      <c r="BT88" s="40"/>
      <c r="BU88" s="40"/>
      <c r="BV88" s="40"/>
      <c r="BW88" s="40"/>
      <c r="BX88" s="40"/>
      <c r="BY88" s="40"/>
      <c r="BZ88" s="40"/>
      <c r="CA88" s="40"/>
      <c r="CB88" s="40"/>
      <c r="CC88" s="40"/>
      <c r="CD88" s="40"/>
      <c r="CE88" s="40"/>
      <c r="CF88" s="40"/>
      <c r="CG88" s="40"/>
      <c r="CH88" s="40"/>
      <c r="CI88" s="40"/>
      <c r="CJ88" s="40"/>
      <c r="CK88" s="40"/>
      <c r="CL88" s="40"/>
      <c r="CM88" s="40"/>
      <c r="CN88" s="40"/>
      <c r="CO88" s="40"/>
      <c r="CP88" s="40"/>
      <c r="CQ88" s="40"/>
      <c r="CR88" s="40"/>
      <c r="CS88" s="40"/>
      <c r="CT88" s="40"/>
      <c r="CU88" s="40"/>
      <c r="CV88" s="40"/>
      <c r="CW88" s="40"/>
      <c r="CX88" s="40"/>
      <c r="CY88" s="40"/>
      <c r="CZ88" s="40"/>
      <c r="DA88" s="40"/>
      <c r="DB88" s="40"/>
      <c r="DC88" s="40"/>
      <c r="DD88" s="40"/>
      <c r="DE88" s="40"/>
      <c r="DF88" s="40"/>
      <c r="DG88" s="40"/>
      <c r="DH88" s="40"/>
      <c r="DI88" s="40"/>
      <c r="DJ88" s="40"/>
      <c r="DK88" s="40"/>
      <c r="DL88" s="40"/>
      <c r="DM88" s="40"/>
      <c r="DN88" s="40"/>
      <c r="DO88" s="40"/>
      <c r="DP88" s="40"/>
      <c r="DQ88" s="40"/>
      <c r="DR88" s="40"/>
      <c r="DS88" s="40"/>
      <c r="DT88" s="40"/>
      <c r="DU88" s="40"/>
      <c r="DV88" s="40"/>
      <c r="DW88" s="40"/>
      <c r="DX88" s="40"/>
      <c r="DY88" s="40"/>
      <c r="DZ88" s="40"/>
      <c r="EA88" s="40"/>
      <c r="EB88" s="40"/>
      <c r="EC88" s="40"/>
      <c r="ED88" s="40"/>
      <c r="EE88" s="40"/>
      <c r="EF88" s="40"/>
      <c r="EG88" s="40"/>
      <c r="EH88" s="40"/>
      <c r="EI88" s="40"/>
      <c r="EJ88" s="40"/>
      <c r="EK88" s="40"/>
      <c r="EL88" s="40"/>
      <c r="EM88" s="40"/>
      <c r="EN88" s="40"/>
      <c r="EO88" s="40"/>
      <c r="EP88" s="40"/>
      <c r="EQ88" s="40"/>
      <c r="ER88" s="40"/>
      <c r="ES88" s="40"/>
      <c r="ET88" s="40"/>
      <c r="EU88" s="40"/>
      <c r="EV88" s="40"/>
      <c r="EW88" s="40"/>
      <c r="EX88" s="40"/>
      <c r="EY88" s="40"/>
      <c r="EZ88" s="40"/>
      <c r="FA88" s="40"/>
      <c r="FB88" s="40"/>
      <c r="FC88" s="40"/>
      <c r="FD88" s="40"/>
      <c r="FE88" s="40"/>
      <c r="FF88" s="40"/>
      <c r="FG88" s="40"/>
      <c r="FH88" s="40"/>
      <c r="FI88" s="40"/>
      <c r="FJ88" s="40"/>
      <c r="FK88" s="40"/>
      <c r="FL88" s="40"/>
      <c r="FM88" s="40"/>
      <c r="FN88" s="40"/>
      <c r="FO88" s="40"/>
      <c r="FP88" s="40"/>
      <c r="FQ88" s="40"/>
      <c r="FR88" s="40"/>
      <c r="FS88" s="40"/>
      <c r="FT88" s="40"/>
      <c r="FU88" s="40"/>
      <c r="FV88" s="40"/>
      <c r="FW88" s="40"/>
      <c r="FX88" s="40"/>
      <c r="FY88" s="40"/>
      <c r="FZ88" s="40"/>
      <c r="GA88" s="40"/>
      <c r="GB88" s="40"/>
      <c r="GC88" s="40"/>
      <c r="GD88" s="40"/>
      <c r="GE88" s="40"/>
      <c r="GF88" s="40"/>
      <c r="GG88" s="40"/>
      <c r="GH88" s="40"/>
      <c r="GI88" s="40"/>
      <c r="GJ88" s="40"/>
      <c r="GK88" s="40"/>
      <c r="GL88" s="40"/>
      <c r="GM88" s="40"/>
      <c r="GN88" s="40"/>
      <c r="GO88" s="40"/>
      <c r="GP88" s="40"/>
      <c r="GQ88" s="40"/>
      <c r="GR88" s="40"/>
      <c r="GS88" s="40"/>
      <c r="GT88" s="40"/>
      <c r="GU88" s="40"/>
      <c r="GV88" s="40"/>
      <c r="GW88" s="40"/>
      <c r="GX88" s="40"/>
      <c r="GY88" s="40"/>
      <c r="GZ88" s="40"/>
      <c r="HA88" s="40"/>
      <c r="HB88" s="40"/>
      <c r="HC88" s="40"/>
      <c r="HD88" s="40"/>
      <c r="HE88" s="40"/>
      <c r="HF88" s="40"/>
      <c r="HG88" s="40"/>
      <c r="HH88" s="40"/>
      <c r="HI88" s="40"/>
      <c r="HJ88" s="40"/>
      <c r="HK88" s="40"/>
      <c r="HL88" s="40"/>
      <c r="HM88" s="40"/>
      <c r="HN88" s="40"/>
      <c r="HO88" s="40"/>
      <c r="HP88" s="40"/>
      <c r="HQ88" s="40"/>
      <c r="HR88" s="40"/>
      <c r="HS88" s="40"/>
      <c r="HT88" s="40"/>
      <c r="HU88" s="40"/>
    </row>
    <row r="89" spans="1:229" s="41" customFormat="1" ht="28.8" customHeight="1">
      <c r="A89" s="124" t="s">
        <v>1402</v>
      </c>
      <c r="B89" s="80" t="s">
        <v>1478</v>
      </c>
      <c r="C89" s="80"/>
      <c r="D89" s="80" t="s">
        <v>1479</v>
      </c>
      <c r="E89" s="80" t="s">
        <v>1480</v>
      </c>
      <c r="F89" s="80" t="s">
        <v>1481</v>
      </c>
      <c r="G89" s="135" t="s">
        <v>2079</v>
      </c>
      <c r="H89" s="81">
        <v>0.4</v>
      </c>
      <c r="I89" s="81" t="s">
        <v>590</v>
      </c>
      <c r="J89" s="79" t="s">
        <v>1482</v>
      </c>
      <c r="K89" s="81"/>
      <c r="L89" s="79"/>
      <c r="M89" s="82" t="s">
        <v>1654</v>
      </c>
      <c r="N89" s="82" t="s">
        <v>431</v>
      </c>
      <c r="O89" s="82" t="s">
        <v>317</v>
      </c>
      <c r="P89" s="142">
        <v>0.2</v>
      </c>
      <c r="Q89" s="40">
        <f>SUMIF(Data_P!A:A,CONCATENATE(A89,"_",R$1),Data_P!J:J)</f>
        <v>3631.63</v>
      </c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  <c r="BK89" s="40"/>
      <c r="BL89" s="40"/>
      <c r="BM89" s="40"/>
      <c r="BN89" s="40"/>
      <c r="BO89" s="40"/>
      <c r="BP89" s="40"/>
      <c r="BQ89" s="40"/>
      <c r="BR89" s="40"/>
      <c r="BS89" s="40"/>
      <c r="BT89" s="40"/>
      <c r="BU89" s="40"/>
      <c r="BV89" s="40"/>
      <c r="BW89" s="40"/>
      <c r="BX89" s="40"/>
      <c r="BY89" s="40"/>
      <c r="BZ89" s="40"/>
      <c r="CA89" s="40"/>
      <c r="CB89" s="40"/>
      <c r="CC89" s="40"/>
      <c r="CD89" s="40"/>
      <c r="CE89" s="40"/>
      <c r="CF89" s="40"/>
      <c r="CG89" s="40"/>
      <c r="CH89" s="40"/>
      <c r="CI89" s="40"/>
      <c r="CJ89" s="40"/>
      <c r="CK89" s="40"/>
      <c r="CL89" s="40"/>
      <c r="CM89" s="40"/>
      <c r="CN89" s="40"/>
      <c r="CO89" s="40"/>
      <c r="CP89" s="40"/>
      <c r="CQ89" s="40"/>
      <c r="CR89" s="40"/>
      <c r="CS89" s="40"/>
      <c r="CT89" s="40"/>
      <c r="CU89" s="40"/>
      <c r="CV89" s="40"/>
      <c r="CW89" s="40"/>
      <c r="CX89" s="40"/>
      <c r="CY89" s="40"/>
      <c r="CZ89" s="40"/>
      <c r="DA89" s="40"/>
      <c r="DB89" s="40"/>
      <c r="DC89" s="40"/>
      <c r="DD89" s="40"/>
      <c r="DE89" s="40"/>
      <c r="DF89" s="40"/>
      <c r="DG89" s="40"/>
      <c r="DH89" s="40"/>
      <c r="DI89" s="40"/>
      <c r="DJ89" s="40"/>
      <c r="DK89" s="40"/>
      <c r="DL89" s="40"/>
      <c r="DM89" s="40"/>
      <c r="DN89" s="40"/>
      <c r="DO89" s="40"/>
      <c r="DP89" s="40"/>
      <c r="DQ89" s="40"/>
      <c r="DR89" s="40"/>
      <c r="DS89" s="40"/>
      <c r="DT89" s="40"/>
      <c r="DU89" s="40"/>
      <c r="DV89" s="40"/>
      <c r="DW89" s="40"/>
      <c r="DX89" s="40"/>
      <c r="DY89" s="40"/>
      <c r="DZ89" s="40"/>
      <c r="EA89" s="40"/>
      <c r="EB89" s="40"/>
      <c r="EC89" s="40"/>
      <c r="ED89" s="40"/>
      <c r="EE89" s="40"/>
      <c r="EF89" s="40"/>
      <c r="EG89" s="40"/>
      <c r="EH89" s="40"/>
      <c r="EI89" s="40"/>
      <c r="EJ89" s="40"/>
      <c r="EK89" s="40"/>
      <c r="EL89" s="40"/>
      <c r="EM89" s="40"/>
      <c r="EN89" s="40"/>
      <c r="EO89" s="40"/>
      <c r="EP89" s="40"/>
      <c r="EQ89" s="40"/>
      <c r="ER89" s="40"/>
      <c r="ES89" s="40"/>
      <c r="ET89" s="40"/>
      <c r="EU89" s="40"/>
      <c r="EV89" s="40"/>
      <c r="EW89" s="40"/>
      <c r="EX89" s="40"/>
      <c r="EY89" s="40"/>
      <c r="EZ89" s="40"/>
      <c r="FA89" s="40"/>
      <c r="FB89" s="40"/>
      <c r="FC89" s="40"/>
      <c r="FD89" s="40"/>
      <c r="FE89" s="40"/>
      <c r="FF89" s="40"/>
      <c r="FG89" s="40"/>
      <c r="FH89" s="40"/>
      <c r="FI89" s="40"/>
      <c r="FJ89" s="40"/>
      <c r="FK89" s="40"/>
      <c r="FL89" s="40"/>
      <c r="FM89" s="40"/>
      <c r="FN89" s="40"/>
      <c r="FO89" s="40"/>
      <c r="FP89" s="40"/>
      <c r="FQ89" s="40"/>
      <c r="FR89" s="40"/>
      <c r="FS89" s="40"/>
      <c r="FT89" s="40"/>
      <c r="FU89" s="40"/>
      <c r="FV89" s="40"/>
      <c r="FW89" s="40"/>
      <c r="FX89" s="40"/>
      <c r="FY89" s="40"/>
      <c r="FZ89" s="40"/>
      <c r="GA89" s="40"/>
      <c r="GB89" s="40"/>
      <c r="GC89" s="40"/>
      <c r="GD89" s="40"/>
      <c r="GE89" s="40"/>
      <c r="GF89" s="40"/>
      <c r="GG89" s="40"/>
      <c r="GH89" s="40"/>
      <c r="GI89" s="40"/>
      <c r="GJ89" s="40"/>
      <c r="GK89" s="40"/>
      <c r="GL89" s="40"/>
      <c r="GM89" s="40"/>
      <c r="GN89" s="40"/>
      <c r="GO89" s="40"/>
      <c r="GP89" s="40"/>
      <c r="GQ89" s="40"/>
      <c r="GR89" s="40"/>
      <c r="GS89" s="40"/>
      <c r="GT89" s="40"/>
      <c r="GU89" s="40"/>
      <c r="GV89" s="40"/>
      <c r="GW89" s="40"/>
      <c r="GX89" s="40"/>
      <c r="GY89" s="40"/>
      <c r="GZ89" s="40"/>
      <c r="HA89" s="40"/>
      <c r="HB89" s="40"/>
      <c r="HC89" s="40"/>
      <c r="HD89" s="40"/>
      <c r="HE89" s="40"/>
      <c r="HF89" s="40"/>
      <c r="HG89" s="40"/>
      <c r="HH89" s="40"/>
      <c r="HI89" s="40"/>
      <c r="HJ89" s="40"/>
      <c r="HK89" s="40"/>
      <c r="HL89" s="40"/>
      <c r="HM89" s="40"/>
      <c r="HN89" s="40"/>
      <c r="HO89" s="40"/>
      <c r="HP89" s="40"/>
      <c r="HQ89" s="40"/>
      <c r="HR89" s="40"/>
      <c r="HS89" s="40"/>
      <c r="HT89" s="40"/>
      <c r="HU89" s="40"/>
    </row>
    <row r="90" spans="1:229" s="41" customFormat="1" ht="28.8" customHeight="1">
      <c r="A90" s="124" t="s">
        <v>1258</v>
      </c>
      <c r="B90" s="80" t="s">
        <v>900</v>
      </c>
      <c r="C90" s="80"/>
      <c r="D90" s="80" t="s">
        <v>901</v>
      </c>
      <c r="E90" s="80" t="s">
        <v>902</v>
      </c>
      <c r="F90" s="80" t="s">
        <v>903</v>
      </c>
      <c r="G90" s="135" t="s">
        <v>904</v>
      </c>
      <c r="H90" s="81">
        <v>0.5</v>
      </c>
      <c r="I90" s="81">
        <v>-0.1</v>
      </c>
      <c r="J90" s="79" t="s">
        <v>399</v>
      </c>
      <c r="K90" s="81">
        <v>-0.1</v>
      </c>
      <c r="L90" s="79" t="s">
        <v>905</v>
      </c>
      <c r="M90" s="82" t="s">
        <v>1191</v>
      </c>
      <c r="N90" s="82" t="s">
        <v>1077</v>
      </c>
      <c r="O90" s="82" t="s">
        <v>316</v>
      </c>
      <c r="P90" s="142">
        <v>0.2</v>
      </c>
      <c r="Q90" s="40">
        <f>SUMIF(Data_P!A:A,CONCATENATE(A90,"_",R$1),Data_P!J:J)</f>
        <v>422.71000000000004</v>
      </c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  <c r="BO90" s="40"/>
      <c r="BP90" s="40"/>
      <c r="BQ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40"/>
      <c r="CW90" s="40"/>
      <c r="CX90" s="40"/>
      <c r="CY90" s="40"/>
      <c r="CZ90" s="40"/>
      <c r="DA90" s="40"/>
      <c r="DB90" s="40"/>
      <c r="DC90" s="40"/>
      <c r="DD90" s="40"/>
      <c r="DE90" s="40"/>
      <c r="DF90" s="40"/>
      <c r="DG90" s="40"/>
      <c r="DH90" s="40"/>
      <c r="DI90" s="40"/>
      <c r="DJ90" s="40"/>
      <c r="DK90" s="40"/>
      <c r="DL90" s="40"/>
      <c r="DM90" s="40"/>
      <c r="DN90" s="40"/>
      <c r="DO90" s="40"/>
      <c r="DP90" s="40"/>
      <c r="DQ90" s="40"/>
      <c r="DR90" s="40"/>
      <c r="DS90" s="40"/>
      <c r="DT90" s="40"/>
      <c r="DU90" s="40"/>
      <c r="DV90" s="40"/>
      <c r="DW90" s="40"/>
      <c r="DX90" s="40"/>
      <c r="DY90" s="40"/>
      <c r="DZ90" s="40"/>
      <c r="EA90" s="40"/>
      <c r="EB90" s="40"/>
      <c r="EC90" s="40"/>
      <c r="ED90" s="40"/>
      <c r="EE90" s="40"/>
      <c r="EF90" s="40"/>
      <c r="EG90" s="40"/>
      <c r="EH90" s="40"/>
      <c r="EI90" s="40"/>
      <c r="EJ90" s="40"/>
      <c r="EK90" s="40"/>
      <c r="EL90" s="40"/>
      <c r="EM90" s="40"/>
      <c r="EN90" s="40"/>
      <c r="EO90" s="40"/>
      <c r="EP90" s="40"/>
      <c r="EQ90" s="40"/>
      <c r="ER90" s="40"/>
      <c r="ES90" s="40"/>
      <c r="ET90" s="40"/>
      <c r="EU90" s="40"/>
      <c r="EV90" s="40"/>
      <c r="EW90" s="40"/>
      <c r="EX90" s="40"/>
      <c r="EY90" s="40"/>
      <c r="EZ90" s="40"/>
      <c r="FA90" s="40"/>
      <c r="FB90" s="40"/>
      <c r="FC90" s="40"/>
      <c r="FD90" s="40"/>
      <c r="FE90" s="40"/>
      <c r="FF90" s="40"/>
      <c r="FG90" s="40"/>
      <c r="FH90" s="40"/>
      <c r="FI90" s="40"/>
      <c r="FJ90" s="40"/>
      <c r="FK90" s="40"/>
      <c r="FL90" s="40"/>
      <c r="FM90" s="40"/>
      <c r="FN90" s="40"/>
      <c r="FO90" s="40"/>
      <c r="FP90" s="40"/>
      <c r="FQ90" s="40"/>
      <c r="FR90" s="40"/>
      <c r="FS90" s="40"/>
      <c r="FT90" s="40"/>
      <c r="FU90" s="40"/>
      <c r="FV90" s="40"/>
      <c r="FW90" s="40"/>
      <c r="FX90" s="40"/>
      <c r="FY90" s="40"/>
      <c r="FZ90" s="40"/>
      <c r="GA90" s="40"/>
      <c r="GB90" s="40"/>
      <c r="GC90" s="40"/>
      <c r="GD90" s="40"/>
      <c r="GE90" s="40"/>
      <c r="GF90" s="40"/>
      <c r="GG90" s="40"/>
      <c r="GH90" s="40"/>
      <c r="GI90" s="40"/>
      <c r="GJ90" s="40"/>
      <c r="GK90" s="40"/>
      <c r="GL90" s="40"/>
      <c r="GM90" s="40"/>
      <c r="GN90" s="40"/>
      <c r="GO90" s="40"/>
      <c r="GP90" s="40"/>
      <c r="GQ90" s="40"/>
      <c r="GR90" s="40"/>
      <c r="GS90" s="40"/>
      <c r="GT90" s="40"/>
      <c r="GU90" s="40"/>
      <c r="GV90" s="40"/>
      <c r="GW90" s="40"/>
      <c r="GX90" s="40"/>
      <c r="GY90" s="40"/>
      <c r="GZ90" s="40"/>
      <c r="HA90" s="40"/>
      <c r="HB90" s="40"/>
      <c r="HC90" s="40"/>
      <c r="HD90" s="40"/>
      <c r="HE90" s="40"/>
      <c r="HF90" s="40"/>
      <c r="HG90" s="40"/>
      <c r="HH90" s="40"/>
      <c r="HI90" s="40"/>
      <c r="HJ90" s="40"/>
      <c r="HK90" s="40"/>
      <c r="HL90" s="40"/>
      <c r="HM90" s="40"/>
      <c r="HN90" s="40"/>
      <c r="HO90" s="40"/>
      <c r="HP90" s="40"/>
      <c r="HQ90" s="40"/>
      <c r="HR90" s="40"/>
      <c r="HS90" s="40"/>
      <c r="HT90" s="40"/>
      <c r="HU90" s="40"/>
    </row>
    <row r="91" spans="1:229" s="41" customFormat="1" ht="28.8" customHeight="1">
      <c r="A91" s="124" t="s">
        <v>472</v>
      </c>
      <c r="B91" s="80" t="s">
        <v>495</v>
      </c>
      <c r="C91" s="80"/>
      <c r="D91" s="80" t="s">
        <v>496</v>
      </c>
      <c r="E91" s="80" t="s">
        <v>497</v>
      </c>
      <c r="F91" s="80" t="s">
        <v>498</v>
      </c>
      <c r="G91" s="135" t="s">
        <v>499</v>
      </c>
      <c r="H91" s="81">
        <v>0.4</v>
      </c>
      <c r="I91" s="81"/>
      <c r="J91" s="79"/>
      <c r="K91" s="81"/>
      <c r="L91" s="79"/>
      <c r="M91" s="82" t="s">
        <v>661</v>
      </c>
      <c r="N91" s="82" t="s">
        <v>1</v>
      </c>
      <c r="O91" s="82" t="s">
        <v>316</v>
      </c>
      <c r="P91" s="142">
        <v>0.2</v>
      </c>
      <c r="Q91" s="40">
        <f>SUMIF(Data_P!A:A,CONCATENATE(A91,"_",R$1),Data_P!J:J)</f>
        <v>128.63</v>
      </c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40"/>
      <c r="CW91" s="40"/>
      <c r="CX91" s="40"/>
      <c r="CY91" s="40"/>
      <c r="CZ91" s="40"/>
      <c r="DA91" s="40"/>
      <c r="DB91" s="40"/>
      <c r="DC91" s="40"/>
      <c r="DD91" s="40"/>
      <c r="DE91" s="40"/>
      <c r="DF91" s="40"/>
      <c r="DG91" s="40"/>
      <c r="DH91" s="40"/>
      <c r="DI91" s="40"/>
      <c r="DJ91" s="40"/>
      <c r="DK91" s="40"/>
      <c r="DL91" s="40"/>
      <c r="DM91" s="40"/>
      <c r="DN91" s="40"/>
      <c r="DO91" s="40"/>
      <c r="DP91" s="40"/>
      <c r="DQ91" s="40"/>
      <c r="DR91" s="40"/>
      <c r="DS91" s="40"/>
      <c r="DT91" s="40"/>
      <c r="DU91" s="40"/>
      <c r="DV91" s="40"/>
      <c r="DW91" s="40"/>
      <c r="DX91" s="40"/>
      <c r="DY91" s="40"/>
      <c r="DZ91" s="40"/>
      <c r="EA91" s="40"/>
      <c r="EB91" s="40"/>
      <c r="EC91" s="40"/>
      <c r="ED91" s="40"/>
      <c r="EE91" s="40"/>
      <c r="EF91" s="40"/>
      <c r="EG91" s="40"/>
      <c r="EH91" s="40"/>
      <c r="EI91" s="40"/>
      <c r="EJ91" s="40"/>
      <c r="EK91" s="40"/>
      <c r="EL91" s="40"/>
      <c r="EM91" s="40"/>
      <c r="EN91" s="40"/>
      <c r="EO91" s="40"/>
      <c r="EP91" s="40"/>
      <c r="EQ91" s="40"/>
      <c r="ER91" s="40"/>
      <c r="ES91" s="40"/>
      <c r="ET91" s="40"/>
      <c r="EU91" s="40"/>
      <c r="EV91" s="40"/>
      <c r="EW91" s="40"/>
      <c r="EX91" s="40"/>
      <c r="EY91" s="40"/>
      <c r="EZ91" s="40"/>
      <c r="FA91" s="40"/>
      <c r="FB91" s="40"/>
      <c r="FC91" s="40"/>
      <c r="FD91" s="40"/>
      <c r="FE91" s="40"/>
      <c r="FF91" s="40"/>
      <c r="FG91" s="40"/>
      <c r="FH91" s="40"/>
      <c r="FI91" s="40"/>
      <c r="FJ91" s="40"/>
      <c r="FK91" s="40"/>
      <c r="FL91" s="40"/>
      <c r="FM91" s="40"/>
      <c r="FN91" s="40"/>
      <c r="FO91" s="40"/>
      <c r="FP91" s="40"/>
      <c r="FQ91" s="40"/>
      <c r="FR91" s="40"/>
      <c r="FS91" s="40"/>
      <c r="FT91" s="40"/>
      <c r="FU91" s="40"/>
      <c r="FV91" s="40"/>
      <c r="FW91" s="40"/>
      <c r="FX91" s="40"/>
      <c r="FY91" s="40"/>
      <c r="FZ91" s="40"/>
      <c r="GA91" s="40"/>
      <c r="GB91" s="40"/>
      <c r="GC91" s="40"/>
      <c r="GD91" s="40"/>
      <c r="GE91" s="40"/>
      <c r="GF91" s="40"/>
      <c r="GG91" s="40"/>
      <c r="GH91" s="40"/>
      <c r="GI91" s="40"/>
      <c r="GJ91" s="40"/>
      <c r="GK91" s="40"/>
      <c r="GL91" s="40"/>
      <c r="GM91" s="40"/>
      <c r="GN91" s="40"/>
      <c r="GO91" s="40"/>
      <c r="GP91" s="40"/>
      <c r="GQ91" s="40"/>
      <c r="GR91" s="40"/>
      <c r="GS91" s="40"/>
      <c r="GT91" s="40"/>
      <c r="GU91" s="40"/>
      <c r="GV91" s="40"/>
      <c r="GW91" s="40"/>
      <c r="GX91" s="40"/>
      <c r="GY91" s="40"/>
      <c r="GZ91" s="40"/>
      <c r="HA91" s="40"/>
      <c r="HB91" s="40"/>
      <c r="HC91" s="40"/>
      <c r="HD91" s="40"/>
      <c r="HE91" s="40"/>
      <c r="HF91" s="40"/>
      <c r="HG91" s="40"/>
      <c r="HH91" s="40"/>
      <c r="HI91" s="40"/>
      <c r="HJ91" s="40"/>
      <c r="HK91" s="40"/>
      <c r="HL91" s="40"/>
      <c r="HM91" s="40"/>
      <c r="HN91" s="40"/>
      <c r="HO91" s="40"/>
      <c r="HP91" s="40"/>
      <c r="HQ91" s="40"/>
      <c r="HR91" s="40"/>
      <c r="HS91" s="40"/>
      <c r="HT91" s="40"/>
      <c r="HU91" s="40"/>
    </row>
    <row r="92" spans="1:229" s="41" customFormat="1" ht="28.8" customHeight="1">
      <c r="A92" s="124" t="s">
        <v>1705</v>
      </c>
      <c r="B92" s="80" t="s">
        <v>1706</v>
      </c>
      <c r="C92" s="80"/>
      <c r="D92" s="80" t="s">
        <v>1707</v>
      </c>
      <c r="E92" s="80" t="s">
        <v>1708</v>
      </c>
      <c r="F92" s="80" t="s">
        <v>1709</v>
      </c>
      <c r="G92" s="135" t="s">
        <v>1710</v>
      </c>
      <c r="H92" s="81">
        <v>0.4</v>
      </c>
      <c r="I92" s="81">
        <v>-0.05</v>
      </c>
      <c r="J92" s="79" t="s">
        <v>399</v>
      </c>
      <c r="K92" s="81"/>
      <c r="L92" s="79"/>
      <c r="M92" s="82" t="s">
        <v>1926</v>
      </c>
      <c r="N92" s="82" t="s">
        <v>1925</v>
      </c>
      <c r="O92" s="82" t="s">
        <v>317</v>
      </c>
      <c r="P92" s="142">
        <v>0.2</v>
      </c>
      <c r="Q92" s="40">
        <f>SUMIF(Data_P!A:A,CONCATENATE(A92,"_",R$1),Data_P!J:J)</f>
        <v>543.92000000000007</v>
      </c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G92" s="40"/>
      <c r="DH92" s="40"/>
      <c r="DI92" s="40"/>
      <c r="DJ92" s="40"/>
      <c r="DK92" s="40"/>
      <c r="DL92" s="40"/>
      <c r="DM92" s="40"/>
      <c r="DN92" s="40"/>
      <c r="DO92" s="40"/>
      <c r="DP92" s="40"/>
      <c r="DQ92" s="40"/>
      <c r="DR92" s="40"/>
      <c r="DS92" s="40"/>
      <c r="DT92" s="40"/>
      <c r="DU92" s="40"/>
      <c r="DV92" s="40"/>
      <c r="DW92" s="40"/>
      <c r="DX92" s="40"/>
      <c r="DY92" s="40"/>
      <c r="DZ92" s="40"/>
      <c r="EA92" s="40"/>
      <c r="EB92" s="40"/>
      <c r="EC92" s="40"/>
      <c r="ED92" s="40"/>
      <c r="EE92" s="40"/>
      <c r="EF92" s="40"/>
      <c r="EG92" s="40"/>
      <c r="EH92" s="40"/>
      <c r="EI92" s="40"/>
      <c r="EJ92" s="40"/>
      <c r="EK92" s="40"/>
      <c r="EL92" s="40"/>
      <c r="EM92" s="40"/>
      <c r="EN92" s="40"/>
      <c r="EO92" s="40"/>
      <c r="EP92" s="40"/>
      <c r="EQ92" s="40"/>
      <c r="ER92" s="40"/>
      <c r="ES92" s="40"/>
      <c r="ET92" s="40"/>
      <c r="EU92" s="40"/>
      <c r="EV92" s="40"/>
      <c r="EW92" s="40"/>
      <c r="EX92" s="40"/>
      <c r="EY92" s="40"/>
      <c r="EZ92" s="40"/>
      <c r="FA92" s="40"/>
      <c r="FB92" s="40"/>
      <c r="FC92" s="40"/>
      <c r="FD92" s="40"/>
      <c r="FE92" s="40"/>
      <c r="FF92" s="40"/>
      <c r="FG92" s="40"/>
      <c r="FH92" s="40"/>
      <c r="FI92" s="40"/>
      <c r="FJ92" s="40"/>
      <c r="FK92" s="40"/>
      <c r="FL92" s="40"/>
      <c r="FM92" s="40"/>
      <c r="FN92" s="40"/>
      <c r="FO92" s="40"/>
      <c r="FP92" s="40"/>
      <c r="FQ92" s="40"/>
      <c r="FR92" s="40"/>
      <c r="FS92" s="40"/>
      <c r="FT92" s="40"/>
      <c r="FU92" s="40"/>
      <c r="FV92" s="40"/>
      <c r="FW92" s="40"/>
      <c r="FX92" s="40"/>
      <c r="FY92" s="40"/>
      <c r="FZ92" s="40"/>
      <c r="GA92" s="40"/>
      <c r="GB92" s="40"/>
      <c r="GC92" s="40"/>
      <c r="GD92" s="40"/>
      <c r="GE92" s="40"/>
      <c r="GF92" s="40"/>
      <c r="GG92" s="40"/>
      <c r="GH92" s="40"/>
      <c r="GI92" s="40"/>
      <c r="GJ92" s="40"/>
      <c r="GK92" s="40"/>
      <c r="GL92" s="40"/>
      <c r="GM92" s="40"/>
      <c r="GN92" s="40"/>
      <c r="GO92" s="40"/>
      <c r="GP92" s="40"/>
      <c r="GQ92" s="40"/>
      <c r="GR92" s="40"/>
      <c r="GS92" s="40"/>
      <c r="GT92" s="40"/>
      <c r="GU92" s="40"/>
      <c r="GV92" s="40"/>
      <c r="GW92" s="40"/>
      <c r="GX92" s="40"/>
      <c r="GY92" s="40"/>
      <c r="GZ92" s="40"/>
      <c r="HA92" s="40"/>
      <c r="HB92" s="40"/>
      <c r="HC92" s="40"/>
      <c r="HD92" s="40"/>
      <c r="HE92" s="40"/>
      <c r="HF92" s="40"/>
      <c r="HG92" s="40"/>
      <c r="HH92" s="40"/>
      <c r="HI92" s="40"/>
      <c r="HJ92" s="40"/>
      <c r="HK92" s="40"/>
      <c r="HL92" s="40"/>
      <c r="HM92" s="40"/>
      <c r="HN92" s="40"/>
      <c r="HO92" s="40"/>
      <c r="HP92" s="40"/>
      <c r="HQ92" s="40"/>
      <c r="HR92" s="40"/>
      <c r="HS92" s="40"/>
      <c r="HT92" s="40"/>
      <c r="HU92" s="40"/>
    </row>
    <row r="93" spans="1:229" s="41" customFormat="1" ht="28.8" customHeight="1">
      <c r="A93" s="124" t="s">
        <v>614</v>
      </c>
      <c r="B93" s="80" t="s">
        <v>615</v>
      </c>
      <c r="C93" s="80"/>
      <c r="D93" s="80" t="s">
        <v>616</v>
      </c>
      <c r="E93" s="80" t="s">
        <v>617</v>
      </c>
      <c r="F93" s="80" t="s">
        <v>618</v>
      </c>
      <c r="G93" s="135" t="s">
        <v>2022</v>
      </c>
      <c r="H93" s="81">
        <v>0.4</v>
      </c>
      <c r="I93" s="81">
        <v>-0.05</v>
      </c>
      <c r="J93" s="79" t="s">
        <v>399</v>
      </c>
      <c r="K93" s="81"/>
      <c r="L93" s="79"/>
      <c r="M93" s="82" t="s">
        <v>894</v>
      </c>
      <c r="N93" s="82" t="s">
        <v>895</v>
      </c>
      <c r="O93" s="82" t="s">
        <v>316</v>
      </c>
      <c r="P93" s="142">
        <v>0.2</v>
      </c>
      <c r="Q93" s="40">
        <f>SUMIF(Data_P!A:A,CONCATENATE(A93,"_",R$1),Data_P!J:J)</f>
        <v>688.63</v>
      </c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/>
      <c r="BO93" s="40"/>
      <c r="BP93" s="40"/>
      <c r="BQ93" s="40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G93" s="40"/>
      <c r="DH93" s="40"/>
      <c r="DI93" s="40"/>
      <c r="DJ93" s="40"/>
      <c r="DK93" s="40"/>
      <c r="DL93" s="40"/>
      <c r="DM93" s="40"/>
      <c r="DN93" s="40"/>
      <c r="DO93" s="40"/>
      <c r="DP93" s="40"/>
      <c r="DQ93" s="40"/>
      <c r="DR93" s="40"/>
      <c r="DS93" s="40"/>
      <c r="DT93" s="40"/>
      <c r="DU93" s="40"/>
      <c r="DV93" s="40"/>
      <c r="DW93" s="40"/>
      <c r="DX93" s="40"/>
      <c r="DY93" s="40"/>
      <c r="DZ93" s="40"/>
      <c r="EA93" s="40"/>
      <c r="EB93" s="40"/>
      <c r="EC93" s="40"/>
      <c r="ED93" s="40"/>
      <c r="EE93" s="40"/>
      <c r="EF93" s="40"/>
      <c r="EG93" s="40"/>
      <c r="EH93" s="40"/>
      <c r="EI93" s="40"/>
      <c r="EJ93" s="40"/>
      <c r="EK93" s="40"/>
      <c r="EL93" s="40"/>
      <c r="EM93" s="40"/>
      <c r="EN93" s="40"/>
      <c r="EO93" s="40"/>
      <c r="EP93" s="40"/>
      <c r="EQ93" s="40"/>
      <c r="ER93" s="40"/>
      <c r="ES93" s="40"/>
      <c r="ET93" s="40"/>
      <c r="EU93" s="40"/>
      <c r="EV93" s="40"/>
      <c r="EW93" s="40"/>
      <c r="EX93" s="40"/>
      <c r="EY93" s="40"/>
      <c r="EZ93" s="40"/>
      <c r="FA93" s="40"/>
      <c r="FB93" s="40"/>
      <c r="FC93" s="40"/>
      <c r="FD93" s="40"/>
      <c r="FE93" s="40"/>
      <c r="FF93" s="40"/>
      <c r="FG93" s="40"/>
      <c r="FH93" s="40"/>
      <c r="FI93" s="40"/>
      <c r="FJ93" s="40"/>
      <c r="FK93" s="40"/>
      <c r="FL93" s="40"/>
      <c r="FM93" s="40"/>
      <c r="FN93" s="40"/>
      <c r="FO93" s="40"/>
      <c r="FP93" s="40"/>
      <c r="FQ93" s="40"/>
      <c r="FR93" s="40"/>
      <c r="FS93" s="40"/>
      <c r="FT93" s="40"/>
      <c r="FU93" s="40"/>
      <c r="FV93" s="40"/>
      <c r="FW93" s="40"/>
      <c r="FX93" s="40"/>
      <c r="FY93" s="40"/>
      <c r="FZ93" s="40"/>
      <c r="GA93" s="40"/>
      <c r="GB93" s="40"/>
      <c r="GC93" s="40"/>
      <c r="GD93" s="40"/>
      <c r="GE93" s="40"/>
      <c r="GF93" s="40"/>
      <c r="GG93" s="40"/>
      <c r="GH93" s="40"/>
      <c r="GI93" s="40"/>
      <c r="GJ93" s="40"/>
      <c r="GK93" s="40"/>
      <c r="GL93" s="40"/>
      <c r="GM93" s="40"/>
      <c r="GN93" s="40"/>
      <c r="GO93" s="40"/>
      <c r="GP93" s="40"/>
      <c r="GQ93" s="40"/>
      <c r="GR93" s="40"/>
      <c r="GS93" s="40"/>
      <c r="GT93" s="40"/>
      <c r="GU93" s="40"/>
      <c r="GV93" s="40"/>
      <c r="GW93" s="40"/>
      <c r="GX93" s="40"/>
      <c r="GY93" s="40"/>
      <c r="GZ93" s="40"/>
      <c r="HA93" s="40"/>
      <c r="HB93" s="40"/>
      <c r="HC93" s="40"/>
      <c r="HD93" s="40"/>
      <c r="HE93" s="40"/>
      <c r="HF93" s="40"/>
      <c r="HG93" s="40"/>
      <c r="HH93" s="40"/>
      <c r="HI93" s="40"/>
      <c r="HJ93" s="40"/>
      <c r="HK93" s="40"/>
      <c r="HL93" s="40"/>
      <c r="HM93" s="40"/>
      <c r="HN93" s="40"/>
      <c r="HO93" s="40"/>
      <c r="HP93" s="40"/>
      <c r="HQ93" s="40"/>
      <c r="HR93" s="40"/>
      <c r="HS93" s="40"/>
      <c r="HT93" s="40"/>
      <c r="HU93" s="40"/>
    </row>
    <row r="94" spans="1:229" s="41" customFormat="1" ht="28.8" customHeight="1">
      <c r="A94" s="124" t="s">
        <v>1711</v>
      </c>
      <c r="B94" s="80" t="s">
        <v>1712</v>
      </c>
      <c r="C94" s="80"/>
      <c r="D94" s="80" t="s">
        <v>1713</v>
      </c>
      <c r="E94" s="80" t="s">
        <v>1714</v>
      </c>
      <c r="F94" s="80" t="s">
        <v>1715</v>
      </c>
      <c r="G94" s="135" t="s">
        <v>1716</v>
      </c>
      <c r="H94" s="81">
        <v>0.4</v>
      </c>
      <c r="I94" s="81"/>
      <c r="J94" s="79"/>
      <c r="K94" s="81"/>
      <c r="L94" s="79"/>
      <c r="M94" s="82"/>
      <c r="N94" s="82"/>
      <c r="O94" s="82" t="s">
        <v>317</v>
      </c>
      <c r="P94" s="142">
        <v>0.2</v>
      </c>
      <c r="Q94" s="40">
        <f>SUMIF(Data_P!A:A,CONCATENATE(A94,"_",R$1),Data_P!J:J)</f>
        <v>71.34</v>
      </c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G94" s="40"/>
      <c r="DH94" s="40"/>
      <c r="DI94" s="40"/>
      <c r="DJ94" s="40"/>
      <c r="DK94" s="40"/>
      <c r="DL94" s="40"/>
      <c r="DM94" s="40"/>
      <c r="DN94" s="40"/>
      <c r="DO94" s="40"/>
      <c r="DP94" s="40"/>
      <c r="DQ94" s="40"/>
      <c r="DR94" s="40"/>
      <c r="DS94" s="40"/>
      <c r="DT94" s="40"/>
      <c r="DU94" s="40"/>
      <c r="DV94" s="40"/>
      <c r="DW94" s="40"/>
      <c r="DX94" s="40"/>
      <c r="DY94" s="40"/>
      <c r="DZ94" s="40"/>
      <c r="EA94" s="40"/>
      <c r="EB94" s="40"/>
      <c r="EC94" s="40"/>
      <c r="ED94" s="40"/>
      <c r="EE94" s="40"/>
      <c r="EF94" s="40"/>
      <c r="EG94" s="40"/>
      <c r="EH94" s="40"/>
      <c r="EI94" s="40"/>
      <c r="EJ94" s="40"/>
      <c r="EK94" s="40"/>
      <c r="EL94" s="40"/>
      <c r="EM94" s="40"/>
      <c r="EN94" s="40"/>
      <c r="EO94" s="40"/>
      <c r="EP94" s="40"/>
      <c r="EQ94" s="40"/>
      <c r="ER94" s="40"/>
      <c r="ES94" s="40"/>
      <c r="ET94" s="40"/>
      <c r="EU94" s="40"/>
      <c r="EV94" s="40"/>
      <c r="EW94" s="40"/>
      <c r="EX94" s="40"/>
      <c r="EY94" s="40"/>
      <c r="EZ94" s="40"/>
      <c r="FA94" s="40"/>
      <c r="FB94" s="40"/>
      <c r="FC94" s="40"/>
      <c r="FD94" s="40"/>
      <c r="FE94" s="40"/>
      <c r="FF94" s="40"/>
      <c r="FG94" s="40"/>
      <c r="FH94" s="40"/>
      <c r="FI94" s="40"/>
      <c r="FJ94" s="40"/>
      <c r="FK94" s="40"/>
      <c r="FL94" s="40"/>
      <c r="FM94" s="40"/>
      <c r="FN94" s="40"/>
      <c r="FO94" s="40"/>
      <c r="FP94" s="40"/>
      <c r="FQ94" s="40"/>
      <c r="FR94" s="40"/>
      <c r="FS94" s="40"/>
      <c r="FT94" s="40"/>
      <c r="FU94" s="40"/>
      <c r="FV94" s="40"/>
      <c r="FW94" s="40"/>
      <c r="FX94" s="40"/>
      <c r="FY94" s="40"/>
      <c r="FZ94" s="40"/>
      <c r="GA94" s="40"/>
      <c r="GB94" s="40"/>
      <c r="GC94" s="40"/>
      <c r="GD94" s="40"/>
      <c r="GE94" s="40"/>
      <c r="GF94" s="40"/>
      <c r="GG94" s="40"/>
      <c r="GH94" s="40"/>
      <c r="GI94" s="40"/>
      <c r="GJ94" s="40"/>
      <c r="GK94" s="40"/>
      <c r="GL94" s="40"/>
      <c r="GM94" s="40"/>
      <c r="GN94" s="40"/>
      <c r="GO94" s="40"/>
      <c r="GP94" s="40"/>
      <c r="GQ94" s="40"/>
      <c r="GR94" s="40"/>
      <c r="GS94" s="40"/>
      <c r="GT94" s="40"/>
      <c r="GU94" s="40"/>
      <c r="GV94" s="40"/>
      <c r="GW94" s="40"/>
      <c r="GX94" s="40"/>
      <c r="GY94" s="40"/>
      <c r="GZ94" s="40"/>
      <c r="HA94" s="40"/>
      <c r="HB94" s="40"/>
      <c r="HC94" s="40"/>
      <c r="HD94" s="40"/>
      <c r="HE94" s="40"/>
      <c r="HF94" s="40"/>
      <c r="HG94" s="40"/>
      <c r="HH94" s="40"/>
      <c r="HI94" s="40"/>
      <c r="HJ94" s="40"/>
      <c r="HK94" s="40"/>
      <c r="HL94" s="40"/>
      <c r="HM94" s="40"/>
      <c r="HN94" s="40"/>
      <c r="HO94" s="40"/>
      <c r="HP94" s="40"/>
      <c r="HQ94" s="40"/>
      <c r="HR94" s="40"/>
      <c r="HS94" s="40"/>
      <c r="HT94" s="40"/>
      <c r="HU94" s="40"/>
    </row>
    <row r="95" spans="1:229" s="41" customFormat="1" ht="28.8" customHeight="1">
      <c r="A95" s="124" t="s">
        <v>1680</v>
      </c>
      <c r="B95" s="80" t="s">
        <v>434</v>
      </c>
      <c r="C95" s="80"/>
      <c r="D95" s="80" t="s">
        <v>435</v>
      </c>
      <c r="E95" s="80" t="s">
        <v>436</v>
      </c>
      <c r="F95" s="80" t="s">
        <v>437</v>
      </c>
      <c r="G95" s="135" t="s">
        <v>438</v>
      </c>
      <c r="H95" s="81">
        <v>0.5</v>
      </c>
      <c r="I95" s="81">
        <v>-0.1</v>
      </c>
      <c r="J95" s="79" t="s">
        <v>399</v>
      </c>
      <c r="K95" s="81"/>
      <c r="L95" s="79"/>
      <c r="M95" s="82" t="s">
        <v>470</v>
      </c>
      <c r="N95" s="82" t="s">
        <v>240</v>
      </c>
      <c r="O95" s="82" t="s">
        <v>316</v>
      </c>
      <c r="P95" s="142">
        <v>0.2</v>
      </c>
      <c r="Q95" s="40">
        <f>SUMIF(Data_P!A:A,CONCATENATE(A95,"_",R$1),Data_P!J:J)</f>
        <v>305.33</v>
      </c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40"/>
      <c r="CW95" s="40"/>
      <c r="CX95" s="40"/>
      <c r="CY95" s="40"/>
      <c r="CZ95" s="40"/>
      <c r="DA95" s="40"/>
      <c r="DB95" s="40"/>
      <c r="DC95" s="40"/>
      <c r="DD95" s="40"/>
      <c r="DE95" s="40"/>
      <c r="DF95" s="40"/>
      <c r="DG95" s="40"/>
      <c r="DH95" s="40"/>
      <c r="DI95" s="40"/>
      <c r="DJ95" s="40"/>
      <c r="DK95" s="40"/>
      <c r="DL95" s="40"/>
      <c r="DM95" s="40"/>
      <c r="DN95" s="40"/>
      <c r="DO95" s="40"/>
      <c r="DP95" s="40"/>
      <c r="DQ95" s="40"/>
      <c r="DR95" s="40"/>
      <c r="DS95" s="40"/>
      <c r="DT95" s="40"/>
      <c r="DU95" s="40"/>
      <c r="DV95" s="40"/>
      <c r="DW95" s="40"/>
      <c r="DX95" s="40"/>
      <c r="DY95" s="40"/>
      <c r="DZ95" s="40"/>
      <c r="EA95" s="40"/>
      <c r="EB95" s="40"/>
      <c r="EC95" s="40"/>
      <c r="ED95" s="40"/>
      <c r="EE95" s="40"/>
      <c r="EF95" s="40"/>
      <c r="EG95" s="40"/>
      <c r="EH95" s="40"/>
      <c r="EI95" s="40"/>
      <c r="EJ95" s="40"/>
      <c r="EK95" s="40"/>
      <c r="EL95" s="40"/>
      <c r="EM95" s="40"/>
      <c r="EN95" s="40"/>
      <c r="EO95" s="40"/>
      <c r="EP95" s="40"/>
      <c r="EQ95" s="40"/>
      <c r="ER95" s="40"/>
      <c r="ES95" s="40"/>
      <c r="ET95" s="40"/>
      <c r="EU95" s="40"/>
      <c r="EV95" s="40"/>
      <c r="EW95" s="40"/>
      <c r="EX95" s="40"/>
      <c r="EY95" s="40"/>
      <c r="EZ95" s="40"/>
      <c r="FA95" s="40"/>
      <c r="FB95" s="40"/>
      <c r="FC95" s="40"/>
      <c r="FD95" s="40"/>
      <c r="FE95" s="40"/>
      <c r="FF95" s="40"/>
      <c r="FG95" s="40"/>
      <c r="FH95" s="40"/>
      <c r="FI95" s="40"/>
      <c r="FJ95" s="40"/>
      <c r="FK95" s="40"/>
      <c r="FL95" s="40"/>
      <c r="FM95" s="40"/>
      <c r="FN95" s="40"/>
      <c r="FO95" s="40"/>
      <c r="FP95" s="40"/>
      <c r="FQ95" s="40"/>
      <c r="FR95" s="40"/>
      <c r="FS95" s="40"/>
      <c r="FT95" s="40"/>
      <c r="FU95" s="40"/>
      <c r="FV95" s="40"/>
      <c r="FW95" s="40"/>
      <c r="FX95" s="40"/>
      <c r="FY95" s="40"/>
      <c r="FZ95" s="40"/>
      <c r="GA95" s="40"/>
      <c r="GB95" s="40"/>
      <c r="GC95" s="40"/>
      <c r="GD95" s="40"/>
      <c r="GE95" s="40"/>
      <c r="GF95" s="40"/>
      <c r="GG95" s="40"/>
      <c r="GH95" s="40"/>
      <c r="GI95" s="40"/>
      <c r="GJ95" s="40"/>
      <c r="GK95" s="40"/>
      <c r="GL95" s="40"/>
      <c r="GM95" s="40"/>
      <c r="GN95" s="40"/>
      <c r="GO95" s="40"/>
      <c r="GP95" s="40"/>
      <c r="GQ95" s="40"/>
      <c r="GR95" s="40"/>
      <c r="GS95" s="40"/>
      <c r="GT95" s="40"/>
      <c r="GU95" s="40"/>
      <c r="GV95" s="40"/>
      <c r="GW95" s="40"/>
      <c r="GX95" s="40"/>
      <c r="GY95" s="40"/>
      <c r="GZ95" s="40"/>
      <c r="HA95" s="40"/>
      <c r="HB95" s="40"/>
      <c r="HC95" s="40"/>
      <c r="HD95" s="40"/>
      <c r="HE95" s="40"/>
      <c r="HF95" s="40"/>
      <c r="HG95" s="40"/>
      <c r="HH95" s="40"/>
      <c r="HI95" s="40"/>
      <c r="HJ95" s="40"/>
      <c r="HK95" s="40"/>
      <c r="HL95" s="40"/>
      <c r="HM95" s="40"/>
      <c r="HN95" s="40"/>
      <c r="HO95" s="40"/>
      <c r="HP95" s="40"/>
      <c r="HQ95" s="40"/>
      <c r="HR95" s="40"/>
      <c r="HS95" s="40"/>
      <c r="HT95" s="40"/>
      <c r="HU95" s="40"/>
    </row>
    <row r="96" spans="1:229" s="41" customFormat="1" ht="28.8" customHeight="1">
      <c r="A96" s="124" t="s">
        <v>1681</v>
      </c>
      <c r="B96" s="80" t="s">
        <v>395</v>
      </c>
      <c r="C96" s="80"/>
      <c r="D96" s="80" t="s">
        <v>400</v>
      </c>
      <c r="E96" s="80" t="s">
        <v>396</v>
      </c>
      <c r="F96" s="80" t="s">
        <v>397</v>
      </c>
      <c r="G96" s="135" t="s">
        <v>398</v>
      </c>
      <c r="H96" s="81">
        <v>0.45</v>
      </c>
      <c r="I96" s="81">
        <v>-0.1</v>
      </c>
      <c r="J96" s="79" t="s">
        <v>399</v>
      </c>
      <c r="K96" s="81"/>
      <c r="L96" s="79"/>
      <c r="M96" s="82" t="s">
        <v>461</v>
      </c>
      <c r="N96" s="82" t="s">
        <v>240</v>
      </c>
      <c r="O96" s="82" t="s">
        <v>316</v>
      </c>
      <c r="P96" s="142">
        <v>0.2</v>
      </c>
      <c r="Q96" s="40">
        <f>SUMIF(Data_P!A:A,CONCATENATE(A96,"_",R$1),Data_P!J:J)</f>
        <v>896.27</v>
      </c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40"/>
      <c r="CW96" s="40"/>
      <c r="CX96" s="40"/>
      <c r="CY96" s="40"/>
      <c r="CZ96" s="40"/>
      <c r="DA96" s="40"/>
      <c r="DB96" s="40"/>
      <c r="DC96" s="40"/>
      <c r="DD96" s="40"/>
      <c r="DE96" s="40"/>
      <c r="DF96" s="40"/>
      <c r="DG96" s="40"/>
      <c r="DH96" s="40"/>
      <c r="DI96" s="40"/>
      <c r="DJ96" s="40"/>
      <c r="DK96" s="40"/>
      <c r="DL96" s="40"/>
      <c r="DM96" s="40"/>
      <c r="DN96" s="40"/>
      <c r="DO96" s="40"/>
      <c r="DP96" s="40"/>
      <c r="DQ96" s="40"/>
      <c r="DR96" s="40"/>
      <c r="DS96" s="40"/>
      <c r="DT96" s="40"/>
      <c r="DU96" s="40"/>
      <c r="DV96" s="40"/>
      <c r="DW96" s="40"/>
      <c r="DX96" s="40"/>
      <c r="DY96" s="40"/>
      <c r="DZ96" s="40"/>
      <c r="EA96" s="40"/>
      <c r="EB96" s="40"/>
      <c r="EC96" s="40"/>
      <c r="ED96" s="40"/>
      <c r="EE96" s="40"/>
      <c r="EF96" s="40"/>
      <c r="EG96" s="40"/>
      <c r="EH96" s="40"/>
      <c r="EI96" s="40"/>
      <c r="EJ96" s="40"/>
      <c r="EK96" s="40"/>
      <c r="EL96" s="40"/>
      <c r="EM96" s="40"/>
      <c r="EN96" s="40"/>
      <c r="EO96" s="40"/>
      <c r="EP96" s="40"/>
      <c r="EQ96" s="40"/>
      <c r="ER96" s="40"/>
      <c r="ES96" s="40"/>
      <c r="ET96" s="40"/>
      <c r="EU96" s="40"/>
      <c r="EV96" s="40"/>
      <c r="EW96" s="40"/>
      <c r="EX96" s="40"/>
      <c r="EY96" s="40"/>
      <c r="EZ96" s="40"/>
      <c r="FA96" s="40"/>
      <c r="FB96" s="40"/>
      <c r="FC96" s="40"/>
      <c r="FD96" s="40"/>
      <c r="FE96" s="40"/>
      <c r="FF96" s="40"/>
      <c r="FG96" s="40"/>
      <c r="FH96" s="40"/>
      <c r="FI96" s="40"/>
      <c r="FJ96" s="40"/>
      <c r="FK96" s="40"/>
      <c r="FL96" s="40"/>
      <c r="FM96" s="40"/>
      <c r="FN96" s="40"/>
      <c r="FO96" s="40"/>
      <c r="FP96" s="40"/>
      <c r="FQ96" s="40"/>
      <c r="FR96" s="40"/>
      <c r="FS96" s="40"/>
      <c r="FT96" s="40"/>
      <c r="FU96" s="40"/>
      <c r="FV96" s="40"/>
      <c r="FW96" s="40"/>
      <c r="FX96" s="40"/>
      <c r="FY96" s="40"/>
      <c r="FZ96" s="40"/>
      <c r="GA96" s="40"/>
      <c r="GB96" s="40"/>
      <c r="GC96" s="40"/>
      <c r="GD96" s="40"/>
      <c r="GE96" s="40"/>
      <c r="GF96" s="40"/>
      <c r="GG96" s="40"/>
      <c r="GH96" s="40"/>
      <c r="GI96" s="40"/>
      <c r="GJ96" s="40"/>
      <c r="GK96" s="40"/>
      <c r="GL96" s="40"/>
      <c r="GM96" s="40"/>
      <c r="GN96" s="40"/>
      <c r="GO96" s="40"/>
      <c r="GP96" s="40"/>
      <c r="GQ96" s="40"/>
      <c r="GR96" s="40"/>
      <c r="GS96" s="40"/>
      <c r="GT96" s="40"/>
      <c r="GU96" s="40"/>
      <c r="GV96" s="40"/>
      <c r="GW96" s="40"/>
      <c r="GX96" s="40"/>
      <c r="GY96" s="40"/>
      <c r="GZ96" s="40"/>
      <c r="HA96" s="40"/>
      <c r="HB96" s="40"/>
      <c r="HC96" s="40"/>
      <c r="HD96" s="40"/>
      <c r="HE96" s="40"/>
      <c r="HF96" s="40"/>
      <c r="HG96" s="40"/>
      <c r="HH96" s="40"/>
      <c r="HI96" s="40"/>
      <c r="HJ96" s="40"/>
      <c r="HK96" s="40"/>
      <c r="HL96" s="40"/>
      <c r="HM96" s="40"/>
      <c r="HN96" s="40"/>
      <c r="HO96" s="40"/>
      <c r="HP96" s="40"/>
      <c r="HQ96" s="40"/>
      <c r="HR96" s="40"/>
      <c r="HS96" s="40"/>
      <c r="HT96" s="40"/>
      <c r="HU96" s="40"/>
    </row>
    <row r="97" spans="1:229" s="41" customFormat="1" ht="28.8" customHeight="1">
      <c r="A97" s="124" t="s">
        <v>1763</v>
      </c>
      <c r="B97" s="80" t="s">
        <v>1069</v>
      </c>
      <c r="C97" s="80"/>
      <c r="D97" s="80" t="s">
        <v>1070</v>
      </c>
      <c r="E97" s="80" t="s">
        <v>1071</v>
      </c>
      <c r="F97" s="80" t="s">
        <v>1072</v>
      </c>
      <c r="G97" s="135" t="s">
        <v>1073</v>
      </c>
      <c r="H97" s="81">
        <v>0.5</v>
      </c>
      <c r="I97" s="81"/>
      <c r="J97" s="79"/>
      <c r="K97" s="81"/>
      <c r="L97" s="79"/>
      <c r="M97" s="82" t="s">
        <v>1149</v>
      </c>
      <c r="N97" s="82" t="s">
        <v>240</v>
      </c>
      <c r="O97" s="82" t="s">
        <v>316</v>
      </c>
      <c r="P97" s="142">
        <v>0.2</v>
      </c>
      <c r="Q97" s="40">
        <f>SUMIF(Data_P!A:A,CONCATENATE(A97,"_",R$1),Data_P!J:J)</f>
        <v>150</v>
      </c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0"/>
      <c r="DN97" s="40"/>
      <c r="DO97" s="40"/>
      <c r="DP97" s="40"/>
      <c r="DQ97" s="40"/>
      <c r="DR97" s="40"/>
      <c r="DS97" s="40"/>
      <c r="DT97" s="40"/>
      <c r="DU97" s="40"/>
      <c r="DV97" s="40"/>
      <c r="DW97" s="40"/>
      <c r="DX97" s="40"/>
      <c r="DY97" s="40"/>
      <c r="DZ97" s="40"/>
      <c r="EA97" s="40"/>
      <c r="EB97" s="40"/>
      <c r="EC97" s="40"/>
      <c r="ED97" s="40"/>
      <c r="EE97" s="40"/>
      <c r="EF97" s="40"/>
      <c r="EG97" s="40"/>
      <c r="EH97" s="40"/>
      <c r="EI97" s="40"/>
      <c r="EJ97" s="40"/>
      <c r="EK97" s="40"/>
      <c r="EL97" s="40"/>
      <c r="EM97" s="40"/>
      <c r="EN97" s="40"/>
      <c r="EO97" s="40"/>
      <c r="EP97" s="40"/>
      <c r="EQ97" s="40"/>
      <c r="ER97" s="40"/>
      <c r="ES97" s="40"/>
      <c r="ET97" s="40"/>
      <c r="EU97" s="40"/>
      <c r="EV97" s="40"/>
      <c r="EW97" s="40"/>
      <c r="EX97" s="40"/>
      <c r="EY97" s="40"/>
      <c r="EZ97" s="40"/>
      <c r="FA97" s="40"/>
      <c r="FB97" s="40"/>
      <c r="FC97" s="40"/>
      <c r="FD97" s="40"/>
      <c r="FE97" s="40"/>
      <c r="FF97" s="40"/>
      <c r="FG97" s="40"/>
      <c r="FH97" s="40"/>
      <c r="FI97" s="40"/>
      <c r="FJ97" s="40"/>
      <c r="FK97" s="40"/>
      <c r="FL97" s="40"/>
      <c r="FM97" s="40"/>
      <c r="FN97" s="40"/>
      <c r="FO97" s="40"/>
      <c r="FP97" s="40"/>
      <c r="FQ97" s="40"/>
      <c r="FR97" s="40"/>
      <c r="FS97" s="40"/>
      <c r="FT97" s="40"/>
      <c r="FU97" s="40"/>
      <c r="FV97" s="40"/>
      <c r="FW97" s="40"/>
      <c r="FX97" s="40"/>
      <c r="FY97" s="40"/>
      <c r="FZ97" s="40"/>
      <c r="GA97" s="40"/>
      <c r="GB97" s="40"/>
      <c r="GC97" s="40"/>
      <c r="GD97" s="40"/>
      <c r="GE97" s="40"/>
      <c r="GF97" s="40"/>
      <c r="GG97" s="40"/>
      <c r="GH97" s="40"/>
      <c r="GI97" s="40"/>
      <c r="GJ97" s="40"/>
      <c r="GK97" s="40"/>
      <c r="GL97" s="40"/>
      <c r="GM97" s="40"/>
      <c r="GN97" s="40"/>
      <c r="GO97" s="40"/>
      <c r="GP97" s="40"/>
      <c r="GQ97" s="40"/>
      <c r="GR97" s="40"/>
      <c r="GS97" s="40"/>
      <c r="GT97" s="40"/>
      <c r="GU97" s="40"/>
      <c r="GV97" s="40"/>
      <c r="GW97" s="40"/>
      <c r="GX97" s="40"/>
      <c r="GY97" s="40"/>
      <c r="GZ97" s="40"/>
      <c r="HA97" s="40"/>
      <c r="HB97" s="40"/>
      <c r="HC97" s="40"/>
      <c r="HD97" s="40"/>
      <c r="HE97" s="40"/>
      <c r="HF97" s="40"/>
      <c r="HG97" s="40"/>
      <c r="HH97" s="40"/>
      <c r="HI97" s="40"/>
      <c r="HJ97" s="40"/>
      <c r="HK97" s="40"/>
      <c r="HL97" s="40"/>
      <c r="HM97" s="40"/>
      <c r="HN97" s="40"/>
      <c r="HO97" s="40"/>
      <c r="HP97" s="40"/>
      <c r="HQ97" s="40"/>
      <c r="HR97" s="40"/>
      <c r="HS97" s="40"/>
      <c r="HT97" s="40"/>
      <c r="HU97" s="40"/>
    </row>
    <row r="98" spans="1:229" s="41" customFormat="1" ht="28.8" customHeight="1">
      <c r="A98" s="124" t="s">
        <v>1682</v>
      </c>
      <c r="B98" s="80" t="s">
        <v>1452</v>
      </c>
      <c r="C98" s="80"/>
      <c r="D98" s="80" t="s">
        <v>1453</v>
      </c>
      <c r="E98" s="80" t="s">
        <v>1454</v>
      </c>
      <c r="F98" s="80" t="s">
        <v>1455</v>
      </c>
      <c r="G98" s="135" t="s">
        <v>1456</v>
      </c>
      <c r="H98" s="81">
        <v>0.4</v>
      </c>
      <c r="I98" s="81"/>
      <c r="J98" s="79"/>
      <c r="K98" s="81"/>
      <c r="L98" s="79"/>
      <c r="M98" s="82" t="s">
        <v>1655</v>
      </c>
      <c r="N98" s="82" t="s">
        <v>1656</v>
      </c>
      <c r="O98" s="82" t="s">
        <v>316</v>
      </c>
      <c r="P98" s="142">
        <v>0.2</v>
      </c>
      <c r="Q98" s="40">
        <f>SUMIF(Data_P!A:A,CONCATENATE(A98,"_",R$1),Data_P!J:J)</f>
        <v>268.81</v>
      </c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0"/>
      <c r="DN98" s="40"/>
      <c r="DO98" s="40"/>
      <c r="DP98" s="40"/>
      <c r="DQ98" s="40"/>
      <c r="DR98" s="40"/>
      <c r="DS98" s="40"/>
      <c r="DT98" s="40"/>
      <c r="DU98" s="40"/>
      <c r="DV98" s="40"/>
      <c r="DW98" s="40"/>
      <c r="DX98" s="40"/>
      <c r="DY98" s="40"/>
      <c r="DZ98" s="40"/>
      <c r="EA98" s="40"/>
      <c r="EB98" s="40"/>
      <c r="EC98" s="40"/>
      <c r="ED98" s="40"/>
      <c r="EE98" s="40"/>
      <c r="EF98" s="40"/>
      <c r="EG98" s="40"/>
      <c r="EH98" s="40"/>
      <c r="EI98" s="40"/>
      <c r="EJ98" s="40"/>
      <c r="EK98" s="40"/>
      <c r="EL98" s="40"/>
      <c r="EM98" s="40"/>
      <c r="EN98" s="40"/>
      <c r="EO98" s="40"/>
      <c r="EP98" s="40"/>
      <c r="EQ98" s="40"/>
      <c r="ER98" s="40"/>
      <c r="ES98" s="40"/>
      <c r="ET98" s="40"/>
      <c r="EU98" s="40"/>
      <c r="EV98" s="40"/>
      <c r="EW98" s="40"/>
      <c r="EX98" s="40"/>
      <c r="EY98" s="40"/>
      <c r="EZ98" s="40"/>
      <c r="FA98" s="40"/>
      <c r="FB98" s="40"/>
      <c r="FC98" s="40"/>
      <c r="FD98" s="40"/>
      <c r="FE98" s="40"/>
      <c r="FF98" s="40"/>
      <c r="FG98" s="40"/>
      <c r="FH98" s="40"/>
      <c r="FI98" s="40"/>
      <c r="FJ98" s="40"/>
      <c r="FK98" s="40"/>
      <c r="FL98" s="40"/>
      <c r="FM98" s="40"/>
      <c r="FN98" s="40"/>
      <c r="FO98" s="40"/>
      <c r="FP98" s="40"/>
      <c r="FQ98" s="40"/>
      <c r="FR98" s="40"/>
      <c r="FS98" s="40"/>
      <c r="FT98" s="40"/>
      <c r="FU98" s="40"/>
      <c r="FV98" s="40"/>
      <c r="FW98" s="40"/>
      <c r="FX98" s="40"/>
      <c r="FY98" s="40"/>
      <c r="FZ98" s="40"/>
      <c r="GA98" s="40"/>
      <c r="GB98" s="40"/>
      <c r="GC98" s="40"/>
      <c r="GD98" s="40"/>
      <c r="GE98" s="40"/>
      <c r="GF98" s="40"/>
      <c r="GG98" s="40"/>
      <c r="GH98" s="40"/>
      <c r="GI98" s="40"/>
      <c r="GJ98" s="40"/>
      <c r="GK98" s="40"/>
      <c r="GL98" s="40"/>
      <c r="GM98" s="40"/>
      <c r="GN98" s="40"/>
      <c r="GO98" s="40"/>
      <c r="GP98" s="40"/>
      <c r="GQ98" s="40"/>
      <c r="GR98" s="40"/>
      <c r="GS98" s="40"/>
      <c r="GT98" s="40"/>
      <c r="GU98" s="40"/>
      <c r="GV98" s="40"/>
      <c r="GW98" s="40"/>
      <c r="GX98" s="40"/>
      <c r="GY98" s="40"/>
      <c r="GZ98" s="40"/>
      <c r="HA98" s="40"/>
      <c r="HB98" s="40"/>
      <c r="HC98" s="40"/>
      <c r="HD98" s="40"/>
      <c r="HE98" s="40"/>
      <c r="HF98" s="40"/>
      <c r="HG98" s="40"/>
      <c r="HH98" s="40"/>
      <c r="HI98" s="40"/>
      <c r="HJ98" s="40"/>
      <c r="HK98" s="40"/>
      <c r="HL98" s="40"/>
      <c r="HM98" s="40"/>
      <c r="HN98" s="40"/>
      <c r="HO98" s="40"/>
      <c r="HP98" s="40"/>
      <c r="HQ98" s="40"/>
      <c r="HR98" s="40"/>
      <c r="HS98" s="40"/>
      <c r="HT98" s="40"/>
      <c r="HU98" s="40"/>
    </row>
    <row r="99" spans="1:229" s="41" customFormat="1" ht="28.8" customHeight="1">
      <c r="A99" s="124" t="s">
        <v>1764</v>
      </c>
      <c r="B99" s="80" t="s">
        <v>1858</v>
      </c>
      <c r="C99" s="80"/>
      <c r="D99" s="80" t="s">
        <v>1859</v>
      </c>
      <c r="E99" s="80" t="s">
        <v>1860</v>
      </c>
      <c r="F99" s="80" t="s">
        <v>1861</v>
      </c>
      <c r="G99" s="135" t="s">
        <v>2080</v>
      </c>
      <c r="H99" s="81">
        <v>0.4</v>
      </c>
      <c r="I99" s="81"/>
      <c r="J99" s="79"/>
      <c r="K99" s="81"/>
      <c r="L99" s="79"/>
      <c r="M99" s="82"/>
      <c r="N99" s="82"/>
      <c r="O99" s="82" t="s">
        <v>317</v>
      </c>
      <c r="P99" s="142">
        <v>0.2</v>
      </c>
      <c r="Q99" s="40">
        <f>SUMIF(Data_P!A:A,CONCATENATE(A99,"_",R$1),Data_P!J:J)</f>
        <v>0</v>
      </c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0"/>
      <c r="DN99" s="40"/>
      <c r="DO99" s="40"/>
      <c r="DP99" s="40"/>
      <c r="DQ99" s="40"/>
      <c r="DR99" s="40"/>
      <c r="DS99" s="40"/>
      <c r="DT99" s="40"/>
      <c r="DU99" s="40"/>
      <c r="DV99" s="40"/>
      <c r="DW99" s="40"/>
      <c r="DX99" s="40"/>
      <c r="DY99" s="40"/>
      <c r="DZ99" s="40"/>
      <c r="EA99" s="40"/>
      <c r="EB99" s="40"/>
      <c r="EC99" s="40"/>
      <c r="ED99" s="40"/>
      <c r="EE99" s="40"/>
      <c r="EF99" s="40"/>
      <c r="EG99" s="40"/>
      <c r="EH99" s="40"/>
      <c r="EI99" s="40"/>
      <c r="EJ99" s="40"/>
      <c r="EK99" s="40"/>
      <c r="EL99" s="40"/>
      <c r="EM99" s="40"/>
      <c r="EN99" s="40"/>
      <c r="EO99" s="40"/>
      <c r="EP99" s="40"/>
      <c r="EQ99" s="40"/>
      <c r="ER99" s="40"/>
      <c r="ES99" s="40"/>
      <c r="ET99" s="40"/>
      <c r="EU99" s="40"/>
      <c r="EV99" s="40"/>
      <c r="EW99" s="40"/>
      <c r="EX99" s="40"/>
      <c r="EY99" s="40"/>
      <c r="EZ99" s="40"/>
      <c r="FA99" s="40"/>
      <c r="FB99" s="40"/>
      <c r="FC99" s="40"/>
      <c r="FD99" s="40"/>
      <c r="FE99" s="40"/>
      <c r="FF99" s="40"/>
      <c r="FG99" s="40"/>
      <c r="FH99" s="40"/>
      <c r="FI99" s="40"/>
      <c r="FJ99" s="40"/>
      <c r="FK99" s="40"/>
      <c r="FL99" s="40"/>
      <c r="FM99" s="40"/>
      <c r="FN99" s="40"/>
      <c r="FO99" s="40"/>
      <c r="FP99" s="40"/>
      <c r="FQ99" s="40"/>
      <c r="FR99" s="40"/>
      <c r="FS99" s="40"/>
      <c r="FT99" s="40"/>
      <c r="FU99" s="40"/>
      <c r="FV99" s="40"/>
      <c r="FW99" s="40"/>
      <c r="FX99" s="40"/>
      <c r="FY99" s="40"/>
      <c r="FZ99" s="40"/>
      <c r="GA99" s="40"/>
      <c r="GB99" s="40"/>
      <c r="GC99" s="40"/>
      <c r="GD99" s="40"/>
      <c r="GE99" s="40"/>
      <c r="GF99" s="40"/>
      <c r="GG99" s="40"/>
      <c r="GH99" s="40"/>
      <c r="GI99" s="40"/>
      <c r="GJ99" s="40"/>
      <c r="GK99" s="40"/>
      <c r="GL99" s="40"/>
      <c r="GM99" s="40"/>
      <c r="GN99" s="40"/>
      <c r="GO99" s="40"/>
      <c r="GP99" s="40"/>
      <c r="GQ99" s="40"/>
      <c r="GR99" s="40"/>
      <c r="GS99" s="40"/>
      <c r="GT99" s="40"/>
      <c r="GU99" s="40"/>
      <c r="GV99" s="40"/>
      <c r="GW99" s="40"/>
      <c r="GX99" s="40"/>
      <c r="GY99" s="40"/>
      <c r="GZ99" s="40"/>
      <c r="HA99" s="40"/>
      <c r="HB99" s="40"/>
      <c r="HC99" s="40"/>
      <c r="HD99" s="40"/>
      <c r="HE99" s="40"/>
      <c r="HF99" s="40"/>
      <c r="HG99" s="40"/>
      <c r="HH99" s="40"/>
      <c r="HI99" s="40"/>
      <c r="HJ99" s="40"/>
      <c r="HK99" s="40"/>
      <c r="HL99" s="40"/>
      <c r="HM99" s="40"/>
      <c r="HN99" s="40"/>
      <c r="HO99" s="40"/>
      <c r="HP99" s="40"/>
      <c r="HQ99" s="40"/>
      <c r="HR99" s="40"/>
      <c r="HS99" s="40"/>
      <c r="HT99" s="40"/>
      <c r="HU99" s="40"/>
    </row>
    <row r="100" spans="1:229" s="41" customFormat="1" ht="28.8" customHeight="1">
      <c r="A100" s="124" t="s">
        <v>1720</v>
      </c>
      <c r="B100" s="80" t="s">
        <v>1721</v>
      </c>
      <c r="C100" s="80"/>
      <c r="D100" s="80" t="s">
        <v>1722</v>
      </c>
      <c r="E100" s="80" t="s">
        <v>547</v>
      </c>
      <c r="F100" s="80" t="s">
        <v>1723</v>
      </c>
      <c r="G100" s="135" t="s">
        <v>1724</v>
      </c>
      <c r="H100" s="81">
        <v>0.3</v>
      </c>
      <c r="I100" s="81"/>
      <c r="J100" s="79"/>
      <c r="K100" s="81"/>
      <c r="L100" s="79"/>
      <c r="M100" s="82" t="s">
        <v>1725</v>
      </c>
      <c r="N100" s="82" t="s">
        <v>1726</v>
      </c>
      <c r="O100" s="82" t="s">
        <v>2274</v>
      </c>
      <c r="P100" s="142">
        <v>0.2</v>
      </c>
      <c r="Q100" s="40">
        <f>SUMIF(Data_P!A:A,CONCATENATE(A100,"_",R$1),Data_P!J:J)</f>
        <v>277.48</v>
      </c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0"/>
      <c r="DN100" s="40"/>
      <c r="DO100" s="40"/>
      <c r="DP100" s="40"/>
      <c r="DQ100" s="40"/>
      <c r="DR100" s="40"/>
      <c r="DS100" s="40"/>
      <c r="DT100" s="40"/>
      <c r="DU100" s="40"/>
      <c r="DV100" s="40"/>
      <c r="DW100" s="40"/>
      <c r="DX100" s="40"/>
      <c r="DY100" s="40"/>
      <c r="DZ100" s="40"/>
      <c r="EA100" s="40"/>
      <c r="EB100" s="40"/>
      <c r="EC100" s="40"/>
      <c r="ED100" s="40"/>
      <c r="EE100" s="40"/>
      <c r="EF100" s="40"/>
      <c r="EG100" s="40"/>
      <c r="EH100" s="40"/>
      <c r="EI100" s="40"/>
      <c r="EJ100" s="40"/>
      <c r="EK100" s="40"/>
      <c r="EL100" s="40"/>
      <c r="EM100" s="40"/>
      <c r="EN100" s="40"/>
      <c r="EO100" s="40"/>
      <c r="EP100" s="40"/>
      <c r="EQ100" s="40"/>
      <c r="ER100" s="40"/>
      <c r="ES100" s="40"/>
      <c r="ET100" s="40"/>
      <c r="EU100" s="40"/>
      <c r="EV100" s="40"/>
      <c r="EW100" s="40"/>
      <c r="EX100" s="40"/>
      <c r="EY100" s="40"/>
      <c r="EZ100" s="40"/>
      <c r="FA100" s="40"/>
      <c r="FB100" s="40"/>
      <c r="FC100" s="40"/>
      <c r="FD100" s="40"/>
      <c r="FE100" s="40"/>
      <c r="FF100" s="40"/>
      <c r="FG100" s="40"/>
      <c r="FH100" s="40"/>
      <c r="FI100" s="40"/>
      <c r="FJ100" s="40"/>
      <c r="FK100" s="40"/>
      <c r="FL100" s="40"/>
      <c r="FM100" s="40"/>
      <c r="FN100" s="40"/>
      <c r="FO100" s="40"/>
      <c r="FP100" s="40"/>
      <c r="FQ100" s="40"/>
      <c r="FR100" s="40"/>
      <c r="FS100" s="40"/>
      <c r="FT100" s="40"/>
      <c r="FU100" s="40"/>
      <c r="FV100" s="40"/>
      <c r="FW100" s="40"/>
      <c r="FX100" s="40"/>
      <c r="FY100" s="40"/>
      <c r="FZ100" s="40"/>
      <c r="GA100" s="40"/>
      <c r="GB100" s="40"/>
      <c r="GC100" s="40"/>
      <c r="GD100" s="40"/>
      <c r="GE100" s="40"/>
      <c r="GF100" s="40"/>
      <c r="GG100" s="40"/>
      <c r="GH100" s="40"/>
      <c r="GI100" s="40"/>
      <c r="GJ100" s="40"/>
      <c r="GK100" s="40"/>
      <c r="GL100" s="40"/>
      <c r="GM100" s="40"/>
      <c r="GN100" s="40"/>
      <c r="GO100" s="40"/>
      <c r="GP100" s="40"/>
      <c r="GQ100" s="40"/>
      <c r="GR100" s="40"/>
      <c r="GS100" s="40"/>
      <c r="GT100" s="40"/>
      <c r="GU100" s="40"/>
      <c r="GV100" s="40"/>
      <c r="GW100" s="40"/>
      <c r="GX100" s="40"/>
      <c r="GY100" s="40"/>
      <c r="GZ100" s="40"/>
      <c r="HA100" s="40"/>
      <c r="HB100" s="40"/>
      <c r="HC100" s="40"/>
      <c r="HD100" s="40"/>
      <c r="HE100" s="40"/>
      <c r="HF100" s="40"/>
      <c r="HG100" s="40"/>
      <c r="HH100" s="40"/>
      <c r="HI100" s="40"/>
      <c r="HJ100" s="40"/>
      <c r="HK100" s="40"/>
      <c r="HL100" s="40"/>
      <c r="HM100" s="40"/>
      <c r="HN100" s="40"/>
      <c r="HO100" s="40"/>
      <c r="HP100" s="40"/>
      <c r="HQ100" s="40"/>
      <c r="HR100" s="40"/>
      <c r="HS100" s="40"/>
      <c r="HT100" s="40"/>
      <c r="HU100" s="40"/>
    </row>
    <row r="101" spans="1:229" s="41" customFormat="1" ht="28.8" customHeight="1">
      <c r="A101" s="124" t="s">
        <v>1720</v>
      </c>
      <c r="B101" s="80" t="s">
        <v>1721</v>
      </c>
      <c r="C101" s="80" t="s">
        <v>2364</v>
      </c>
      <c r="D101" s="80" t="s">
        <v>1722</v>
      </c>
      <c r="E101" s="80" t="s">
        <v>547</v>
      </c>
      <c r="F101" s="135" t="s">
        <v>1723</v>
      </c>
      <c r="G101" s="81" t="s">
        <v>1724</v>
      </c>
      <c r="H101" s="81">
        <v>0.3</v>
      </c>
      <c r="I101" s="81"/>
      <c r="J101" s="79"/>
      <c r="K101" s="81"/>
      <c r="L101" s="79"/>
      <c r="M101" s="82" t="s">
        <v>1725</v>
      </c>
      <c r="N101" s="82" t="s">
        <v>1726</v>
      </c>
      <c r="O101" s="82" t="s">
        <v>317</v>
      </c>
      <c r="P101" s="142">
        <v>0.2</v>
      </c>
      <c r="Q101" s="40">
        <f>SUMIF(Data_P!A:A,CONCATENATE(A101,"_",R$1),Data_P!J:J)</f>
        <v>277.48</v>
      </c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40"/>
      <c r="BQ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0"/>
      <c r="DN101" s="40"/>
      <c r="DO101" s="40"/>
      <c r="DP101" s="40"/>
      <c r="DQ101" s="40"/>
      <c r="DR101" s="40"/>
      <c r="DS101" s="40"/>
      <c r="DT101" s="40"/>
      <c r="DU101" s="40"/>
      <c r="DV101" s="40"/>
      <c r="DW101" s="40"/>
      <c r="DX101" s="40"/>
      <c r="DY101" s="40"/>
      <c r="DZ101" s="40"/>
      <c r="EA101" s="40"/>
      <c r="EB101" s="40"/>
      <c r="EC101" s="40"/>
      <c r="ED101" s="40"/>
      <c r="EE101" s="40"/>
      <c r="EF101" s="40"/>
      <c r="EG101" s="40"/>
      <c r="EH101" s="40"/>
      <c r="EI101" s="40"/>
      <c r="EJ101" s="40"/>
      <c r="EK101" s="40"/>
      <c r="EL101" s="40"/>
      <c r="EM101" s="40"/>
      <c r="EN101" s="40"/>
      <c r="EO101" s="40"/>
      <c r="EP101" s="40"/>
      <c r="EQ101" s="40"/>
      <c r="ER101" s="40"/>
      <c r="ES101" s="40"/>
      <c r="ET101" s="40"/>
      <c r="EU101" s="40"/>
      <c r="EV101" s="40"/>
      <c r="EW101" s="40"/>
      <c r="EX101" s="40"/>
      <c r="EY101" s="40"/>
      <c r="EZ101" s="40"/>
      <c r="FA101" s="40"/>
      <c r="FB101" s="40"/>
      <c r="FC101" s="40"/>
      <c r="FD101" s="40"/>
      <c r="FE101" s="40"/>
      <c r="FF101" s="40"/>
      <c r="FG101" s="40"/>
      <c r="FH101" s="40"/>
      <c r="FI101" s="40"/>
      <c r="FJ101" s="40"/>
      <c r="FK101" s="40"/>
      <c r="FL101" s="40"/>
      <c r="FM101" s="40"/>
      <c r="FN101" s="40"/>
      <c r="FO101" s="40"/>
      <c r="FP101" s="40"/>
      <c r="FQ101" s="40"/>
      <c r="FR101" s="40"/>
      <c r="FS101" s="40"/>
      <c r="FT101" s="40"/>
      <c r="FU101" s="40"/>
      <c r="FV101" s="40"/>
      <c r="FW101" s="40"/>
      <c r="FX101" s="40"/>
      <c r="FY101" s="40"/>
      <c r="FZ101" s="40"/>
      <c r="GA101" s="40"/>
      <c r="GB101" s="40"/>
      <c r="GC101" s="40"/>
      <c r="GD101" s="40"/>
      <c r="GE101" s="40"/>
      <c r="GF101" s="40"/>
      <c r="GG101" s="40"/>
      <c r="GH101" s="40"/>
      <c r="GI101" s="40"/>
      <c r="GJ101" s="40"/>
      <c r="GK101" s="40"/>
      <c r="GL101" s="40"/>
      <c r="GM101" s="40"/>
      <c r="GN101" s="40"/>
      <c r="GO101" s="40"/>
      <c r="GP101" s="40"/>
      <c r="GQ101" s="40"/>
      <c r="GR101" s="40"/>
      <c r="GS101" s="40"/>
      <c r="GT101" s="40"/>
      <c r="GU101" s="40"/>
      <c r="GV101" s="40"/>
      <c r="GW101" s="40"/>
      <c r="GX101" s="40"/>
      <c r="GY101" s="40"/>
      <c r="GZ101" s="40"/>
      <c r="HA101" s="40"/>
      <c r="HB101" s="40"/>
      <c r="HC101" s="40"/>
      <c r="HD101" s="40"/>
      <c r="HE101" s="40"/>
      <c r="HF101" s="40"/>
      <c r="HG101" s="40"/>
      <c r="HH101" s="40"/>
      <c r="HI101" s="40"/>
      <c r="HJ101" s="40"/>
      <c r="HK101" s="40"/>
      <c r="HL101" s="40"/>
      <c r="HM101" s="40"/>
      <c r="HN101" s="40"/>
      <c r="HO101" s="40"/>
      <c r="HP101" s="40"/>
      <c r="HQ101" s="40"/>
      <c r="HR101" s="40"/>
      <c r="HS101" s="40"/>
      <c r="HT101" s="40"/>
      <c r="HU101" s="40"/>
    </row>
    <row r="102" spans="1:229" s="41" customFormat="1" ht="28.8" customHeight="1">
      <c r="A102" s="124" t="s">
        <v>2081</v>
      </c>
      <c r="B102" s="80" t="s">
        <v>412</v>
      </c>
      <c r="C102" s="80"/>
      <c r="D102" s="80" t="s">
        <v>413</v>
      </c>
      <c r="E102" s="80" t="s">
        <v>414</v>
      </c>
      <c r="F102" s="80" t="s">
        <v>2172</v>
      </c>
      <c r="G102" s="135" t="s">
        <v>2082</v>
      </c>
      <c r="H102" s="81">
        <v>0.5</v>
      </c>
      <c r="I102" s="81">
        <v>-0.1</v>
      </c>
      <c r="J102" s="79" t="s">
        <v>399</v>
      </c>
      <c r="K102" s="81"/>
      <c r="L102" s="79"/>
      <c r="M102" s="82" t="s">
        <v>456</v>
      </c>
      <c r="N102" s="82" t="s">
        <v>240</v>
      </c>
      <c r="O102" s="82" t="s">
        <v>316</v>
      </c>
      <c r="P102" s="142">
        <v>0.2</v>
      </c>
      <c r="Q102" s="40">
        <f>SUMIF(Data_P!A:A,CONCATENATE(A102,"_",R$1),Data_P!J:J)</f>
        <v>296.44</v>
      </c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0"/>
      <c r="DN102" s="40"/>
      <c r="DO102" s="40"/>
      <c r="DP102" s="40"/>
      <c r="DQ102" s="40"/>
      <c r="DR102" s="40"/>
      <c r="DS102" s="40"/>
      <c r="DT102" s="40"/>
      <c r="DU102" s="40"/>
      <c r="DV102" s="40"/>
      <c r="DW102" s="40"/>
      <c r="DX102" s="40"/>
      <c r="DY102" s="40"/>
      <c r="DZ102" s="40"/>
      <c r="EA102" s="40"/>
      <c r="EB102" s="40"/>
      <c r="EC102" s="40"/>
      <c r="ED102" s="40"/>
      <c r="EE102" s="40"/>
      <c r="EF102" s="40"/>
      <c r="EG102" s="40"/>
      <c r="EH102" s="40"/>
      <c r="EI102" s="40"/>
      <c r="EJ102" s="40"/>
      <c r="EK102" s="40"/>
      <c r="EL102" s="40"/>
      <c r="EM102" s="40"/>
      <c r="EN102" s="40"/>
      <c r="EO102" s="40"/>
      <c r="EP102" s="40"/>
      <c r="EQ102" s="40"/>
      <c r="ER102" s="40"/>
      <c r="ES102" s="40"/>
      <c r="ET102" s="40"/>
      <c r="EU102" s="40"/>
      <c r="EV102" s="40"/>
      <c r="EW102" s="40"/>
      <c r="EX102" s="40"/>
      <c r="EY102" s="40"/>
      <c r="EZ102" s="40"/>
      <c r="FA102" s="40"/>
      <c r="FB102" s="40"/>
      <c r="FC102" s="40"/>
      <c r="FD102" s="40"/>
      <c r="FE102" s="40"/>
      <c r="FF102" s="40"/>
      <c r="FG102" s="40"/>
      <c r="FH102" s="40"/>
      <c r="FI102" s="40"/>
      <c r="FJ102" s="40"/>
      <c r="FK102" s="40"/>
      <c r="FL102" s="40"/>
      <c r="FM102" s="40"/>
      <c r="FN102" s="40"/>
      <c r="FO102" s="40"/>
      <c r="FP102" s="40"/>
      <c r="FQ102" s="40"/>
      <c r="FR102" s="40"/>
      <c r="FS102" s="40"/>
      <c r="FT102" s="40"/>
      <c r="FU102" s="40"/>
      <c r="FV102" s="40"/>
      <c r="FW102" s="40"/>
      <c r="FX102" s="40"/>
      <c r="FY102" s="40"/>
      <c r="FZ102" s="40"/>
      <c r="GA102" s="40"/>
      <c r="GB102" s="40"/>
      <c r="GC102" s="40"/>
      <c r="GD102" s="40"/>
      <c r="GE102" s="40"/>
      <c r="GF102" s="40"/>
      <c r="GG102" s="40"/>
      <c r="GH102" s="40"/>
      <c r="GI102" s="40"/>
      <c r="GJ102" s="40"/>
      <c r="GK102" s="40"/>
      <c r="GL102" s="40"/>
      <c r="GM102" s="40"/>
      <c r="GN102" s="40"/>
      <c r="GO102" s="40"/>
      <c r="GP102" s="40"/>
      <c r="GQ102" s="40"/>
      <c r="GR102" s="40"/>
      <c r="GS102" s="40"/>
      <c r="GT102" s="40"/>
      <c r="GU102" s="40"/>
      <c r="GV102" s="40"/>
      <c r="GW102" s="40"/>
      <c r="GX102" s="40"/>
      <c r="GY102" s="40"/>
      <c r="GZ102" s="40"/>
      <c r="HA102" s="40"/>
      <c r="HB102" s="40"/>
      <c r="HC102" s="40"/>
      <c r="HD102" s="40"/>
      <c r="HE102" s="40"/>
      <c r="HF102" s="40"/>
      <c r="HG102" s="40"/>
      <c r="HH102" s="40"/>
      <c r="HI102" s="40"/>
      <c r="HJ102" s="40"/>
      <c r="HK102" s="40"/>
      <c r="HL102" s="40"/>
      <c r="HM102" s="40"/>
      <c r="HN102" s="40"/>
      <c r="HO102" s="40"/>
      <c r="HP102" s="40"/>
      <c r="HQ102" s="40"/>
      <c r="HR102" s="40"/>
      <c r="HS102" s="40"/>
      <c r="HT102" s="40"/>
      <c r="HU102" s="40"/>
    </row>
    <row r="103" spans="1:229" s="41" customFormat="1" ht="28.8" customHeight="1">
      <c r="A103" s="124" t="s">
        <v>1978</v>
      </c>
      <c r="B103" s="80" t="s">
        <v>2023</v>
      </c>
      <c r="C103" s="80"/>
      <c r="D103" s="80" t="s">
        <v>1213</v>
      </c>
      <c r="E103" s="80" t="s">
        <v>1214</v>
      </c>
      <c r="F103" s="80" t="s">
        <v>1215</v>
      </c>
      <c r="G103" s="135" t="s">
        <v>2083</v>
      </c>
      <c r="H103" s="81">
        <v>0.5</v>
      </c>
      <c r="I103" s="81"/>
      <c r="J103" s="79"/>
      <c r="K103" s="81"/>
      <c r="L103" s="79"/>
      <c r="M103" s="82" t="s">
        <v>1660</v>
      </c>
      <c r="N103" s="82" t="s">
        <v>1606</v>
      </c>
      <c r="O103" s="82" t="s">
        <v>317</v>
      </c>
      <c r="P103" s="142">
        <v>0.21</v>
      </c>
      <c r="Q103" s="40">
        <f>SUMIF(Data_P!A:A,CONCATENATE(A103,"_",R$1),Data_P!J:J)</f>
        <v>13.25</v>
      </c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40"/>
      <c r="BQ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0"/>
      <c r="DN103" s="40"/>
      <c r="DO103" s="40"/>
      <c r="DP103" s="40"/>
      <c r="DQ103" s="40"/>
      <c r="DR103" s="40"/>
      <c r="DS103" s="40"/>
      <c r="DT103" s="40"/>
      <c r="DU103" s="40"/>
      <c r="DV103" s="40"/>
      <c r="DW103" s="40"/>
      <c r="DX103" s="40"/>
      <c r="DY103" s="40"/>
      <c r="DZ103" s="40"/>
      <c r="EA103" s="40"/>
      <c r="EB103" s="40"/>
      <c r="EC103" s="40"/>
      <c r="ED103" s="40"/>
      <c r="EE103" s="40"/>
      <c r="EF103" s="40"/>
      <c r="EG103" s="40"/>
      <c r="EH103" s="40"/>
      <c r="EI103" s="40"/>
      <c r="EJ103" s="40"/>
      <c r="EK103" s="40"/>
      <c r="EL103" s="40"/>
      <c r="EM103" s="40"/>
      <c r="EN103" s="40"/>
      <c r="EO103" s="40"/>
      <c r="EP103" s="40"/>
      <c r="EQ103" s="40"/>
      <c r="ER103" s="40"/>
      <c r="ES103" s="40"/>
      <c r="ET103" s="40"/>
      <c r="EU103" s="40"/>
      <c r="EV103" s="40"/>
      <c r="EW103" s="40"/>
      <c r="EX103" s="40"/>
      <c r="EY103" s="40"/>
      <c r="EZ103" s="40"/>
      <c r="FA103" s="40"/>
      <c r="FB103" s="40"/>
      <c r="FC103" s="40"/>
      <c r="FD103" s="40"/>
      <c r="FE103" s="40"/>
      <c r="FF103" s="40"/>
      <c r="FG103" s="40"/>
      <c r="FH103" s="40"/>
      <c r="FI103" s="40"/>
      <c r="FJ103" s="40"/>
      <c r="FK103" s="40"/>
      <c r="FL103" s="40"/>
      <c r="FM103" s="40"/>
      <c r="FN103" s="40"/>
      <c r="FO103" s="40"/>
      <c r="FP103" s="40"/>
      <c r="FQ103" s="40"/>
      <c r="FR103" s="40"/>
      <c r="FS103" s="40"/>
      <c r="FT103" s="40"/>
      <c r="FU103" s="40"/>
      <c r="FV103" s="40"/>
      <c r="FW103" s="40"/>
      <c r="FX103" s="40"/>
      <c r="FY103" s="40"/>
      <c r="FZ103" s="40"/>
      <c r="GA103" s="40"/>
      <c r="GB103" s="40"/>
      <c r="GC103" s="40"/>
      <c r="GD103" s="40"/>
      <c r="GE103" s="40"/>
      <c r="GF103" s="40"/>
      <c r="GG103" s="40"/>
      <c r="GH103" s="40"/>
      <c r="GI103" s="40"/>
      <c r="GJ103" s="40"/>
      <c r="GK103" s="40"/>
      <c r="GL103" s="40"/>
      <c r="GM103" s="40"/>
      <c r="GN103" s="40"/>
      <c r="GO103" s="40"/>
      <c r="GP103" s="40"/>
      <c r="GQ103" s="40"/>
      <c r="GR103" s="40"/>
      <c r="GS103" s="40"/>
      <c r="GT103" s="40"/>
      <c r="GU103" s="40"/>
      <c r="GV103" s="40"/>
      <c r="GW103" s="40"/>
      <c r="GX103" s="40"/>
      <c r="GY103" s="40"/>
      <c r="GZ103" s="40"/>
      <c r="HA103" s="40"/>
      <c r="HB103" s="40"/>
      <c r="HC103" s="40"/>
      <c r="HD103" s="40"/>
      <c r="HE103" s="40"/>
      <c r="HF103" s="40"/>
      <c r="HG103" s="40"/>
      <c r="HH103" s="40"/>
      <c r="HI103" s="40"/>
      <c r="HJ103" s="40"/>
      <c r="HK103" s="40"/>
      <c r="HL103" s="40"/>
      <c r="HM103" s="40"/>
      <c r="HN103" s="40"/>
      <c r="HO103" s="40"/>
      <c r="HP103" s="40"/>
      <c r="HQ103" s="40"/>
      <c r="HR103" s="40"/>
      <c r="HS103" s="40"/>
      <c r="HT103" s="40"/>
      <c r="HU103" s="40"/>
    </row>
    <row r="104" spans="1:229" s="41" customFormat="1" ht="28.8" customHeight="1">
      <c r="A104" s="124" t="s">
        <v>2086</v>
      </c>
      <c r="B104" s="80" t="s">
        <v>1462</v>
      </c>
      <c r="C104" s="80"/>
      <c r="D104" s="80" t="s">
        <v>1463</v>
      </c>
      <c r="E104" s="80" t="s">
        <v>1464</v>
      </c>
      <c r="F104" s="80" t="s">
        <v>1465</v>
      </c>
      <c r="G104" s="135" t="s">
        <v>1466</v>
      </c>
      <c r="H104" s="81">
        <v>0.3</v>
      </c>
      <c r="I104" s="81"/>
      <c r="J104" s="79"/>
      <c r="K104" s="81"/>
      <c r="L104" s="79"/>
      <c r="M104" s="82" t="s">
        <v>1553</v>
      </c>
      <c r="N104" s="82" t="s">
        <v>294</v>
      </c>
      <c r="O104" s="82" t="s">
        <v>316</v>
      </c>
      <c r="P104" s="142">
        <v>0.2</v>
      </c>
      <c r="Q104" s="40">
        <f>SUMIF(Data_P!A:A,CONCATENATE(A104,"_",R$1),Data_P!J:J)</f>
        <v>344.25</v>
      </c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  <c r="BO104" s="40"/>
      <c r="BP104" s="40"/>
      <c r="BQ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40"/>
      <c r="CF104" s="40"/>
      <c r="CG104" s="40"/>
      <c r="CH104" s="40"/>
      <c r="CI104" s="40"/>
      <c r="CJ104" s="40"/>
      <c r="CK104" s="40"/>
      <c r="CL104" s="40"/>
      <c r="CM104" s="40"/>
      <c r="CN104" s="40"/>
      <c r="CO104" s="40"/>
      <c r="CP104" s="40"/>
      <c r="CQ104" s="40"/>
      <c r="CR104" s="40"/>
      <c r="CS104" s="40"/>
      <c r="CT104" s="40"/>
      <c r="CU104" s="40"/>
      <c r="CV104" s="40"/>
      <c r="CW104" s="40"/>
      <c r="CX104" s="40"/>
      <c r="CY104" s="40"/>
      <c r="CZ104" s="40"/>
      <c r="DA104" s="40"/>
      <c r="DB104" s="40"/>
      <c r="DC104" s="40"/>
      <c r="DD104" s="40"/>
      <c r="DE104" s="40"/>
      <c r="DF104" s="40"/>
      <c r="DG104" s="40"/>
      <c r="DH104" s="40"/>
      <c r="DI104" s="40"/>
      <c r="DJ104" s="40"/>
      <c r="DK104" s="40"/>
      <c r="DL104" s="40"/>
      <c r="DM104" s="40"/>
      <c r="DN104" s="40"/>
      <c r="DO104" s="40"/>
      <c r="DP104" s="40"/>
      <c r="DQ104" s="40"/>
      <c r="DR104" s="40"/>
      <c r="DS104" s="40"/>
      <c r="DT104" s="40"/>
      <c r="DU104" s="40"/>
      <c r="DV104" s="40"/>
      <c r="DW104" s="40"/>
      <c r="DX104" s="40"/>
      <c r="DY104" s="40"/>
      <c r="DZ104" s="40"/>
      <c r="EA104" s="40"/>
      <c r="EB104" s="40"/>
      <c r="EC104" s="40"/>
      <c r="ED104" s="40"/>
      <c r="EE104" s="40"/>
      <c r="EF104" s="40"/>
      <c r="EG104" s="40"/>
      <c r="EH104" s="40"/>
      <c r="EI104" s="40"/>
      <c r="EJ104" s="40"/>
      <c r="EK104" s="40"/>
      <c r="EL104" s="40"/>
      <c r="EM104" s="40"/>
      <c r="EN104" s="40"/>
      <c r="EO104" s="40"/>
      <c r="EP104" s="40"/>
      <c r="EQ104" s="40"/>
      <c r="ER104" s="40"/>
      <c r="ES104" s="40"/>
      <c r="ET104" s="40"/>
      <c r="EU104" s="40"/>
      <c r="EV104" s="40"/>
      <c r="EW104" s="40"/>
      <c r="EX104" s="40"/>
      <c r="EY104" s="40"/>
      <c r="EZ104" s="40"/>
      <c r="FA104" s="40"/>
      <c r="FB104" s="40"/>
      <c r="FC104" s="40"/>
      <c r="FD104" s="40"/>
      <c r="FE104" s="40"/>
      <c r="FF104" s="40"/>
      <c r="FG104" s="40"/>
      <c r="FH104" s="40"/>
      <c r="FI104" s="40"/>
      <c r="FJ104" s="40"/>
      <c r="FK104" s="40"/>
      <c r="FL104" s="40"/>
      <c r="FM104" s="40"/>
      <c r="FN104" s="40"/>
      <c r="FO104" s="40"/>
      <c r="FP104" s="40"/>
      <c r="FQ104" s="40"/>
      <c r="FR104" s="40"/>
      <c r="FS104" s="40"/>
      <c r="FT104" s="40"/>
      <c r="FU104" s="40"/>
      <c r="FV104" s="40"/>
      <c r="FW104" s="40"/>
      <c r="FX104" s="40"/>
      <c r="FY104" s="40"/>
      <c r="FZ104" s="40"/>
      <c r="GA104" s="40"/>
      <c r="GB104" s="40"/>
      <c r="GC104" s="40"/>
      <c r="GD104" s="40"/>
      <c r="GE104" s="40"/>
      <c r="GF104" s="40"/>
      <c r="GG104" s="40"/>
      <c r="GH104" s="40"/>
      <c r="GI104" s="40"/>
      <c r="GJ104" s="40"/>
      <c r="GK104" s="40"/>
      <c r="GL104" s="40"/>
      <c r="GM104" s="40"/>
      <c r="GN104" s="40"/>
      <c r="GO104" s="40"/>
      <c r="GP104" s="40"/>
      <c r="GQ104" s="40"/>
      <c r="GR104" s="40"/>
      <c r="GS104" s="40"/>
      <c r="GT104" s="40"/>
      <c r="GU104" s="40"/>
      <c r="GV104" s="40"/>
      <c r="GW104" s="40"/>
      <c r="GX104" s="40"/>
      <c r="GY104" s="40"/>
      <c r="GZ104" s="40"/>
      <c r="HA104" s="40"/>
      <c r="HB104" s="40"/>
      <c r="HC104" s="40"/>
      <c r="HD104" s="40"/>
      <c r="HE104" s="40"/>
      <c r="HF104" s="40"/>
      <c r="HG104" s="40"/>
      <c r="HH104" s="40"/>
      <c r="HI104" s="40"/>
      <c r="HJ104" s="40"/>
      <c r="HK104" s="40"/>
      <c r="HL104" s="40"/>
      <c r="HM104" s="40"/>
      <c r="HN104" s="40"/>
      <c r="HO104" s="40"/>
      <c r="HP104" s="40"/>
      <c r="HQ104" s="40"/>
      <c r="HR104" s="40"/>
      <c r="HS104" s="40"/>
      <c r="HT104" s="40"/>
      <c r="HU104" s="40"/>
    </row>
    <row r="105" spans="1:229" s="41" customFormat="1" ht="28.8" customHeight="1">
      <c r="A105" s="124" t="s">
        <v>2084</v>
      </c>
      <c r="B105" s="80" t="s">
        <v>1727</v>
      </c>
      <c r="C105" s="80"/>
      <c r="D105" s="80" t="s">
        <v>1728</v>
      </c>
      <c r="E105" s="80" t="s">
        <v>1729</v>
      </c>
      <c r="F105" s="80" t="s">
        <v>1730</v>
      </c>
      <c r="G105" s="135" t="s">
        <v>1731</v>
      </c>
      <c r="H105" s="81">
        <v>0.3</v>
      </c>
      <c r="I105" s="81"/>
      <c r="J105" s="79"/>
      <c r="K105" s="81"/>
      <c r="L105" s="79"/>
      <c r="M105" s="82"/>
      <c r="N105" s="82"/>
      <c r="O105" s="82" t="s">
        <v>316</v>
      </c>
      <c r="P105" s="142">
        <v>0.2</v>
      </c>
      <c r="Q105" s="40">
        <f>SUMIF(Data_P!A:A,CONCATENATE(A105,"_",R$1),Data_P!J:J)</f>
        <v>0</v>
      </c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  <c r="BK105" s="40"/>
      <c r="BL105" s="40"/>
      <c r="BM105" s="40"/>
      <c r="BN105" s="40"/>
      <c r="BO105" s="40"/>
      <c r="BP105" s="40"/>
      <c r="BQ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40"/>
      <c r="CF105" s="40"/>
      <c r="CG105" s="40"/>
      <c r="CH105" s="40"/>
      <c r="CI105" s="40"/>
      <c r="CJ105" s="40"/>
      <c r="CK105" s="40"/>
      <c r="CL105" s="40"/>
      <c r="CM105" s="40"/>
      <c r="CN105" s="40"/>
      <c r="CO105" s="40"/>
      <c r="CP105" s="40"/>
      <c r="CQ105" s="40"/>
      <c r="CR105" s="40"/>
      <c r="CS105" s="40"/>
      <c r="CT105" s="40"/>
      <c r="CU105" s="40"/>
      <c r="CV105" s="40"/>
      <c r="CW105" s="40"/>
      <c r="CX105" s="40"/>
      <c r="CY105" s="40"/>
      <c r="CZ105" s="40"/>
      <c r="DA105" s="40"/>
      <c r="DB105" s="40"/>
      <c r="DC105" s="40"/>
      <c r="DD105" s="40"/>
      <c r="DE105" s="40"/>
      <c r="DF105" s="40"/>
      <c r="DG105" s="40"/>
      <c r="DH105" s="40"/>
      <c r="DI105" s="40"/>
      <c r="DJ105" s="40"/>
      <c r="DK105" s="40"/>
      <c r="DL105" s="40"/>
      <c r="DM105" s="40"/>
      <c r="DN105" s="40"/>
      <c r="DO105" s="40"/>
      <c r="DP105" s="40"/>
      <c r="DQ105" s="40"/>
      <c r="DR105" s="40"/>
      <c r="DS105" s="40"/>
      <c r="DT105" s="40"/>
      <c r="DU105" s="40"/>
      <c r="DV105" s="40"/>
      <c r="DW105" s="40"/>
      <c r="DX105" s="40"/>
      <c r="DY105" s="40"/>
      <c r="DZ105" s="40"/>
      <c r="EA105" s="40"/>
      <c r="EB105" s="40"/>
      <c r="EC105" s="40"/>
      <c r="ED105" s="40"/>
      <c r="EE105" s="40"/>
      <c r="EF105" s="40"/>
      <c r="EG105" s="40"/>
      <c r="EH105" s="40"/>
      <c r="EI105" s="40"/>
      <c r="EJ105" s="40"/>
      <c r="EK105" s="40"/>
      <c r="EL105" s="40"/>
      <c r="EM105" s="40"/>
      <c r="EN105" s="40"/>
      <c r="EO105" s="40"/>
      <c r="EP105" s="40"/>
      <c r="EQ105" s="40"/>
      <c r="ER105" s="40"/>
      <c r="ES105" s="40"/>
      <c r="ET105" s="40"/>
      <c r="EU105" s="40"/>
      <c r="EV105" s="40"/>
      <c r="EW105" s="40"/>
      <c r="EX105" s="40"/>
      <c r="EY105" s="40"/>
      <c r="EZ105" s="40"/>
      <c r="FA105" s="40"/>
      <c r="FB105" s="40"/>
      <c r="FC105" s="40"/>
      <c r="FD105" s="40"/>
      <c r="FE105" s="40"/>
      <c r="FF105" s="40"/>
      <c r="FG105" s="40"/>
      <c r="FH105" s="40"/>
      <c r="FI105" s="40"/>
      <c r="FJ105" s="40"/>
      <c r="FK105" s="40"/>
      <c r="FL105" s="40"/>
      <c r="FM105" s="40"/>
      <c r="FN105" s="40"/>
      <c r="FO105" s="40"/>
      <c r="FP105" s="40"/>
      <c r="FQ105" s="40"/>
      <c r="FR105" s="40"/>
      <c r="FS105" s="40"/>
      <c r="FT105" s="40"/>
      <c r="FU105" s="40"/>
      <c r="FV105" s="40"/>
      <c r="FW105" s="40"/>
      <c r="FX105" s="40"/>
      <c r="FY105" s="40"/>
      <c r="FZ105" s="40"/>
      <c r="GA105" s="40"/>
      <c r="GB105" s="40"/>
      <c r="GC105" s="40"/>
      <c r="GD105" s="40"/>
      <c r="GE105" s="40"/>
      <c r="GF105" s="40"/>
      <c r="GG105" s="40"/>
      <c r="GH105" s="40"/>
      <c r="GI105" s="40"/>
      <c r="GJ105" s="40"/>
      <c r="GK105" s="40"/>
      <c r="GL105" s="40"/>
      <c r="GM105" s="40"/>
      <c r="GN105" s="40"/>
      <c r="GO105" s="40"/>
      <c r="GP105" s="40"/>
      <c r="GQ105" s="40"/>
      <c r="GR105" s="40"/>
      <c r="GS105" s="40"/>
      <c r="GT105" s="40"/>
      <c r="GU105" s="40"/>
      <c r="GV105" s="40"/>
      <c r="GW105" s="40"/>
      <c r="GX105" s="40"/>
      <c r="GY105" s="40"/>
      <c r="GZ105" s="40"/>
      <c r="HA105" s="40"/>
      <c r="HB105" s="40"/>
      <c r="HC105" s="40"/>
      <c r="HD105" s="40"/>
      <c r="HE105" s="40"/>
      <c r="HF105" s="40"/>
      <c r="HG105" s="40"/>
      <c r="HH105" s="40"/>
      <c r="HI105" s="40"/>
      <c r="HJ105" s="40"/>
      <c r="HK105" s="40"/>
      <c r="HL105" s="40"/>
      <c r="HM105" s="40"/>
      <c r="HN105" s="40"/>
      <c r="HO105" s="40"/>
      <c r="HP105" s="40"/>
      <c r="HQ105" s="40"/>
      <c r="HR105" s="40"/>
      <c r="HS105" s="40"/>
      <c r="HT105" s="40"/>
      <c r="HU105" s="40"/>
    </row>
    <row r="106" spans="1:229" s="41" customFormat="1" ht="28.8" customHeight="1">
      <c r="A106" s="124" t="s">
        <v>2085</v>
      </c>
      <c r="B106" s="80" t="s">
        <v>1874</v>
      </c>
      <c r="C106" s="80"/>
      <c r="D106" s="80" t="s">
        <v>1875</v>
      </c>
      <c r="E106" s="80" t="s">
        <v>994</v>
      </c>
      <c r="F106" s="80" t="s">
        <v>1876</v>
      </c>
      <c r="G106" s="135" t="s">
        <v>1877</v>
      </c>
      <c r="H106" s="81">
        <v>0.3</v>
      </c>
      <c r="I106" s="81"/>
      <c r="J106" s="79"/>
      <c r="K106" s="81"/>
      <c r="L106" s="79"/>
      <c r="M106" s="82" t="s">
        <v>2170</v>
      </c>
      <c r="N106" s="82" t="s">
        <v>550</v>
      </c>
      <c r="O106" s="82" t="s">
        <v>316</v>
      </c>
      <c r="P106" s="142">
        <v>0.2</v>
      </c>
      <c r="Q106" s="40">
        <f>SUMIF(Data_P!A:A,CONCATENATE(A106,"_",R$1),Data_P!J:J)</f>
        <v>35.06</v>
      </c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  <c r="BO106" s="40"/>
      <c r="BP106" s="40"/>
      <c r="BQ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40"/>
      <c r="CF106" s="40"/>
      <c r="CG106" s="40"/>
      <c r="CH106" s="40"/>
      <c r="CI106" s="40"/>
      <c r="CJ106" s="40"/>
      <c r="CK106" s="40"/>
      <c r="CL106" s="40"/>
      <c r="CM106" s="40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  <c r="CX106" s="40"/>
      <c r="CY106" s="40"/>
      <c r="CZ106" s="40"/>
      <c r="DA106" s="40"/>
      <c r="DB106" s="40"/>
      <c r="DC106" s="40"/>
      <c r="DD106" s="40"/>
      <c r="DE106" s="40"/>
      <c r="DF106" s="40"/>
      <c r="DG106" s="40"/>
      <c r="DH106" s="40"/>
      <c r="DI106" s="40"/>
      <c r="DJ106" s="40"/>
      <c r="DK106" s="40"/>
      <c r="DL106" s="40"/>
      <c r="DM106" s="40"/>
      <c r="DN106" s="40"/>
      <c r="DO106" s="40"/>
      <c r="DP106" s="40"/>
      <c r="DQ106" s="40"/>
      <c r="DR106" s="40"/>
      <c r="DS106" s="40"/>
      <c r="DT106" s="40"/>
      <c r="DU106" s="40"/>
      <c r="DV106" s="40"/>
      <c r="DW106" s="40"/>
      <c r="DX106" s="40"/>
      <c r="DY106" s="40"/>
      <c r="DZ106" s="40"/>
      <c r="EA106" s="40"/>
      <c r="EB106" s="40"/>
      <c r="EC106" s="40"/>
      <c r="ED106" s="40"/>
      <c r="EE106" s="40"/>
      <c r="EF106" s="40"/>
      <c r="EG106" s="40"/>
      <c r="EH106" s="40"/>
      <c r="EI106" s="40"/>
      <c r="EJ106" s="40"/>
      <c r="EK106" s="40"/>
      <c r="EL106" s="40"/>
      <c r="EM106" s="40"/>
      <c r="EN106" s="40"/>
      <c r="EO106" s="40"/>
      <c r="EP106" s="40"/>
      <c r="EQ106" s="40"/>
      <c r="ER106" s="40"/>
      <c r="ES106" s="40"/>
      <c r="ET106" s="40"/>
      <c r="EU106" s="40"/>
      <c r="EV106" s="40"/>
      <c r="EW106" s="40"/>
      <c r="EX106" s="40"/>
      <c r="EY106" s="40"/>
      <c r="EZ106" s="40"/>
      <c r="FA106" s="40"/>
      <c r="FB106" s="40"/>
      <c r="FC106" s="40"/>
      <c r="FD106" s="40"/>
      <c r="FE106" s="40"/>
      <c r="FF106" s="40"/>
      <c r="FG106" s="40"/>
      <c r="FH106" s="40"/>
      <c r="FI106" s="40"/>
      <c r="FJ106" s="40"/>
      <c r="FK106" s="40"/>
      <c r="FL106" s="40"/>
      <c r="FM106" s="40"/>
      <c r="FN106" s="40"/>
      <c r="FO106" s="40"/>
      <c r="FP106" s="40"/>
      <c r="FQ106" s="40"/>
      <c r="FR106" s="40"/>
      <c r="FS106" s="40"/>
      <c r="FT106" s="40"/>
      <c r="FU106" s="40"/>
      <c r="FV106" s="40"/>
      <c r="FW106" s="40"/>
      <c r="FX106" s="40"/>
      <c r="FY106" s="40"/>
      <c r="FZ106" s="40"/>
      <c r="GA106" s="40"/>
      <c r="GB106" s="40"/>
      <c r="GC106" s="40"/>
      <c r="GD106" s="40"/>
      <c r="GE106" s="40"/>
      <c r="GF106" s="40"/>
      <c r="GG106" s="40"/>
      <c r="GH106" s="40"/>
      <c r="GI106" s="40"/>
      <c r="GJ106" s="40"/>
      <c r="GK106" s="40"/>
      <c r="GL106" s="40"/>
      <c r="GM106" s="40"/>
      <c r="GN106" s="40"/>
      <c r="GO106" s="40"/>
      <c r="GP106" s="40"/>
      <c r="GQ106" s="40"/>
      <c r="GR106" s="40"/>
      <c r="GS106" s="40"/>
      <c r="GT106" s="40"/>
      <c r="GU106" s="40"/>
      <c r="GV106" s="40"/>
      <c r="GW106" s="40"/>
      <c r="GX106" s="40"/>
      <c r="GY106" s="40"/>
      <c r="GZ106" s="40"/>
      <c r="HA106" s="40"/>
      <c r="HB106" s="40"/>
      <c r="HC106" s="40"/>
      <c r="HD106" s="40"/>
      <c r="HE106" s="40"/>
      <c r="HF106" s="40"/>
      <c r="HG106" s="40"/>
      <c r="HH106" s="40"/>
      <c r="HI106" s="40"/>
      <c r="HJ106" s="40"/>
      <c r="HK106" s="40"/>
      <c r="HL106" s="40"/>
      <c r="HM106" s="40"/>
      <c r="HN106" s="40"/>
      <c r="HO106" s="40"/>
      <c r="HP106" s="40"/>
      <c r="HQ106" s="40"/>
      <c r="HR106" s="40"/>
      <c r="HS106" s="40"/>
      <c r="HT106" s="40"/>
      <c r="HU106" s="40"/>
    </row>
    <row r="107" spans="1:229" s="41" customFormat="1" ht="28.8" customHeight="1">
      <c r="A107" s="124" t="s">
        <v>2089</v>
      </c>
      <c r="B107" s="80" t="s">
        <v>1342</v>
      </c>
      <c r="C107" s="80"/>
      <c r="D107" s="80" t="s">
        <v>1343</v>
      </c>
      <c r="E107" s="80" t="s">
        <v>1316</v>
      </c>
      <c r="F107" s="80" t="s">
        <v>1344</v>
      </c>
      <c r="G107" s="135" t="s">
        <v>1345</v>
      </c>
      <c r="H107" s="81">
        <v>0.3</v>
      </c>
      <c r="I107" s="81"/>
      <c r="J107" s="79"/>
      <c r="K107" s="81"/>
      <c r="L107" s="79"/>
      <c r="M107" s="82" t="s">
        <v>1426</v>
      </c>
      <c r="N107" s="82" t="s">
        <v>1427</v>
      </c>
      <c r="O107" s="82" t="s">
        <v>316</v>
      </c>
      <c r="P107" s="142">
        <v>0.2</v>
      </c>
      <c r="Q107" s="40">
        <f>SUMIF(Data_P!A:A,CONCATENATE(A107,"_",R$1),Data_P!J:J)</f>
        <v>2035.8</v>
      </c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  <c r="BK107" s="40"/>
      <c r="BL107" s="40"/>
      <c r="BM107" s="40"/>
      <c r="BN107" s="40"/>
      <c r="BO107" s="40"/>
      <c r="BP107" s="40"/>
      <c r="BQ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40"/>
      <c r="CF107" s="40"/>
      <c r="CG107" s="40"/>
      <c r="CH107" s="40"/>
      <c r="CI107" s="40"/>
      <c r="CJ107" s="40"/>
      <c r="CK107" s="40"/>
      <c r="CL107" s="40"/>
      <c r="CM107" s="40"/>
      <c r="CN107" s="40"/>
      <c r="CO107" s="40"/>
      <c r="CP107" s="40"/>
      <c r="CQ107" s="40"/>
      <c r="CR107" s="40"/>
      <c r="CS107" s="40"/>
      <c r="CT107" s="40"/>
      <c r="CU107" s="40"/>
      <c r="CV107" s="40"/>
      <c r="CW107" s="40"/>
      <c r="CX107" s="40"/>
      <c r="CY107" s="40"/>
      <c r="CZ107" s="40"/>
      <c r="DA107" s="40"/>
      <c r="DB107" s="40"/>
      <c r="DC107" s="40"/>
      <c r="DD107" s="40"/>
      <c r="DE107" s="40"/>
      <c r="DF107" s="40"/>
      <c r="DG107" s="40"/>
      <c r="DH107" s="40"/>
      <c r="DI107" s="40"/>
      <c r="DJ107" s="40"/>
      <c r="DK107" s="40"/>
      <c r="DL107" s="40"/>
      <c r="DM107" s="40"/>
      <c r="DN107" s="40"/>
      <c r="DO107" s="40"/>
      <c r="DP107" s="40"/>
      <c r="DQ107" s="40"/>
      <c r="DR107" s="40"/>
      <c r="DS107" s="40"/>
      <c r="DT107" s="40"/>
      <c r="DU107" s="40"/>
      <c r="DV107" s="40"/>
      <c r="DW107" s="40"/>
      <c r="DX107" s="40"/>
      <c r="DY107" s="40"/>
      <c r="DZ107" s="40"/>
      <c r="EA107" s="40"/>
      <c r="EB107" s="40"/>
      <c r="EC107" s="40"/>
      <c r="ED107" s="40"/>
      <c r="EE107" s="40"/>
      <c r="EF107" s="40"/>
      <c r="EG107" s="40"/>
      <c r="EH107" s="40"/>
      <c r="EI107" s="40"/>
      <c r="EJ107" s="40"/>
      <c r="EK107" s="40"/>
      <c r="EL107" s="40"/>
      <c r="EM107" s="40"/>
      <c r="EN107" s="40"/>
      <c r="EO107" s="40"/>
      <c r="EP107" s="40"/>
      <c r="EQ107" s="40"/>
      <c r="ER107" s="40"/>
      <c r="ES107" s="40"/>
      <c r="ET107" s="40"/>
      <c r="EU107" s="40"/>
      <c r="EV107" s="40"/>
      <c r="EW107" s="40"/>
      <c r="EX107" s="40"/>
      <c r="EY107" s="40"/>
      <c r="EZ107" s="40"/>
      <c r="FA107" s="40"/>
      <c r="FB107" s="40"/>
      <c r="FC107" s="40"/>
      <c r="FD107" s="40"/>
      <c r="FE107" s="40"/>
      <c r="FF107" s="40"/>
      <c r="FG107" s="40"/>
      <c r="FH107" s="40"/>
      <c r="FI107" s="40"/>
      <c r="FJ107" s="40"/>
      <c r="FK107" s="40"/>
      <c r="FL107" s="40"/>
      <c r="FM107" s="40"/>
      <c r="FN107" s="40"/>
      <c r="FO107" s="40"/>
      <c r="FP107" s="40"/>
      <c r="FQ107" s="40"/>
      <c r="FR107" s="40"/>
      <c r="FS107" s="40"/>
      <c r="FT107" s="40"/>
      <c r="FU107" s="40"/>
      <c r="FV107" s="40"/>
      <c r="FW107" s="40"/>
      <c r="FX107" s="40"/>
      <c r="FY107" s="40"/>
      <c r="FZ107" s="40"/>
      <c r="GA107" s="40"/>
      <c r="GB107" s="40"/>
      <c r="GC107" s="40"/>
      <c r="GD107" s="40"/>
      <c r="GE107" s="40"/>
      <c r="GF107" s="40"/>
      <c r="GG107" s="40"/>
      <c r="GH107" s="40"/>
      <c r="GI107" s="40"/>
      <c r="GJ107" s="40"/>
      <c r="GK107" s="40"/>
      <c r="GL107" s="40"/>
      <c r="GM107" s="40"/>
      <c r="GN107" s="40"/>
      <c r="GO107" s="40"/>
      <c r="GP107" s="40"/>
      <c r="GQ107" s="40"/>
      <c r="GR107" s="40"/>
      <c r="GS107" s="40"/>
      <c r="GT107" s="40"/>
      <c r="GU107" s="40"/>
      <c r="GV107" s="40"/>
      <c r="GW107" s="40"/>
      <c r="GX107" s="40"/>
      <c r="GY107" s="40"/>
      <c r="GZ107" s="40"/>
      <c r="HA107" s="40"/>
      <c r="HB107" s="40"/>
      <c r="HC107" s="40"/>
      <c r="HD107" s="40"/>
      <c r="HE107" s="40"/>
      <c r="HF107" s="40"/>
      <c r="HG107" s="40"/>
      <c r="HH107" s="40"/>
      <c r="HI107" s="40"/>
      <c r="HJ107" s="40"/>
      <c r="HK107" s="40"/>
      <c r="HL107" s="40"/>
      <c r="HM107" s="40"/>
      <c r="HN107" s="40"/>
      <c r="HO107" s="40"/>
      <c r="HP107" s="40"/>
      <c r="HQ107" s="40"/>
      <c r="HR107" s="40"/>
      <c r="HS107" s="40"/>
      <c r="HT107" s="40"/>
      <c r="HU107" s="40"/>
    </row>
    <row r="108" spans="1:229" s="41" customFormat="1" ht="28.8" customHeight="1">
      <c r="A108" s="124" t="s">
        <v>2090</v>
      </c>
      <c r="B108" s="80" t="s">
        <v>1337</v>
      </c>
      <c r="C108" s="80"/>
      <c r="D108" s="80" t="s">
        <v>1340</v>
      </c>
      <c r="E108" s="80" t="s">
        <v>1341</v>
      </c>
      <c r="F108" s="80" t="s">
        <v>1339</v>
      </c>
      <c r="G108" s="135" t="s">
        <v>1338</v>
      </c>
      <c r="H108" s="81">
        <v>0.3</v>
      </c>
      <c r="I108" s="81"/>
      <c r="J108" s="79"/>
      <c r="K108" s="81"/>
      <c r="L108" s="79"/>
      <c r="M108" s="82" t="s">
        <v>1843</v>
      </c>
      <c r="N108" s="82" t="s">
        <v>1665</v>
      </c>
      <c r="O108" s="82" t="s">
        <v>316</v>
      </c>
      <c r="P108" s="142">
        <v>0.2</v>
      </c>
      <c r="Q108" s="40">
        <f>SUMIF(Data_P!A:A,CONCATENATE(A108,"_",R$1),Data_P!J:J)</f>
        <v>0</v>
      </c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0"/>
      <c r="DN108" s="40"/>
      <c r="DO108" s="40"/>
      <c r="DP108" s="40"/>
      <c r="DQ108" s="40"/>
      <c r="DR108" s="40"/>
      <c r="DS108" s="40"/>
      <c r="DT108" s="40"/>
      <c r="DU108" s="40"/>
      <c r="DV108" s="40"/>
      <c r="DW108" s="40"/>
      <c r="DX108" s="40"/>
      <c r="DY108" s="40"/>
      <c r="DZ108" s="40"/>
      <c r="EA108" s="40"/>
      <c r="EB108" s="40"/>
      <c r="EC108" s="40"/>
      <c r="ED108" s="40"/>
      <c r="EE108" s="40"/>
      <c r="EF108" s="40"/>
      <c r="EG108" s="40"/>
      <c r="EH108" s="40"/>
      <c r="EI108" s="40"/>
      <c r="EJ108" s="40"/>
      <c r="EK108" s="40"/>
      <c r="EL108" s="40"/>
      <c r="EM108" s="40"/>
      <c r="EN108" s="40"/>
      <c r="EO108" s="40"/>
      <c r="EP108" s="40"/>
      <c r="EQ108" s="40"/>
      <c r="ER108" s="40"/>
      <c r="ES108" s="40"/>
      <c r="ET108" s="40"/>
      <c r="EU108" s="40"/>
      <c r="EV108" s="40"/>
      <c r="EW108" s="40"/>
      <c r="EX108" s="40"/>
      <c r="EY108" s="40"/>
      <c r="EZ108" s="40"/>
      <c r="FA108" s="40"/>
      <c r="FB108" s="40"/>
      <c r="FC108" s="40"/>
      <c r="FD108" s="40"/>
      <c r="FE108" s="40"/>
      <c r="FF108" s="40"/>
      <c r="FG108" s="40"/>
      <c r="FH108" s="40"/>
      <c r="FI108" s="40"/>
      <c r="FJ108" s="40"/>
      <c r="FK108" s="40"/>
      <c r="FL108" s="40"/>
      <c r="FM108" s="40"/>
      <c r="FN108" s="40"/>
      <c r="FO108" s="40"/>
      <c r="FP108" s="40"/>
      <c r="FQ108" s="40"/>
      <c r="FR108" s="40"/>
      <c r="FS108" s="40"/>
      <c r="FT108" s="40"/>
      <c r="FU108" s="40"/>
      <c r="FV108" s="40"/>
      <c r="FW108" s="40"/>
      <c r="FX108" s="40"/>
      <c r="FY108" s="40"/>
      <c r="FZ108" s="40"/>
      <c r="GA108" s="40"/>
      <c r="GB108" s="40"/>
      <c r="GC108" s="40"/>
      <c r="GD108" s="40"/>
      <c r="GE108" s="40"/>
      <c r="GF108" s="40"/>
      <c r="GG108" s="40"/>
      <c r="GH108" s="40"/>
      <c r="GI108" s="40"/>
      <c r="GJ108" s="40"/>
      <c r="GK108" s="40"/>
      <c r="GL108" s="40"/>
      <c r="GM108" s="40"/>
      <c r="GN108" s="40"/>
      <c r="GO108" s="40"/>
      <c r="GP108" s="40"/>
      <c r="GQ108" s="40"/>
      <c r="GR108" s="40"/>
      <c r="GS108" s="40"/>
      <c r="GT108" s="40"/>
      <c r="GU108" s="40"/>
      <c r="GV108" s="40"/>
      <c r="GW108" s="40"/>
      <c r="GX108" s="40"/>
      <c r="GY108" s="40"/>
      <c r="GZ108" s="40"/>
      <c r="HA108" s="40"/>
      <c r="HB108" s="40"/>
      <c r="HC108" s="40"/>
      <c r="HD108" s="40"/>
      <c r="HE108" s="40"/>
      <c r="HF108" s="40"/>
      <c r="HG108" s="40"/>
      <c r="HH108" s="40"/>
      <c r="HI108" s="40"/>
      <c r="HJ108" s="40"/>
      <c r="HK108" s="40"/>
      <c r="HL108" s="40"/>
      <c r="HM108" s="40"/>
      <c r="HN108" s="40"/>
      <c r="HO108" s="40"/>
      <c r="HP108" s="40"/>
      <c r="HQ108" s="40"/>
      <c r="HR108" s="40"/>
      <c r="HS108" s="40"/>
      <c r="HT108" s="40"/>
      <c r="HU108" s="40"/>
    </row>
    <row r="109" spans="1:229" s="41" customFormat="1" ht="28.8" customHeight="1">
      <c r="A109" s="124" t="s">
        <v>2091</v>
      </c>
      <c r="B109" s="80" t="s">
        <v>1467</v>
      </c>
      <c r="C109" s="80"/>
      <c r="D109" s="80" t="s">
        <v>1468</v>
      </c>
      <c r="E109" s="80" t="s">
        <v>1469</v>
      </c>
      <c r="F109" s="80" t="s">
        <v>1470</v>
      </c>
      <c r="G109" s="135" t="s">
        <v>2024</v>
      </c>
      <c r="H109" s="81">
        <v>0.3</v>
      </c>
      <c r="I109" s="81"/>
      <c r="J109" s="79"/>
      <c r="K109" s="81"/>
      <c r="L109" s="79"/>
      <c r="M109" s="82" t="s">
        <v>1601</v>
      </c>
      <c r="N109" s="82" t="s">
        <v>1602</v>
      </c>
      <c r="O109" s="82" t="s">
        <v>316</v>
      </c>
      <c r="P109" s="142">
        <v>0.2</v>
      </c>
      <c r="Q109" s="40">
        <f>SUMIF(Data_P!A:A,CONCATENATE(A109,"_",R$1),Data_P!J:J)</f>
        <v>1336.55</v>
      </c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  <c r="BK109" s="40"/>
      <c r="BL109" s="40"/>
      <c r="BM109" s="40"/>
      <c r="BN109" s="40"/>
      <c r="BO109" s="40"/>
      <c r="BP109" s="40"/>
      <c r="BQ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0"/>
      <c r="DN109" s="40"/>
      <c r="DO109" s="40"/>
      <c r="DP109" s="40"/>
      <c r="DQ109" s="40"/>
      <c r="DR109" s="40"/>
      <c r="DS109" s="40"/>
      <c r="DT109" s="40"/>
      <c r="DU109" s="40"/>
      <c r="DV109" s="40"/>
      <c r="DW109" s="40"/>
      <c r="DX109" s="40"/>
      <c r="DY109" s="40"/>
      <c r="DZ109" s="40"/>
      <c r="EA109" s="40"/>
      <c r="EB109" s="40"/>
      <c r="EC109" s="40"/>
      <c r="ED109" s="40"/>
      <c r="EE109" s="40"/>
      <c r="EF109" s="40"/>
      <c r="EG109" s="40"/>
      <c r="EH109" s="40"/>
      <c r="EI109" s="40"/>
      <c r="EJ109" s="40"/>
      <c r="EK109" s="40"/>
      <c r="EL109" s="40"/>
      <c r="EM109" s="40"/>
      <c r="EN109" s="40"/>
      <c r="EO109" s="40"/>
      <c r="EP109" s="40"/>
      <c r="EQ109" s="40"/>
      <c r="ER109" s="40"/>
      <c r="ES109" s="40"/>
      <c r="ET109" s="40"/>
      <c r="EU109" s="40"/>
      <c r="EV109" s="40"/>
      <c r="EW109" s="40"/>
      <c r="EX109" s="40"/>
      <c r="EY109" s="40"/>
      <c r="EZ109" s="40"/>
      <c r="FA109" s="40"/>
      <c r="FB109" s="40"/>
      <c r="FC109" s="40"/>
      <c r="FD109" s="40"/>
      <c r="FE109" s="40"/>
      <c r="FF109" s="40"/>
      <c r="FG109" s="40"/>
      <c r="FH109" s="40"/>
      <c r="FI109" s="40"/>
      <c r="FJ109" s="40"/>
      <c r="FK109" s="40"/>
      <c r="FL109" s="40"/>
      <c r="FM109" s="40"/>
      <c r="FN109" s="40"/>
      <c r="FO109" s="40"/>
      <c r="FP109" s="40"/>
      <c r="FQ109" s="40"/>
      <c r="FR109" s="40"/>
      <c r="FS109" s="40"/>
      <c r="FT109" s="40"/>
      <c r="FU109" s="40"/>
      <c r="FV109" s="40"/>
      <c r="FW109" s="40"/>
      <c r="FX109" s="40"/>
      <c r="FY109" s="40"/>
      <c r="FZ109" s="40"/>
      <c r="GA109" s="40"/>
      <c r="GB109" s="40"/>
      <c r="GC109" s="40"/>
      <c r="GD109" s="40"/>
      <c r="GE109" s="40"/>
      <c r="GF109" s="40"/>
      <c r="GG109" s="40"/>
      <c r="GH109" s="40"/>
      <c r="GI109" s="40"/>
      <c r="GJ109" s="40"/>
      <c r="GK109" s="40"/>
      <c r="GL109" s="40"/>
      <c r="GM109" s="40"/>
      <c r="GN109" s="40"/>
      <c r="GO109" s="40"/>
      <c r="GP109" s="40"/>
      <c r="GQ109" s="40"/>
      <c r="GR109" s="40"/>
      <c r="GS109" s="40"/>
      <c r="GT109" s="40"/>
      <c r="GU109" s="40"/>
      <c r="GV109" s="40"/>
      <c r="GW109" s="40"/>
      <c r="GX109" s="40"/>
      <c r="GY109" s="40"/>
      <c r="GZ109" s="40"/>
      <c r="HA109" s="40"/>
      <c r="HB109" s="40"/>
      <c r="HC109" s="40"/>
      <c r="HD109" s="40"/>
      <c r="HE109" s="40"/>
      <c r="HF109" s="40"/>
      <c r="HG109" s="40"/>
      <c r="HH109" s="40"/>
      <c r="HI109" s="40"/>
      <c r="HJ109" s="40"/>
      <c r="HK109" s="40"/>
      <c r="HL109" s="40"/>
      <c r="HM109" s="40"/>
      <c r="HN109" s="40"/>
      <c r="HO109" s="40"/>
      <c r="HP109" s="40"/>
      <c r="HQ109" s="40"/>
      <c r="HR109" s="40"/>
      <c r="HS109" s="40"/>
      <c r="HT109" s="40"/>
      <c r="HU109" s="40"/>
    </row>
    <row r="110" spans="1:229" s="41" customFormat="1" ht="28.8" customHeight="1">
      <c r="A110" s="124" t="s">
        <v>2087</v>
      </c>
      <c r="B110" s="80" t="s">
        <v>1502</v>
      </c>
      <c r="C110" s="80"/>
      <c r="D110" s="80" t="s">
        <v>1503</v>
      </c>
      <c r="E110" s="80" t="s">
        <v>1504</v>
      </c>
      <c r="F110" s="80" t="s">
        <v>1505</v>
      </c>
      <c r="G110" s="135" t="s">
        <v>1506</v>
      </c>
      <c r="H110" s="81">
        <v>0.3</v>
      </c>
      <c r="I110" s="81"/>
      <c r="J110" s="79"/>
      <c r="K110" s="81"/>
      <c r="L110" s="79"/>
      <c r="M110" s="82" t="s">
        <v>1599</v>
      </c>
      <c r="N110" s="82" t="s">
        <v>1600</v>
      </c>
      <c r="O110" s="82" t="s">
        <v>316</v>
      </c>
      <c r="P110" s="142">
        <v>0.2</v>
      </c>
      <c r="Q110" s="40">
        <f>SUMIF(Data_P!A:A,CONCATENATE(A110,"_",R$1),Data_P!J:J)</f>
        <v>219.06</v>
      </c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  <c r="BK110" s="40"/>
      <c r="BL110" s="40"/>
      <c r="BM110" s="40"/>
      <c r="BN110" s="40"/>
      <c r="BO110" s="40"/>
      <c r="BP110" s="40"/>
      <c r="BQ110" s="40"/>
      <c r="BR110" s="40"/>
      <c r="BS110" s="40"/>
      <c r="BT110" s="40"/>
      <c r="BU110" s="40"/>
      <c r="BV110" s="40"/>
      <c r="BW110" s="40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0"/>
      <c r="DN110" s="40"/>
      <c r="DO110" s="40"/>
      <c r="DP110" s="40"/>
      <c r="DQ110" s="40"/>
      <c r="DR110" s="40"/>
      <c r="DS110" s="40"/>
      <c r="DT110" s="40"/>
      <c r="DU110" s="40"/>
      <c r="DV110" s="40"/>
      <c r="DW110" s="40"/>
      <c r="DX110" s="40"/>
      <c r="DY110" s="40"/>
      <c r="DZ110" s="40"/>
      <c r="EA110" s="40"/>
      <c r="EB110" s="40"/>
      <c r="EC110" s="40"/>
      <c r="ED110" s="40"/>
      <c r="EE110" s="40"/>
      <c r="EF110" s="40"/>
      <c r="EG110" s="40"/>
      <c r="EH110" s="40"/>
      <c r="EI110" s="40"/>
      <c r="EJ110" s="40"/>
      <c r="EK110" s="40"/>
      <c r="EL110" s="40"/>
      <c r="EM110" s="40"/>
      <c r="EN110" s="40"/>
      <c r="EO110" s="40"/>
      <c r="EP110" s="40"/>
      <c r="EQ110" s="40"/>
      <c r="ER110" s="40"/>
      <c r="ES110" s="40"/>
      <c r="ET110" s="40"/>
      <c r="EU110" s="40"/>
      <c r="EV110" s="40"/>
      <c r="EW110" s="40"/>
      <c r="EX110" s="40"/>
      <c r="EY110" s="40"/>
      <c r="EZ110" s="40"/>
      <c r="FA110" s="40"/>
      <c r="FB110" s="40"/>
      <c r="FC110" s="40"/>
      <c r="FD110" s="40"/>
      <c r="FE110" s="40"/>
      <c r="FF110" s="40"/>
      <c r="FG110" s="40"/>
      <c r="FH110" s="40"/>
      <c r="FI110" s="40"/>
      <c r="FJ110" s="40"/>
      <c r="FK110" s="40"/>
      <c r="FL110" s="40"/>
      <c r="FM110" s="40"/>
      <c r="FN110" s="40"/>
      <c r="FO110" s="40"/>
      <c r="FP110" s="40"/>
      <c r="FQ110" s="40"/>
      <c r="FR110" s="40"/>
      <c r="FS110" s="40"/>
      <c r="FT110" s="40"/>
      <c r="FU110" s="40"/>
      <c r="FV110" s="40"/>
      <c r="FW110" s="40"/>
      <c r="FX110" s="40"/>
      <c r="FY110" s="40"/>
      <c r="FZ110" s="40"/>
      <c r="GA110" s="40"/>
      <c r="GB110" s="40"/>
      <c r="GC110" s="40"/>
      <c r="GD110" s="40"/>
      <c r="GE110" s="40"/>
      <c r="GF110" s="40"/>
      <c r="GG110" s="40"/>
      <c r="GH110" s="40"/>
      <c r="GI110" s="40"/>
      <c r="GJ110" s="40"/>
      <c r="GK110" s="40"/>
      <c r="GL110" s="40"/>
      <c r="GM110" s="40"/>
      <c r="GN110" s="40"/>
      <c r="GO110" s="40"/>
      <c r="GP110" s="40"/>
      <c r="GQ110" s="40"/>
      <c r="GR110" s="40"/>
      <c r="GS110" s="40"/>
      <c r="GT110" s="40"/>
      <c r="GU110" s="40"/>
      <c r="GV110" s="40"/>
      <c r="GW110" s="40"/>
      <c r="GX110" s="40"/>
      <c r="GY110" s="40"/>
      <c r="GZ110" s="40"/>
      <c r="HA110" s="40"/>
      <c r="HB110" s="40"/>
      <c r="HC110" s="40"/>
      <c r="HD110" s="40"/>
      <c r="HE110" s="40"/>
      <c r="HF110" s="40"/>
      <c r="HG110" s="40"/>
      <c r="HH110" s="40"/>
      <c r="HI110" s="40"/>
      <c r="HJ110" s="40"/>
      <c r="HK110" s="40"/>
      <c r="HL110" s="40"/>
      <c r="HM110" s="40"/>
      <c r="HN110" s="40"/>
      <c r="HO110" s="40"/>
      <c r="HP110" s="40"/>
      <c r="HQ110" s="40"/>
      <c r="HR110" s="40"/>
      <c r="HS110" s="40"/>
      <c r="HT110" s="40"/>
      <c r="HU110" s="40"/>
    </row>
    <row r="111" spans="1:229" s="41" customFormat="1" ht="28.8" customHeight="1">
      <c r="A111" s="124" t="s">
        <v>2088</v>
      </c>
      <c r="B111" s="80" t="s">
        <v>1934</v>
      </c>
      <c r="C111" s="80"/>
      <c r="D111" s="80" t="s">
        <v>1942</v>
      </c>
      <c r="E111" s="80" t="s">
        <v>1504</v>
      </c>
      <c r="F111" s="80" t="s">
        <v>1943</v>
      </c>
      <c r="G111" s="135" t="s">
        <v>1944</v>
      </c>
      <c r="H111" s="81">
        <v>0.3</v>
      </c>
      <c r="I111" s="81"/>
      <c r="J111" s="79"/>
      <c r="K111" s="81"/>
      <c r="L111" s="79"/>
      <c r="M111" s="82"/>
      <c r="N111" s="82"/>
      <c r="O111" s="82" t="s">
        <v>316</v>
      </c>
      <c r="P111" s="142">
        <v>0.2</v>
      </c>
      <c r="Q111" s="40">
        <f>SUMIF(Data_P!A:A,CONCATENATE(A111,"_",R$1),Data_P!J:J)</f>
        <v>378.08</v>
      </c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  <c r="BK111" s="40"/>
      <c r="BL111" s="40"/>
      <c r="BM111" s="40"/>
      <c r="BN111" s="40"/>
      <c r="BO111" s="40"/>
      <c r="BP111" s="40"/>
      <c r="BQ111" s="40"/>
      <c r="BR111" s="40"/>
      <c r="BS111" s="40"/>
      <c r="BT111" s="40"/>
      <c r="BU111" s="40"/>
      <c r="BV111" s="40"/>
      <c r="BW111" s="40"/>
      <c r="BX111" s="40"/>
      <c r="BY111" s="40"/>
      <c r="BZ111" s="40"/>
      <c r="CA111" s="40"/>
      <c r="CB111" s="40"/>
      <c r="CC111" s="40"/>
      <c r="CD111" s="40"/>
      <c r="CE111" s="40"/>
      <c r="CF111" s="40"/>
      <c r="CG111" s="40"/>
      <c r="CH111" s="40"/>
      <c r="CI111" s="40"/>
      <c r="CJ111" s="40"/>
      <c r="CK111" s="40"/>
      <c r="CL111" s="40"/>
      <c r="CM111" s="40"/>
      <c r="CN111" s="40"/>
      <c r="CO111" s="40"/>
      <c r="CP111" s="40"/>
      <c r="CQ111" s="40"/>
      <c r="CR111" s="40"/>
      <c r="CS111" s="40"/>
      <c r="CT111" s="40"/>
      <c r="CU111" s="40"/>
      <c r="CV111" s="40"/>
      <c r="CW111" s="40"/>
      <c r="CX111" s="40"/>
      <c r="CY111" s="40"/>
      <c r="CZ111" s="40"/>
      <c r="DA111" s="40"/>
      <c r="DB111" s="40"/>
      <c r="DC111" s="40"/>
      <c r="DD111" s="40"/>
      <c r="DE111" s="40"/>
      <c r="DF111" s="40"/>
      <c r="DG111" s="40"/>
      <c r="DH111" s="40"/>
      <c r="DI111" s="40"/>
      <c r="DJ111" s="40"/>
      <c r="DK111" s="40"/>
      <c r="DL111" s="40"/>
      <c r="DM111" s="40"/>
      <c r="DN111" s="40"/>
      <c r="DO111" s="40"/>
      <c r="DP111" s="40"/>
      <c r="DQ111" s="40"/>
      <c r="DR111" s="40"/>
      <c r="DS111" s="40"/>
      <c r="DT111" s="40"/>
      <c r="DU111" s="40"/>
      <c r="DV111" s="40"/>
      <c r="DW111" s="40"/>
      <c r="DX111" s="40"/>
      <c r="DY111" s="40"/>
      <c r="DZ111" s="40"/>
      <c r="EA111" s="40"/>
      <c r="EB111" s="40"/>
      <c r="EC111" s="40"/>
      <c r="ED111" s="40"/>
      <c r="EE111" s="40"/>
      <c r="EF111" s="40"/>
      <c r="EG111" s="40"/>
      <c r="EH111" s="40"/>
      <c r="EI111" s="40"/>
      <c r="EJ111" s="40"/>
      <c r="EK111" s="40"/>
      <c r="EL111" s="40"/>
      <c r="EM111" s="40"/>
      <c r="EN111" s="40"/>
      <c r="EO111" s="40"/>
      <c r="EP111" s="40"/>
      <c r="EQ111" s="40"/>
      <c r="ER111" s="40"/>
      <c r="ES111" s="40"/>
      <c r="ET111" s="40"/>
      <c r="EU111" s="40"/>
      <c r="EV111" s="40"/>
      <c r="EW111" s="40"/>
      <c r="EX111" s="40"/>
      <c r="EY111" s="40"/>
      <c r="EZ111" s="40"/>
      <c r="FA111" s="40"/>
      <c r="FB111" s="40"/>
      <c r="FC111" s="40"/>
      <c r="FD111" s="40"/>
      <c r="FE111" s="40"/>
      <c r="FF111" s="40"/>
      <c r="FG111" s="40"/>
      <c r="FH111" s="40"/>
      <c r="FI111" s="40"/>
      <c r="FJ111" s="40"/>
      <c r="FK111" s="40"/>
      <c r="FL111" s="40"/>
      <c r="FM111" s="40"/>
      <c r="FN111" s="40"/>
      <c r="FO111" s="40"/>
      <c r="FP111" s="40"/>
      <c r="FQ111" s="40"/>
      <c r="FR111" s="40"/>
      <c r="FS111" s="40"/>
      <c r="FT111" s="40"/>
      <c r="FU111" s="40"/>
      <c r="FV111" s="40"/>
      <c r="FW111" s="40"/>
      <c r="FX111" s="40"/>
      <c r="FY111" s="40"/>
      <c r="FZ111" s="40"/>
      <c r="GA111" s="40"/>
      <c r="GB111" s="40"/>
      <c r="GC111" s="40"/>
      <c r="GD111" s="40"/>
      <c r="GE111" s="40"/>
      <c r="GF111" s="40"/>
      <c r="GG111" s="40"/>
      <c r="GH111" s="40"/>
      <c r="GI111" s="40"/>
      <c r="GJ111" s="40"/>
      <c r="GK111" s="40"/>
      <c r="GL111" s="40"/>
      <c r="GM111" s="40"/>
      <c r="GN111" s="40"/>
      <c r="GO111" s="40"/>
      <c r="GP111" s="40"/>
      <c r="GQ111" s="40"/>
      <c r="GR111" s="40"/>
      <c r="GS111" s="40"/>
      <c r="GT111" s="40"/>
      <c r="GU111" s="40"/>
      <c r="GV111" s="40"/>
      <c r="GW111" s="40"/>
      <c r="GX111" s="40"/>
      <c r="GY111" s="40"/>
      <c r="GZ111" s="40"/>
      <c r="HA111" s="40"/>
      <c r="HB111" s="40"/>
      <c r="HC111" s="40"/>
      <c r="HD111" s="40"/>
      <c r="HE111" s="40"/>
      <c r="HF111" s="40"/>
      <c r="HG111" s="40"/>
      <c r="HH111" s="40"/>
      <c r="HI111" s="40"/>
      <c r="HJ111" s="40"/>
      <c r="HK111" s="40"/>
      <c r="HL111" s="40"/>
      <c r="HM111" s="40"/>
      <c r="HN111" s="40"/>
      <c r="HO111" s="40"/>
      <c r="HP111" s="40"/>
      <c r="HQ111" s="40"/>
      <c r="HR111" s="40"/>
      <c r="HS111" s="40"/>
      <c r="HT111" s="40"/>
      <c r="HU111" s="40"/>
    </row>
    <row r="112" spans="1:229" s="41" customFormat="1" ht="28.8" customHeight="1">
      <c r="A112" s="124" t="s">
        <v>2092</v>
      </c>
      <c r="B112" s="80" t="s">
        <v>1583</v>
      </c>
      <c r="C112" s="80"/>
      <c r="D112" s="80" t="s">
        <v>1584</v>
      </c>
      <c r="E112" s="80" t="s">
        <v>1585</v>
      </c>
      <c r="F112" s="80" t="s">
        <v>1586</v>
      </c>
      <c r="G112" s="135" t="s">
        <v>1588</v>
      </c>
      <c r="H112" s="81">
        <v>0.3</v>
      </c>
      <c r="I112" s="81"/>
      <c r="J112" s="79"/>
      <c r="K112" s="81"/>
      <c r="L112" s="79"/>
      <c r="M112" s="82" t="s">
        <v>1657</v>
      </c>
      <c r="N112" s="82" t="s">
        <v>1844</v>
      </c>
      <c r="O112" s="82" t="s">
        <v>316</v>
      </c>
      <c r="P112" s="142">
        <v>0.2</v>
      </c>
      <c r="Q112" s="40">
        <f>SUMIF(Data_P!A:A,CONCATENATE(A112,"_",R$1),Data_P!J:J)</f>
        <v>39.5</v>
      </c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  <c r="BK112" s="40"/>
      <c r="BL112" s="40"/>
      <c r="BM112" s="40"/>
      <c r="BN112" s="40"/>
      <c r="BO112" s="40"/>
      <c r="BP112" s="40"/>
      <c r="BQ112" s="40"/>
      <c r="BR112" s="40"/>
      <c r="BS112" s="40"/>
      <c r="BT112" s="40"/>
      <c r="BU112" s="40"/>
      <c r="BV112" s="40"/>
      <c r="BW112" s="40"/>
      <c r="BX112" s="40"/>
      <c r="BY112" s="40"/>
      <c r="BZ112" s="40"/>
      <c r="CA112" s="40"/>
      <c r="CB112" s="40"/>
      <c r="CC112" s="40"/>
      <c r="CD112" s="40"/>
      <c r="CE112" s="40"/>
      <c r="CF112" s="40"/>
      <c r="CG112" s="40"/>
      <c r="CH112" s="40"/>
      <c r="CI112" s="40"/>
      <c r="CJ112" s="40"/>
      <c r="CK112" s="40"/>
      <c r="CL112" s="40"/>
      <c r="CM112" s="40"/>
      <c r="CN112" s="40"/>
      <c r="CO112" s="40"/>
      <c r="CP112" s="40"/>
      <c r="CQ112" s="40"/>
      <c r="CR112" s="40"/>
      <c r="CS112" s="40"/>
      <c r="CT112" s="40"/>
      <c r="CU112" s="40"/>
      <c r="CV112" s="40"/>
      <c r="CW112" s="40"/>
      <c r="CX112" s="40"/>
      <c r="CY112" s="40"/>
      <c r="CZ112" s="40"/>
      <c r="DA112" s="40"/>
      <c r="DB112" s="40"/>
      <c r="DC112" s="40"/>
      <c r="DD112" s="40"/>
      <c r="DE112" s="40"/>
      <c r="DF112" s="40"/>
      <c r="DG112" s="40"/>
      <c r="DH112" s="40"/>
      <c r="DI112" s="40"/>
      <c r="DJ112" s="40"/>
      <c r="DK112" s="40"/>
      <c r="DL112" s="40"/>
      <c r="DM112" s="40"/>
      <c r="DN112" s="40"/>
      <c r="DO112" s="40"/>
      <c r="DP112" s="40"/>
      <c r="DQ112" s="40"/>
      <c r="DR112" s="40"/>
      <c r="DS112" s="40"/>
      <c r="DT112" s="40"/>
      <c r="DU112" s="40"/>
      <c r="DV112" s="40"/>
      <c r="DW112" s="40"/>
      <c r="DX112" s="40"/>
      <c r="DY112" s="40"/>
      <c r="DZ112" s="40"/>
      <c r="EA112" s="40"/>
      <c r="EB112" s="40"/>
      <c r="EC112" s="40"/>
      <c r="ED112" s="40"/>
      <c r="EE112" s="40"/>
      <c r="EF112" s="40"/>
      <c r="EG112" s="40"/>
      <c r="EH112" s="40"/>
      <c r="EI112" s="40"/>
      <c r="EJ112" s="40"/>
      <c r="EK112" s="40"/>
      <c r="EL112" s="40"/>
      <c r="EM112" s="40"/>
      <c r="EN112" s="40"/>
      <c r="EO112" s="40"/>
      <c r="EP112" s="40"/>
      <c r="EQ112" s="40"/>
      <c r="ER112" s="40"/>
      <c r="ES112" s="40"/>
      <c r="ET112" s="40"/>
      <c r="EU112" s="40"/>
      <c r="EV112" s="40"/>
      <c r="EW112" s="40"/>
      <c r="EX112" s="40"/>
      <c r="EY112" s="40"/>
      <c r="EZ112" s="40"/>
      <c r="FA112" s="40"/>
      <c r="FB112" s="40"/>
      <c r="FC112" s="40"/>
      <c r="FD112" s="40"/>
      <c r="FE112" s="40"/>
      <c r="FF112" s="40"/>
      <c r="FG112" s="40"/>
      <c r="FH112" s="40"/>
      <c r="FI112" s="40"/>
      <c r="FJ112" s="40"/>
      <c r="FK112" s="40"/>
      <c r="FL112" s="40"/>
      <c r="FM112" s="40"/>
      <c r="FN112" s="40"/>
      <c r="FO112" s="40"/>
      <c r="FP112" s="40"/>
      <c r="FQ112" s="40"/>
      <c r="FR112" s="40"/>
      <c r="FS112" s="40"/>
      <c r="FT112" s="40"/>
      <c r="FU112" s="40"/>
      <c r="FV112" s="40"/>
      <c r="FW112" s="40"/>
      <c r="FX112" s="40"/>
      <c r="FY112" s="40"/>
      <c r="FZ112" s="40"/>
      <c r="GA112" s="40"/>
      <c r="GB112" s="40"/>
      <c r="GC112" s="40"/>
      <c r="GD112" s="40"/>
      <c r="GE112" s="40"/>
      <c r="GF112" s="40"/>
      <c r="GG112" s="40"/>
      <c r="GH112" s="40"/>
      <c r="GI112" s="40"/>
      <c r="GJ112" s="40"/>
      <c r="GK112" s="40"/>
      <c r="GL112" s="40"/>
      <c r="GM112" s="40"/>
      <c r="GN112" s="40"/>
      <c r="GO112" s="40"/>
      <c r="GP112" s="40"/>
      <c r="GQ112" s="40"/>
      <c r="GR112" s="40"/>
      <c r="GS112" s="40"/>
      <c r="GT112" s="40"/>
      <c r="GU112" s="40"/>
      <c r="GV112" s="40"/>
      <c r="GW112" s="40"/>
      <c r="GX112" s="40"/>
      <c r="GY112" s="40"/>
      <c r="GZ112" s="40"/>
      <c r="HA112" s="40"/>
      <c r="HB112" s="40"/>
      <c r="HC112" s="40"/>
      <c r="HD112" s="40"/>
      <c r="HE112" s="40"/>
      <c r="HF112" s="40"/>
      <c r="HG112" s="40"/>
      <c r="HH112" s="40"/>
      <c r="HI112" s="40"/>
      <c r="HJ112" s="40"/>
      <c r="HK112" s="40"/>
      <c r="HL112" s="40"/>
      <c r="HM112" s="40"/>
      <c r="HN112" s="40"/>
      <c r="HO112" s="40"/>
      <c r="HP112" s="40"/>
      <c r="HQ112" s="40"/>
      <c r="HR112" s="40"/>
      <c r="HS112" s="40"/>
      <c r="HT112" s="40"/>
      <c r="HU112" s="40"/>
    </row>
    <row r="113" spans="1:229" s="41" customFormat="1" ht="28.8" customHeight="1">
      <c r="A113" s="124" t="s">
        <v>1208</v>
      </c>
      <c r="B113" s="80" t="s">
        <v>1209</v>
      </c>
      <c r="C113" s="80"/>
      <c r="D113" s="80" t="s">
        <v>1210</v>
      </c>
      <c r="E113" s="80" t="s">
        <v>1211</v>
      </c>
      <c r="F113" s="80" t="s">
        <v>1593</v>
      </c>
      <c r="G113" s="135" t="s">
        <v>1594</v>
      </c>
      <c r="H113" s="81">
        <v>0.3</v>
      </c>
      <c r="I113" s="81"/>
      <c r="J113" s="79"/>
      <c r="K113" s="81"/>
      <c r="L113" s="79"/>
      <c r="M113" s="82" t="s">
        <v>1595</v>
      </c>
      <c r="N113" s="82" t="s">
        <v>1596</v>
      </c>
      <c r="O113" s="82" t="s">
        <v>317</v>
      </c>
      <c r="P113" s="142">
        <v>0.2</v>
      </c>
      <c r="Q113" s="40">
        <f>SUMIF(Data_P!A:A,CONCATENATE(A113,"_",R$1),Data_P!J:J)</f>
        <v>225.34</v>
      </c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0"/>
      <c r="DN113" s="40"/>
      <c r="DO113" s="40"/>
      <c r="DP113" s="40"/>
      <c r="DQ113" s="40"/>
      <c r="DR113" s="40"/>
      <c r="DS113" s="40"/>
      <c r="DT113" s="40"/>
      <c r="DU113" s="40"/>
      <c r="DV113" s="40"/>
      <c r="DW113" s="40"/>
      <c r="DX113" s="40"/>
      <c r="DY113" s="40"/>
      <c r="DZ113" s="40"/>
      <c r="EA113" s="40"/>
      <c r="EB113" s="40"/>
      <c r="EC113" s="40"/>
      <c r="ED113" s="40"/>
      <c r="EE113" s="40"/>
      <c r="EF113" s="40"/>
      <c r="EG113" s="40"/>
      <c r="EH113" s="40"/>
      <c r="EI113" s="40"/>
      <c r="EJ113" s="40"/>
      <c r="EK113" s="40"/>
      <c r="EL113" s="40"/>
      <c r="EM113" s="40"/>
      <c r="EN113" s="40"/>
      <c r="EO113" s="40"/>
      <c r="EP113" s="40"/>
      <c r="EQ113" s="40"/>
      <c r="ER113" s="40"/>
      <c r="ES113" s="40"/>
      <c r="ET113" s="40"/>
      <c r="EU113" s="40"/>
      <c r="EV113" s="40"/>
      <c r="EW113" s="40"/>
      <c r="EX113" s="40"/>
      <c r="EY113" s="40"/>
      <c r="EZ113" s="40"/>
      <c r="FA113" s="40"/>
      <c r="FB113" s="40"/>
      <c r="FC113" s="40"/>
      <c r="FD113" s="40"/>
      <c r="FE113" s="40"/>
      <c r="FF113" s="40"/>
      <c r="FG113" s="40"/>
      <c r="FH113" s="40"/>
      <c r="FI113" s="40"/>
      <c r="FJ113" s="40"/>
      <c r="FK113" s="40"/>
      <c r="FL113" s="40"/>
      <c r="FM113" s="40"/>
      <c r="FN113" s="40"/>
      <c r="FO113" s="40"/>
      <c r="FP113" s="40"/>
      <c r="FQ113" s="40"/>
      <c r="FR113" s="40"/>
      <c r="FS113" s="40"/>
      <c r="FT113" s="40"/>
      <c r="FU113" s="40"/>
      <c r="FV113" s="40"/>
      <c r="FW113" s="40"/>
      <c r="FX113" s="40"/>
      <c r="FY113" s="40"/>
      <c r="FZ113" s="40"/>
      <c r="GA113" s="40"/>
      <c r="GB113" s="40"/>
      <c r="GC113" s="40"/>
      <c r="GD113" s="40"/>
      <c r="GE113" s="40"/>
      <c r="GF113" s="40"/>
      <c r="GG113" s="40"/>
      <c r="GH113" s="40"/>
      <c r="GI113" s="40"/>
      <c r="GJ113" s="40"/>
      <c r="GK113" s="40"/>
      <c r="GL113" s="40"/>
      <c r="GM113" s="40"/>
      <c r="GN113" s="40"/>
      <c r="GO113" s="40"/>
      <c r="GP113" s="40"/>
      <c r="GQ113" s="40"/>
      <c r="GR113" s="40"/>
      <c r="GS113" s="40"/>
      <c r="GT113" s="40"/>
      <c r="GU113" s="40"/>
      <c r="GV113" s="40"/>
      <c r="GW113" s="40"/>
      <c r="GX113" s="40"/>
      <c r="GY113" s="40"/>
      <c r="GZ113" s="40"/>
      <c r="HA113" s="40"/>
      <c r="HB113" s="40"/>
      <c r="HC113" s="40"/>
      <c r="HD113" s="40"/>
      <c r="HE113" s="40"/>
      <c r="HF113" s="40"/>
      <c r="HG113" s="40"/>
      <c r="HH113" s="40"/>
      <c r="HI113" s="40"/>
      <c r="HJ113" s="40"/>
      <c r="HK113" s="40"/>
      <c r="HL113" s="40"/>
      <c r="HM113" s="40"/>
      <c r="HN113" s="40"/>
      <c r="HO113" s="40"/>
      <c r="HP113" s="40"/>
      <c r="HQ113" s="40"/>
      <c r="HR113" s="40"/>
      <c r="HS113" s="40"/>
      <c r="HT113" s="40"/>
      <c r="HU113" s="40"/>
    </row>
    <row r="114" spans="1:229" s="41" customFormat="1" ht="28.8" customHeight="1">
      <c r="A114" s="124" t="s">
        <v>1348</v>
      </c>
      <c r="B114" s="80" t="s">
        <v>1349</v>
      </c>
      <c r="C114" s="80"/>
      <c r="D114" s="80" t="s">
        <v>1350</v>
      </c>
      <c r="E114" s="80" t="s">
        <v>1351</v>
      </c>
      <c r="F114" s="80" t="s">
        <v>1352</v>
      </c>
      <c r="G114" s="135" t="s">
        <v>1353</v>
      </c>
      <c r="H114" s="81">
        <v>0.3</v>
      </c>
      <c r="I114" s="81"/>
      <c r="J114" s="79"/>
      <c r="K114" s="81"/>
      <c r="L114" s="79"/>
      <c r="M114" s="82" t="s">
        <v>1428</v>
      </c>
      <c r="N114" s="82" t="s">
        <v>1391</v>
      </c>
      <c r="O114" s="82" t="s">
        <v>316</v>
      </c>
      <c r="P114" s="142">
        <v>0.2</v>
      </c>
      <c r="Q114" s="40">
        <f>SUMIF(Data_P!A:A,CONCATENATE(A114,"_",R$1),Data_P!J:J)</f>
        <v>341.45</v>
      </c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  <c r="BO114" s="40"/>
      <c r="BP114" s="40"/>
      <c r="BQ114" s="40"/>
      <c r="BR114" s="40"/>
      <c r="BS114" s="40"/>
      <c r="BT114" s="40"/>
      <c r="BU114" s="40"/>
      <c r="BV114" s="40"/>
      <c r="BW114" s="40"/>
      <c r="BX114" s="40"/>
      <c r="BY114" s="40"/>
      <c r="BZ114" s="40"/>
      <c r="CA114" s="40"/>
      <c r="CB114" s="40"/>
      <c r="CC114" s="40"/>
      <c r="CD114" s="40"/>
      <c r="CE114" s="40"/>
      <c r="CF114" s="40"/>
      <c r="CG114" s="40"/>
      <c r="CH114" s="40"/>
      <c r="CI114" s="40"/>
      <c r="CJ114" s="40"/>
      <c r="CK114" s="40"/>
      <c r="CL114" s="40"/>
      <c r="CM114" s="40"/>
      <c r="CN114" s="40"/>
      <c r="CO114" s="40"/>
      <c r="CP114" s="40"/>
      <c r="CQ114" s="40"/>
      <c r="CR114" s="40"/>
      <c r="CS114" s="40"/>
      <c r="CT114" s="40"/>
      <c r="CU114" s="40"/>
      <c r="CV114" s="40"/>
      <c r="CW114" s="40"/>
      <c r="CX114" s="40"/>
      <c r="CY114" s="40"/>
      <c r="CZ114" s="40"/>
      <c r="DA114" s="40"/>
      <c r="DB114" s="40"/>
      <c r="DC114" s="40"/>
      <c r="DD114" s="40"/>
      <c r="DE114" s="40"/>
      <c r="DF114" s="40"/>
      <c r="DG114" s="40"/>
      <c r="DH114" s="40"/>
      <c r="DI114" s="40"/>
      <c r="DJ114" s="40"/>
      <c r="DK114" s="40"/>
      <c r="DL114" s="40"/>
      <c r="DM114" s="40"/>
      <c r="DN114" s="40"/>
      <c r="DO114" s="40"/>
      <c r="DP114" s="40"/>
      <c r="DQ114" s="40"/>
      <c r="DR114" s="40"/>
      <c r="DS114" s="40"/>
      <c r="DT114" s="40"/>
      <c r="DU114" s="40"/>
      <c r="DV114" s="40"/>
      <c r="DW114" s="40"/>
      <c r="DX114" s="40"/>
      <c r="DY114" s="40"/>
      <c r="DZ114" s="40"/>
      <c r="EA114" s="40"/>
      <c r="EB114" s="40"/>
      <c r="EC114" s="40"/>
      <c r="ED114" s="40"/>
      <c r="EE114" s="40"/>
      <c r="EF114" s="40"/>
      <c r="EG114" s="40"/>
      <c r="EH114" s="40"/>
      <c r="EI114" s="40"/>
      <c r="EJ114" s="40"/>
      <c r="EK114" s="40"/>
      <c r="EL114" s="40"/>
      <c r="EM114" s="40"/>
      <c r="EN114" s="40"/>
      <c r="EO114" s="40"/>
      <c r="EP114" s="40"/>
      <c r="EQ114" s="40"/>
      <c r="ER114" s="40"/>
      <c r="ES114" s="40"/>
      <c r="ET114" s="40"/>
      <c r="EU114" s="40"/>
      <c r="EV114" s="40"/>
      <c r="EW114" s="40"/>
      <c r="EX114" s="40"/>
      <c r="EY114" s="40"/>
      <c r="EZ114" s="40"/>
      <c r="FA114" s="40"/>
      <c r="FB114" s="40"/>
      <c r="FC114" s="40"/>
      <c r="FD114" s="40"/>
      <c r="FE114" s="40"/>
      <c r="FF114" s="40"/>
      <c r="FG114" s="40"/>
      <c r="FH114" s="40"/>
      <c r="FI114" s="40"/>
      <c r="FJ114" s="40"/>
      <c r="FK114" s="40"/>
      <c r="FL114" s="40"/>
      <c r="FM114" s="40"/>
      <c r="FN114" s="40"/>
      <c r="FO114" s="40"/>
      <c r="FP114" s="40"/>
      <c r="FQ114" s="40"/>
      <c r="FR114" s="40"/>
      <c r="FS114" s="40"/>
      <c r="FT114" s="40"/>
      <c r="FU114" s="40"/>
      <c r="FV114" s="40"/>
      <c r="FW114" s="40"/>
      <c r="FX114" s="40"/>
      <c r="FY114" s="40"/>
      <c r="FZ114" s="40"/>
      <c r="GA114" s="40"/>
      <c r="GB114" s="40"/>
      <c r="GC114" s="40"/>
      <c r="GD114" s="40"/>
      <c r="GE114" s="40"/>
      <c r="GF114" s="40"/>
      <c r="GG114" s="40"/>
      <c r="GH114" s="40"/>
      <c r="GI114" s="40"/>
      <c r="GJ114" s="40"/>
      <c r="GK114" s="40"/>
      <c r="GL114" s="40"/>
      <c r="GM114" s="40"/>
      <c r="GN114" s="40"/>
      <c r="GO114" s="40"/>
      <c r="GP114" s="40"/>
      <c r="GQ114" s="40"/>
      <c r="GR114" s="40"/>
      <c r="GS114" s="40"/>
      <c r="GT114" s="40"/>
      <c r="GU114" s="40"/>
      <c r="GV114" s="40"/>
      <c r="GW114" s="40"/>
      <c r="GX114" s="40"/>
      <c r="GY114" s="40"/>
      <c r="GZ114" s="40"/>
      <c r="HA114" s="40"/>
      <c r="HB114" s="40"/>
      <c r="HC114" s="40"/>
      <c r="HD114" s="40"/>
      <c r="HE114" s="40"/>
      <c r="HF114" s="40"/>
      <c r="HG114" s="40"/>
      <c r="HH114" s="40"/>
      <c r="HI114" s="40"/>
      <c r="HJ114" s="40"/>
      <c r="HK114" s="40"/>
      <c r="HL114" s="40"/>
      <c r="HM114" s="40"/>
      <c r="HN114" s="40"/>
      <c r="HO114" s="40"/>
      <c r="HP114" s="40"/>
      <c r="HQ114" s="40"/>
      <c r="HR114" s="40"/>
      <c r="HS114" s="40"/>
      <c r="HT114" s="40"/>
      <c r="HU114" s="40"/>
    </row>
    <row r="115" spans="1:229" s="41" customFormat="1" ht="28.8" customHeight="1">
      <c r="A115" s="124" t="s">
        <v>1684</v>
      </c>
      <c r="B115" s="80" t="s">
        <v>1512</v>
      </c>
      <c r="C115" s="80"/>
      <c r="D115" s="80" t="s">
        <v>1513</v>
      </c>
      <c r="E115" s="80" t="s">
        <v>1514</v>
      </c>
      <c r="F115" s="80" t="s">
        <v>1515</v>
      </c>
      <c r="G115" s="135" t="s">
        <v>2184</v>
      </c>
      <c r="H115" s="81">
        <v>0.3</v>
      </c>
      <c r="I115" s="81"/>
      <c r="J115" s="79"/>
      <c r="K115" s="81"/>
      <c r="L115" s="79"/>
      <c r="M115" s="82" t="s">
        <v>1603</v>
      </c>
      <c r="N115" s="82" t="s">
        <v>1391</v>
      </c>
      <c r="O115" s="82" t="s">
        <v>316</v>
      </c>
      <c r="P115" s="142">
        <v>0.2</v>
      </c>
      <c r="Q115" s="40">
        <f>SUMIF(Data_P!A:A,CONCATENATE(A115,"_",R$1),Data_P!J:J)</f>
        <v>77.5</v>
      </c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/>
      <c r="CD115" s="40"/>
      <c r="CE115" s="40"/>
      <c r="CF115" s="40"/>
      <c r="CG115" s="40"/>
      <c r="CH115" s="40"/>
      <c r="CI115" s="40"/>
      <c r="CJ115" s="40"/>
      <c r="CK115" s="40"/>
      <c r="CL115" s="40"/>
      <c r="CM115" s="40"/>
      <c r="CN115" s="40"/>
      <c r="CO115" s="40"/>
      <c r="CP115" s="40"/>
      <c r="CQ115" s="40"/>
      <c r="CR115" s="40"/>
      <c r="CS115" s="40"/>
      <c r="CT115" s="40"/>
      <c r="CU115" s="40"/>
      <c r="CV115" s="40"/>
      <c r="CW115" s="40"/>
      <c r="CX115" s="40"/>
      <c r="CY115" s="40"/>
      <c r="CZ115" s="40"/>
      <c r="DA115" s="40"/>
      <c r="DB115" s="40"/>
      <c r="DC115" s="40"/>
      <c r="DD115" s="40"/>
      <c r="DE115" s="40"/>
      <c r="DF115" s="40"/>
      <c r="DG115" s="40"/>
      <c r="DH115" s="40"/>
      <c r="DI115" s="40"/>
      <c r="DJ115" s="40"/>
      <c r="DK115" s="40"/>
      <c r="DL115" s="40"/>
      <c r="DM115" s="40"/>
      <c r="DN115" s="40"/>
      <c r="DO115" s="40"/>
      <c r="DP115" s="40"/>
      <c r="DQ115" s="40"/>
      <c r="DR115" s="40"/>
      <c r="DS115" s="40"/>
      <c r="DT115" s="40"/>
      <c r="DU115" s="40"/>
      <c r="DV115" s="40"/>
      <c r="DW115" s="40"/>
      <c r="DX115" s="40"/>
      <c r="DY115" s="40"/>
      <c r="DZ115" s="40"/>
      <c r="EA115" s="40"/>
      <c r="EB115" s="40"/>
      <c r="EC115" s="40"/>
      <c r="ED115" s="40"/>
      <c r="EE115" s="40"/>
      <c r="EF115" s="40"/>
      <c r="EG115" s="40"/>
      <c r="EH115" s="40"/>
      <c r="EI115" s="40"/>
      <c r="EJ115" s="40"/>
      <c r="EK115" s="40"/>
      <c r="EL115" s="40"/>
      <c r="EM115" s="40"/>
      <c r="EN115" s="40"/>
      <c r="EO115" s="40"/>
      <c r="EP115" s="40"/>
      <c r="EQ115" s="40"/>
      <c r="ER115" s="40"/>
      <c r="ES115" s="40"/>
      <c r="ET115" s="40"/>
      <c r="EU115" s="40"/>
      <c r="EV115" s="40"/>
      <c r="EW115" s="40"/>
      <c r="EX115" s="40"/>
      <c r="EY115" s="40"/>
      <c r="EZ115" s="40"/>
      <c r="FA115" s="40"/>
      <c r="FB115" s="40"/>
      <c r="FC115" s="40"/>
      <c r="FD115" s="40"/>
      <c r="FE115" s="40"/>
      <c r="FF115" s="40"/>
      <c r="FG115" s="40"/>
      <c r="FH115" s="40"/>
      <c r="FI115" s="40"/>
      <c r="FJ115" s="40"/>
      <c r="FK115" s="40"/>
      <c r="FL115" s="40"/>
      <c r="FM115" s="40"/>
      <c r="FN115" s="40"/>
      <c r="FO115" s="40"/>
      <c r="FP115" s="40"/>
      <c r="FQ115" s="40"/>
      <c r="FR115" s="40"/>
      <c r="FS115" s="40"/>
      <c r="FT115" s="40"/>
      <c r="FU115" s="40"/>
      <c r="FV115" s="40"/>
      <c r="FW115" s="40"/>
      <c r="FX115" s="40"/>
      <c r="FY115" s="40"/>
      <c r="FZ115" s="40"/>
      <c r="GA115" s="40"/>
      <c r="GB115" s="40"/>
      <c r="GC115" s="40"/>
      <c r="GD115" s="40"/>
      <c r="GE115" s="40"/>
      <c r="GF115" s="40"/>
      <c r="GG115" s="40"/>
      <c r="GH115" s="40"/>
      <c r="GI115" s="40"/>
      <c r="GJ115" s="40"/>
      <c r="GK115" s="40"/>
      <c r="GL115" s="40"/>
      <c r="GM115" s="40"/>
      <c r="GN115" s="40"/>
      <c r="GO115" s="40"/>
      <c r="GP115" s="40"/>
      <c r="GQ115" s="40"/>
      <c r="GR115" s="40"/>
      <c r="GS115" s="40"/>
      <c r="GT115" s="40"/>
      <c r="GU115" s="40"/>
      <c r="GV115" s="40"/>
      <c r="GW115" s="40"/>
      <c r="GX115" s="40"/>
      <c r="GY115" s="40"/>
      <c r="GZ115" s="40"/>
      <c r="HA115" s="40"/>
      <c r="HB115" s="40"/>
      <c r="HC115" s="40"/>
      <c r="HD115" s="40"/>
      <c r="HE115" s="40"/>
      <c r="HF115" s="40"/>
      <c r="HG115" s="40"/>
      <c r="HH115" s="40"/>
      <c r="HI115" s="40"/>
      <c r="HJ115" s="40"/>
      <c r="HK115" s="40"/>
      <c r="HL115" s="40"/>
      <c r="HM115" s="40"/>
      <c r="HN115" s="40"/>
      <c r="HO115" s="40"/>
      <c r="HP115" s="40"/>
      <c r="HQ115" s="40"/>
      <c r="HR115" s="40"/>
      <c r="HS115" s="40"/>
      <c r="HT115" s="40"/>
      <c r="HU115" s="40"/>
    </row>
    <row r="116" spans="1:229" s="41" customFormat="1" ht="28.8" customHeight="1">
      <c r="A116" s="124" t="s">
        <v>2093</v>
      </c>
      <c r="B116" s="80" t="s">
        <v>1457</v>
      </c>
      <c r="C116" s="80"/>
      <c r="D116" s="80" t="s">
        <v>1458</v>
      </c>
      <c r="E116" s="80" t="s">
        <v>1459</v>
      </c>
      <c r="F116" s="80" t="s">
        <v>1460</v>
      </c>
      <c r="G116" s="135" t="s">
        <v>1461</v>
      </c>
      <c r="H116" s="81">
        <v>0.3</v>
      </c>
      <c r="I116" s="81"/>
      <c r="J116" s="79"/>
      <c r="K116" s="81"/>
      <c r="L116" s="79"/>
      <c r="M116" s="82"/>
      <c r="N116" s="82"/>
      <c r="O116" s="82" t="s">
        <v>317</v>
      </c>
      <c r="P116" s="142">
        <v>0.2</v>
      </c>
      <c r="Q116" s="40">
        <f>SUMIF(Data_P!A:A,CONCATENATE(A116,"_",R$1),Data_P!J:J)</f>
        <v>667.97</v>
      </c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  <c r="BO116" s="40"/>
      <c r="BP116" s="40"/>
      <c r="BQ116" s="40"/>
      <c r="BR116" s="40"/>
      <c r="BS116" s="40"/>
      <c r="BT116" s="40"/>
      <c r="BU116" s="40"/>
      <c r="BV116" s="40"/>
      <c r="BW116" s="40"/>
      <c r="BX116" s="40"/>
      <c r="BY116" s="40"/>
      <c r="BZ116" s="40"/>
      <c r="CA116" s="40"/>
      <c r="CB116" s="40"/>
      <c r="CC116" s="40"/>
      <c r="CD116" s="40"/>
      <c r="CE116" s="40"/>
      <c r="CF116" s="40"/>
      <c r="CG116" s="40"/>
      <c r="CH116" s="40"/>
      <c r="CI116" s="40"/>
      <c r="CJ116" s="40"/>
      <c r="CK116" s="40"/>
      <c r="CL116" s="40"/>
      <c r="CM116" s="40"/>
      <c r="CN116" s="40"/>
      <c r="CO116" s="40"/>
      <c r="CP116" s="40"/>
      <c r="CQ116" s="40"/>
      <c r="CR116" s="40"/>
      <c r="CS116" s="40"/>
      <c r="CT116" s="40"/>
      <c r="CU116" s="40"/>
      <c r="CV116" s="40"/>
      <c r="CW116" s="40"/>
      <c r="CX116" s="40"/>
      <c r="CY116" s="40"/>
      <c r="CZ116" s="40"/>
      <c r="DA116" s="40"/>
      <c r="DB116" s="40"/>
      <c r="DC116" s="40"/>
      <c r="DD116" s="40"/>
      <c r="DE116" s="40"/>
      <c r="DF116" s="40"/>
      <c r="DG116" s="40"/>
      <c r="DH116" s="40"/>
      <c r="DI116" s="40"/>
      <c r="DJ116" s="40"/>
      <c r="DK116" s="40"/>
      <c r="DL116" s="40"/>
      <c r="DM116" s="40"/>
      <c r="DN116" s="40"/>
      <c r="DO116" s="40"/>
      <c r="DP116" s="40"/>
      <c r="DQ116" s="40"/>
      <c r="DR116" s="40"/>
      <c r="DS116" s="40"/>
      <c r="DT116" s="40"/>
      <c r="DU116" s="40"/>
      <c r="DV116" s="40"/>
      <c r="DW116" s="40"/>
      <c r="DX116" s="40"/>
      <c r="DY116" s="40"/>
      <c r="DZ116" s="40"/>
      <c r="EA116" s="40"/>
      <c r="EB116" s="40"/>
      <c r="EC116" s="40"/>
      <c r="ED116" s="40"/>
      <c r="EE116" s="40"/>
      <c r="EF116" s="40"/>
      <c r="EG116" s="40"/>
      <c r="EH116" s="40"/>
      <c r="EI116" s="40"/>
      <c r="EJ116" s="40"/>
      <c r="EK116" s="40"/>
      <c r="EL116" s="40"/>
      <c r="EM116" s="40"/>
      <c r="EN116" s="40"/>
      <c r="EO116" s="40"/>
      <c r="EP116" s="40"/>
      <c r="EQ116" s="40"/>
      <c r="ER116" s="40"/>
      <c r="ES116" s="40"/>
      <c r="ET116" s="40"/>
      <c r="EU116" s="40"/>
      <c r="EV116" s="40"/>
      <c r="EW116" s="40"/>
      <c r="EX116" s="40"/>
      <c r="EY116" s="40"/>
      <c r="EZ116" s="40"/>
      <c r="FA116" s="40"/>
      <c r="FB116" s="40"/>
      <c r="FC116" s="40"/>
      <c r="FD116" s="40"/>
      <c r="FE116" s="40"/>
      <c r="FF116" s="40"/>
      <c r="FG116" s="40"/>
      <c r="FH116" s="40"/>
      <c r="FI116" s="40"/>
      <c r="FJ116" s="40"/>
      <c r="FK116" s="40"/>
      <c r="FL116" s="40"/>
      <c r="FM116" s="40"/>
      <c r="FN116" s="40"/>
      <c r="FO116" s="40"/>
      <c r="FP116" s="40"/>
      <c r="FQ116" s="40"/>
      <c r="FR116" s="40"/>
      <c r="FS116" s="40"/>
      <c r="FT116" s="40"/>
      <c r="FU116" s="40"/>
      <c r="FV116" s="40"/>
      <c r="FW116" s="40"/>
      <c r="FX116" s="40"/>
      <c r="FY116" s="40"/>
      <c r="FZ116" s="40"/>
      <c r="GA116" s="40"/>
      <c r="GB116" s="40"/>
      <c r="GC116" s="40"/>
      <c r="GD116" s="40"/>
      <c r="GE116" s="40"/>
      <c r="GF116" s="40"/>
      <c r="GG116" s="40"/>
      <c r="GH116" s="40"/>
      <c r="GI116" s="40"/>
      <c r="GJ116" s="40"/>
      <c r="GK116" s="40"/>
      <c r="GL116" s="40"/>
      <c r="GM116" s="40"/>
      <c r="GN116" s="40"/>
      <c r="GO116" s="40"/>
      <c r="GP116" s="40"/>
      <c r="GQ116" s="40"/>
      <c r="GR116" s="40"/>
      <c r="GS116" s="40"/>
      <c r="GT116" s="40"/>
      <c r="GU116" s="40"/>
      <c r="GV116" s="40"/>
      <c r="GW116" s="40"/>
      <c r="GX116" s="40"/>
      <c r="GY116" s="40"/>
      <c r="GZ116" s="40"/>
      <c r="HA116" s="40"/>
      <c r="HB116" s="40"/>
      <c r="HC116" s="40"/>
      <c r="HD116" s="40"/>
      <c r="HE116" s="40"/>
      <c r="HF116" s="40"/>
      <c r="HG116" s="40"/>
      <c r="HH116" s="40"/>
      <c r="HI116" s="40"/>
      <c r="HJ116" s="40"/>
      <c r="HK116" s="40"/>
      <c r="HL116" s="40"/>
      <c r="HM116" s="40"/>
      <c r="HN116" s="40"/>
      <c r="HO116" s="40"/>
      <c r="HP116" s="40"/>
      <c r="HQ116" s="40"/>
      <c r="HR116" s="40"/>
      <c r="HS116" s="40"/>
      <c r="HT116" s="40"/>
      <c r="HU116" s="40"/>
    </row>
    <row r="117" spans="1:229" s="41" customFormat="1" ht="28.8" customHeight="1">
      <c r="A117" s="124" t="s">
        <v>1685</v>
      </c>
      <c r="B117" s="80" t="s">
        <v>662</v>
      </c>
      <c r="C117" s="80"/>
      <c r="D117" s="80" t="s">
        <v>663</v>
      </c>
      <c r="E117" s="80" t="s">
        <v>396</v>
      </c>
      <c r="F117" s="80" t="s">
        <v>664</v>
      </c>
      <c r="G117" s="135" t="s">
        <v>2025</v>
      </c>
      <c r="H117" s="81">
        <v>0.3</v>
      </c>
      <c r="I117" s="81"/>
      <c r="J117" s="79"/>
      <c r="K117" s="81"/>
      <c r="L117" s="79"/>
      <c r="M117" s="82" t="s">
        <v>862</v>
      </c>
      <c r="N117" s="82" t="s">
        <v>863</v>
      </c>
      <c r="O117" s="82" t="s">
        <v>316</v>
      </c>
      <c r="P117" s="142">
        <v>0.2</v>
      </c>
      <c r="Q117" s="40">
        <f>SUMIF(Data_P!A:A,CONCATENATE(A117,"_",R$1),Data_P!J:J)</f>
        <v>6521.9</v>
      </c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0"/>
      <c r="DN117" s="40"/>
      <c r="DO117" s="40"/>
      <c r="DP117" s="40"/>
      <c r="DQ117" s="40"/>
      <c r="DR117" s="40"/>
      <c r="DS117" s="40"/>
      <c r="DT117" s="40"/>
      <c r="DU117" s="40"/>
      <c r="DV117" s="40"/>
      <c r="DW117" s="40"/>
      <c r="DX117" s="40"/>
      <c r="DY117" s="40"/>
      <c r="DZ117" s="40"/>
      <c r="EA117" s="40"/>
      <c r="EB117" s="40"/>
      <c r="EC117" s="40"/>
      <c r="ED117" s="40"/>
      <c r="EE117" s="40"/>
      <c r="EF117" s="40"/>
      <c r="EG117" s="40"/>
      <c r="EH117" s="40"/>
      <c r="EI117" s="40"/>
      <c r="EJ117" s="40"/>
      <c r="EK117" s="40"/>
      <c r="EL117" s="40"/>
      <c r="EM117" s="40"/>
      <c r="EN117" s="40"/>
      <c r="EO117" s="40"/>
      <c r="EP117" s="40"/>
      <c r="EQ117" s="40"/>
      <c r="ER117" s="40"/>
      <c r="ES117" s="40"/>
      <c r="ET117" s="40"/>
      <c r="EU117" s="40"/>
      <c r="EV117" s="40"/>
      <c r="EW117" s="40"/>
      <c r="EX117" s="40"/>
      <c r="EY117" s="40"/>
      <c r="EZ117" s="40"/>
      <c r="FA117" s="40"/>
      <c r="FB117" s="40"/>
      <c r="FC117" s="40"/>
      <c r="FD117" s="40"/>
      <c r="FE117" s="40"/>
      <c r="FF117" s="40"/>
      <c r="FG117" s="40"/>
      <c r="FH117" s="40"/>
      <c r="FI117" s="40"/>
      <c r="FJ117" s="40"/>
      <c r="FK117" s="40"/>
      <c r="FL117" s="40"/>
      <c r="FM117" s="40"/>
      <c r="FN117" s="40"/>
      <c r="FO117" s="40"/>
      <c r="FP117" s="40"/>
      <c r="FQ117" s="40"/>
      <c r="FR117" s="40"/>
      <c r="FS117" s="40"/>
      <c r="FT117" s="40"/>
      <c r="FU117" s="40"/>
      <c r="FV117" s="40"/>
      <c r="FW117" s="40"/>
      <c r="FX117" s="40"/>
      <c r="FY117" s="40"/>
      <c r="FZ117" s="40"/>
      <c r="GA117" s="40"/>
      <c r="GB117" s="40"/>
      <c r="GC117" s="40"/>
      <c r="GD117" s="40"/>
      <c r="GE117" s="40"/>
      <c r="GF117" s="40"/>
      <c r="GG117" s="40"/>
      <c r="GH117" s="40"/>
      <c r="GI117" s="40"/>
      <c r="GJ117" s="40"/>
      <c r="GK117" s="40"/>
      <c r="GL117" s="40"/>
      <c r="GM117" s="40"/>
      <c r="GN117" s="40"/>
      <c r="GO117" s="40"/>
      <c r="GP117" s="40"/>
      <c r="GQ117" s="40"/>
      <c r="GR117" s="40"/>
      <c r="GS117" s="40"/>
      <c r="GT117" s="40"/>
      <c r="GU117" s="40"/>
      <c r="GV117" s="40"/>
      <c r="GW117" s="40"/>
      <c r="GX117" s="40"/>
      <c r="GY117" s="40"/>
      <c r="GZ117" s="40"/>
      <c r="HA117" s="40"/>
      <c r="HB117" s="40"/>
      <c r="HC117" s="40"/>
      <c r="HD117" s="40"/>
      <c r="HE117" s="40"/>
      <c r="HF117" s="40"/>
      <c r="HG117" s="40"/>
      <c r="HH117" s="40"/>
      <c r="HI117" s="40"/>
      <c r="HJ117" s="40"/>
      <c r="HK117" s="40"/>
      <c r="HL117" s="40"/>
      <c r="HM117" s="40"/>
      <c r="HN117" s="40"/>
      <c r="HO117" s="40"/>
      <c r="HP117" s="40"/>
      <c r="HQ117" s="40"/>
      <c r="HR117" s="40"/>
      <c r="HS117" s="40"/>
      <c r="HT117" s="40"/>
      <c r="HU117" s="40"/>
    </row>
    <row r="118" spans="1:229" s="41" customFormat="1" ht="28.8" customHeight="1">
      <c r="A118" s="124" t="s">
        <v>1686</v>
      </c>
      <c r="B118" s="80" t="s">
        <v>167</v>
      </c>
      <c r="C118" s="80"/>
      <c r="D118" s="80" t="s">
        <v>172</v>
      </c>
      <c r="E118" s="80" t="s">
        <v>173</v>
      </c>
      <c r="F118" s="80" t="s">
        <v>174</v>
      </c>
      <c r="G118" s="135" t="s">
        <v>175</v>
      </c>
      <c r="H118" s="81">
        <v>0.25</v>
      </c>
      <c r="I118" s="81"/>
      <c r="J118" s="79"/>
      <c r="K118" s="81"/>
      <c r="L118" s="79"/>
      <c r="M118" s="82"/>
      <c r="N118" s="82"/>
      <c r="O118" s="82" t="s">
        <v>316</v>
      </c>
      <c r="P118" s="142">
        <v>0.2</v>
      </c>
      <c r="Q118" s="40">
        <f>SUMIF(Data_P!A:A,CONCATENATE(A118,"_",R$1),Data_P!J:J)</f>
        <v>171.54</v>
      </c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40"/>
      <c r="BQ118" s="40"/>
      <c r="BR118" s="40"/>
      <c r="BS118" s="40"/>
      <c r="BT118" s="40"/>
      <c r="BU118" s="40"/>
      <c r="BV118" s="40"/>
      <c r="BW118" s="40"/>
      <c r="BX118" s="40"/>
      <c r="BY118" s="40"/>
      <c r="BZ118" s="40"/>
      <c r="CA118" s="40"/>
      <c r="CB118" s="40"/>
      <c r="CC118" s="40"/>
      <c r="CD118" s="40"/>
      <c r="CE118" s="40"/>
      <c r="CF118" s="40"/>
      <c r="CG118" s="40"/>
      <c r="CH118" s="40"/>
      <c r="CI118" s="40"/>
      <c r="CJ118" s="40"/>
      <c r="CK118" s="40"/>
      <c r="CL118" s="40"/>
      <c r="CM118" s="40"/>
      <c r="CN118" s="40"/>
      <c r="CO118" s="40"/>
      <c r="CP118" s="40"/>
      <c r="CQ118" s="40"/>
      <c r="CR118" s="40"/>
      <c r="CS118" s="40"/>
      <c r="CT118" s="40"/>
      <c r="CU118" s="40"/>
      <c r="CV118" s="40"/>
      <c r="CW118" s="40"/>
      <c r="CX118" s="40"/>
      <c r="CY118" s="40"/>
      <c r="CZ118" s="40"/>
      <c r="DA118" s="40"/>
      <c r="DB118" s="40"/>
      <c r="DC118" s="40"/>
      <c r="DD118" s="40"/>
      <c r="DE118" s="40"/>
      <c r="DF118" s="40"/>
      <c r="DG118" s="40"/>
      <c r="DH118" s="40"/>
      <c r="DI118" s="40"/>
      <c r="DJ118" s="40"/>
      <c r="DK118" s="40"/>
      <c r="DL118" s="40"/>
      <c r="DM118" s="40"/>
      <c r="DN118" s="40"/>
      <c r="DO118" s="40"/>
      <c r="DP118" s="40"/>
      <c r="DQ118" s="40"/>
      <c r="DR118" s="40"/>
      <c r="DS118" s="40"/>
      <c r="DT118" s="40"/>
      <c r="DU118" s="40"/>
      <c r="DV118" s="40"/>
      <c r="DW118" s="40"/>
      <c r="DX118" s="40"/>
      <c r="DY118" s="40"/>
      <c r="DZ118" s="40"/>
      <c r="EA118" s="40"/>
      <c r="EB118" s="40"/>
      <c r="EC118" s="40"/>
      <c r="ED118" s="40"/>
      <c r="EE118" s="40"/>
      <c r="EF118" s="40"/>
      <c r="EG118" s="40"/>
      <c r="EH118" s="40"/>
      <c r="EI118" s="40"/>
      <c r="EJ118" s="40"/>
      <c r="EK118" s="40"/>
      <c r="EL118" s="40"/>
      <c r="EM118" s="40"/>
      <c r="EN118" s="40"/>
      <c r="EO118" s="40"/>
      <c r="EP118" s="40"/>
      <c r="EQ118" s="40"/>
      <c r="ER118" s="40"/>
      <c r="ES118" s="40"/>
      <c r="ET118" s="40"/>
      <c r="EU118" s="40"/>
      <c r="EV118" s="40"/>
      <c r="EW118" s="40"/>
      <c r="EX118" s="40"/>
      <c r="EY118" s="40"/>
      <c r="EZ118" s="40"/>
      <c r="FA118" s="40"/>
      <c r="FB118" s="40"/>
      <c r="FC118" s="40"/>
      <c r="FD118" s="40"/>
      <c r="FE118" s="40"/>
      <c r="FF118" s="40"/>
      <c r="FG118" s="40"/>
      <c r="FH118" s="40"/>
      <c r="FI118" s="40"/>
      <c r="FJ118" s="40"/>
      <c r="FK118" s="40"/>
      <c r="FL118" s="40"/>
      <c r="FM118" s="40"/>
      <c r="FN118" s="40"/>
      <c r="FO118" s="40"/>
      <c r="FP118" s="40"/>
      <c r="FQ118" s="40"/>
      <c r="FR118" s="40"/>
      <c r="FS118" s="40"/>
      <c r="FT118" s="40"/>
      <c r="FU118" s="40"/>
      <c r="FV118" s="40"/>
      <c r="FW118" s="40"/>
      <c r="FX118" s="40"/>
      <c r="FY118" s="40"/>
      <c r="FZ118" s="40"/>
      <c r="GA118" s="40"/>
      <c r="GB118" s="40"/>
      <c r="GC118" s="40"/>
      <c r="GD118" s="40"/>
      <c r="GE118" s="40"/>
      <c r="GF118" s="40"/>
      <c r="GG118" s="40"/>
      <c r="GH118" s="40"/>
      <c r="GI118" s="40"/>
      <c r="GJ118" s="40"/>
      <c r="GK118" s="40"/>
      <c r="GL118" s="40"/>
      <c r="GM118" s="40"/>
      <c r="GN118" s="40"/>
      <c r="GO118" s="40"/>
      <c r="GP118" s="40"/>
      <c r="GQ118" s="40"/>
      <c r="GR118" s="40"/>
      <c r="GS118" s="40"/>
      <c r="GT118" s="40"/>
      <c r="GU118" s="40"/>
      <c r="GV118" s="40"/>
      <c r="GW118" s="40"/>
      <c r="GX118" s="40"/>
      <c r="GY118" s="40"/>
      <c r="GZ118" s="40"/>
      <c r="HA118" s="40"/>
      <c r="HB118" s="40"/>
      <c r="HC118" s="40"/>
      <c r="HD118" s="40"/>
      <c r="HE118" s="40"/>
      <c r="HF118" s="40"/>
      <c r="HG118" s="40"/>
      <c r="HH118" s="40"/>
      <c r="HI118" s="40"/>
      <c r="HJ118" s="40"/>
      <c r="HK118" s="40"/>
      <c r="HL118" s="40"/>
      <c r="HM118" s="40"/>
      <c r="HN118" s="40"/>
      <c r="HO118" s="40"/>
      <c r="HP118" s="40"/>
      <c r="HQ118" s="40"/>
      <c r="HR118" s="40"/>
      <c r="HS118" s="40"/>
      <c r="HT118" s="40"/>
      <c r="HU118" s="40"/>
    </row>
    <row r="119" spans="1:229" s="41" customFormat="1" ht="28.8" customHeight="1">
      <c r="A119" s="124" t="s">
        <v>888</v>
      </c>
      <c r="B119" s="80" t="s">
        <v>889</v>
      </c>
      <c r="C119" s="80"/>
      <c r="D119" s="80" t="s">
        <v>890</v>
      </c>
      <c r="E119" s="80" t="s">
        <v>891</v>
      </c>
      <c r="F119" s="80" t="s">
        <v>892</v>
      </c>
      <c r="G119" s="135" t="s">
        <v>893</v>
      </c>
      <c r="H119" s="81">
        <v>0.5</v>
      </c>
      <c r="I119" s="81"/>
      <c r="J119" s="79"/>
      <c r="K119" s="81"/>
      <c r="L119" s="79"/>
      <c r="M119" s="82" t="s">
        <v>1429</v>
      </c>
      <c r="N119" s="82" t="s">
        <v>294</v>
      </c>
      <c r="O119" s="82" t="s">
        <v>316</v>
      </c>
      <c r="P119" s="142">
        <v>0.2</v>
      </c>
      <c r="Q119" s="40">
        <f>SUMIF(Data_P!A:A,CONCATENATE(A119,"_",R$1),Data_P!J:J)</f>
        <v>76.91</v>
      </c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40"/>
      <c r="BQ119" s="40"/>
      <c r="BR119" s="40"/>
      <c r="BS119" s="40"/>
      <c r="BT119" s="40"/>
      <c r="BU119" s="40"/>
      <c r="BV119" s="40"/>
      <c r="BW119" s="40"/>
      <c r="BX119" s="40"/>
      <c r="BY119" s="40"/>
      <c r="BZ119" s="40"/>
      <c r="CA119" s="40"/>
      <c r="CB119" s="40"/>
      <c r="CC119" s="40"/>
      <c r="CD119" s="40"/>
      <c r="CE119" s="40"/>
      <c r="CF119" s="40"/>
      <c r="CG119" s="40"/>
      <c r="CH119" s="40"/>
      <c r="CI119" s="40"/>
      <c r="CJ119" s="40"/>
      <c r="CK119" s="40"/>
      <c r="CL119" s="40"/>
      <c r="CM119" s="40"/>
      <c r="CN119" s="40"/>
      <c r="CO119" s="40"/>
      <c r="CP119" s="40"/>
      <c r="CQ119" s="40"/>
      <c r="CR119" s="40"/>
      <c r="CS119" s="40"/>
      <c r="CT119" s="40"/>
      <c r="CU119" s="40"/>
      <c r="CV119" s="40"/>
      <c r="CW119" s="40"/>
      <c r="CX119" s="40"/>
      <c r="CY119" s="40"/>
      <c r="CZ119" s="40"/>
      <c r="DA119" s="40"/>
      <c r="DB119" s="40"/>
      <c r="DC119" s="40"/>
      <c r="DD119" s="40"/>
      <c r="DE119" s="40"/>
      <c r="DF119" s="40"/>
      <c r="DG119" s="40"/>
      <c r="DH119" s="40"/>
      <c r="DI119" s="40"/>
      <c r="DJ119" s="40"/>
      <c r="DK119" s="40"/>
      <c r="DL119" s="40"/>
      <c r="DM119" s="40"/>
      <c r="DN119" s="40"/>
      <c r="DO119" s="40"/>
      <c r="DP119" s="40"/>
      <c r="DQ119" s="40"/>
      <c r="DR119" s="40"/>
      <c r="DS119" s="40"/>
      <c r="DT119" s="40"/>
      <c r="DU119" s="40"/>
      <c r="DV119" s="40"/>
      <c r="DW119" s="40"/>
      <c r="DX119" s="40"/>
      <c r="DY119" s="40"/>
      <c r="DZ119" s="40"/>
      <c r="EA119" s="40"/>
      <c r="EB119" s="40"/>
      <c r="EC119" s="40"/>
      <c r="ED119" s="40"/>
      <c r="EE119" s="40"/>
      <c r="EF119" s="40"/>
      <c r="EG119" s="40"/>
      <c r="EH119" s="40"/>
      <c r="EI119" s="40"/>
      <c r="EJ119" s="40"/>
      <c r="EK119" s="40"/>
      <c r="EL119" s="40"/>
      <c r="EM119" s="40"/>
      <c r="EN119" s="40"/>
      <c r="EO119" s="40"/>
      <c r="EP119" s="40"/>
      <c r="EQ119" s="40"/>
      <c r="ER119" s="40"/>
      <c r="ES119" s="40"/>
      <c r="ET119" s="40"/>
      <c r="EU119" s="40"/>
      <c r="EV119" s="40"/>
      <c r="EW119" s="40"/>
      <c r="EX119" s="40"/>
      <c r="EY119" s="40"/>
      <c r="EZ119" s="40"/>
      <c r="FA119" s="40"/>
      <c r="FB119" s="40"/>
      <c r="FC119" s="40"/>
      <c r="FD119" s="40"/>
      <c r="FE119" s="40"/>
      <c r="FF119" s="40"/>
      <c r="FG119" s="40"/>
      <c r="FH119" s="40"/>
      <c r="FI119" s="40"/>
      <c r="FJ119" s="40"/>
      <c r="FK119" s="40"/>
      <c r="FL119" s="40"/>
      <c r="FM119" s="40"/>
      <c r="FN119" s="40"/>
      <c r="FO119" s="40"/>
      <c r="FP119" s="40"/>
      <c r="FQ119" s="40"/>
      <c r="FR119" s="40"/>
      <c r="FS119" s="40"/>
      <c r="FT119" s="40"/>
      <c r="FU119" s="40"/>
      <c r="FV119" s="40"/>
      <c r="FW119" s="40"/>
      <c r="FX119" s="40"/>
      <c r="FY119" s="40"/>
      <c r="FZ119" s="40"/>
      <c r="GA119" s="40"/>
      <c r="GB119" s="40"/>
      <c r="GC119" s="40"/>
      <c r="GD119" s="40"/>
      <c r="GE119" s="40"/>
      <c r="GF119" s="40"/>
      <c r="GG119" s="40"/>
      <c r="GH119" s="40"/>
      <c r="GI119" s="40"/>
      <c r="GJ119" s="40"/>
      <c r="GK119" s="40"/>
      <c r="GL119" s="40"/>
      <c r="GM119" s="40"/>
      <c r="GN119" s="40"/>
      <c r="GO119" s="40"/>
      <c r="GP119" s="40"/>
      <c r="GQ119" s="40"/>
      <c r="GR119" s="40"/>
      <c r="GS119" s="40"/>
      <c r="GT119" s="40"/>
      <c r="GU119" s="40"/>
      <c r="GV119" s="40"/>
      <c r="GW119" s="40"/>
      <c r="GX119" s="40"/>
      <c r="GY119" s="40"/>
      <c r="GZ119" s="40"/>
      <c r="HA119" s="40"/>
      <c r="HB119" s="40"/>
      <c r="HC119" s="40"/>
      <c r="HD119" s="40"/>
      <c r="HE119" s="40"/>
      <c r="HF119" s="40"/>
      <c r="HG119" s="40"/>
      <c r="HH119" s="40"/>
      <c r="HI119" s="40"/>
      <c r="HJ119" s="40"/>
      <c r="HK119" s="40"/>
      <c r="HL119" s="40"/>
      <c r="HM119" s="40"/>
      <c r="HN119" s="40"/>
      <c r="HO119" s="40"/>
      <c r="HP119" s="40"/>
      <c r="HQ119" s="40"/>
      <c r="HR119" s="40"/>
      <c r="HS119" s="40"/>
      <c r="HT119" s="40"/>
      <c r="HU119" s="40"/>
    </row>
    <row r="120" spans="1:229" s="41" customFormat="1" ht="28.8" customHeight="1">
      <c r="A120" s="124" t="s">
        <v>12</v>
      </c>
      <c r="B120" s="80" t="s">
        <v>101</v>
      </c>
      <c r="C120" s="80" t="s">
        <v>131</v>
      </c>
      <c r="D120" s="80" t="s">
        <v>15</v>
      </c>
      <c r="E120" s="80" t="s">
        <v>16</v>
      </c>
      <c r="F120" s="80" t="s">
        <v>132</v>
      </c>
      <c r="G120" s="135" t="s">
        <v>102</v>
      </c>
      <c r="H120" s="81">
        <v>0.4</v>
      </c>
      <c r="I120" s="81"/>
      <c r="J120" s="79"/>
      <c r="K120" s="81"/>
      <c r="L120" s="79"/>
      <c r="M120" s="82" t="s">
        <v>293</v>
      </c>
      <c r="N120" s="82" t="s">
        <v>294</v>
      </c>
      <c r="O120" s="82" t="s">
        <v>316</v>
      </c>
      <c r="P120" s="142">
        <v>0.2</v>
      </c>
      <c r="Q120" s="40">
        <f>SUMIF(Data_P!A:A,CONCATENATE(A120,"_",R$1),Data_P!J:J)</f>
        <v>3282.1800000000003</v>
      </c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  <c r="BA120" s="40"/>
      <c r="BB120" s="40"/>
      <c r="BC120" s="40"/>
      <c r="BD120" s="40"/>
      <c r="BE120" s="40"/>
      <c r="BF120" s="40"/>
      <c r="BG120" s="40"/>
      <c r="BH120" s="40"/>
      <c r="BI120" s="40"/>
      <c r="BJ120" s="40"/>
      <c r="BK120" s="40"/>
      <c r="BL120" s="40"/>
      <c r="BM120" s="40"/>
      <c r="BN120" s="40"/>
      <c r="BO120" s="40"/>
      <c r="BP120" s="40"/>
      <c r="BQ120" s="40"/>
      <c r="BR120" s="40"/>
      <c r="BS120" s="40"/>
      <c r="BT120" s="40"/>
      <c r="BU120" s="40"/>
      <c r="BV120" s="40"/>
      <c r="BW120" s="40"/>
      <c r="BX120" s="40"/>
      <c r="BY120" s="40"/>
      <c r="BZ120" s="40"/>
      <c r="CA120" s="40"/>
      <c r="CB120" s="40"/>
      <c r="CC120" s="40"/>
      <c r="CD120" s="40"/>
      <c r="CE120" s="40"/>
      <c r="CF120" s="40"/>
      <c r="CG120" s="40"/>
      <c r="CH120" s="40"/>
      <c r="CI120" s="40"/>
      <c r="CJ120" s="40"/>
      <c r="CK120" s="40"/>
      <c r="CL120" s="40"/>
      <c r="CM120" s="40"/>
      <c r="CN120" s="40"/>
      <c r="CO120" s="40"/>
      <c r="CP120" s="40"/>
      <c r="CQ120" s="40"/>
      <c r="CR120" s="40"/>
      <c r="CS120" s="40"/>
      <c r="CT120" s="40"/>
      <c r="CU120" s="40"/>
      <c r="CV120" s="40"/>
      <c r="CW120" s="40"/>
      <c r="CX120" s="40"/>
      <c r="CY120" s="40"/>
      <c r="CZ120" s="40"/>
      <c r="DA120" s="40"/>
      <c r="DB120" s="40"/>
      <c r="DC120" s="40"/>
      <c r="DD120" s="40"/>
      <c r="DE120" s="40"/>
      <c r="DF120" s="40"/>
      <c r="DG120" s="40"/>
      <c r="DH120" s="40"/>
      <c r="DI120" s="40"/>
      <c r="DJ120" s="40"/>
      <c r="DK120" s="40"/>
      <c r="DL120" s="40"/>
      <c r="DM120" s="40"/>
      <c r="DN120" s="40"/>
      <c r="DO120" s="40"/>
      <c r="DP120" s="40"/>
      <c r="DQ120" s="40"/>
      <c r="DR120" s="40"/>
      <c r="DS120" s="40"/>
      <c r="DT120" s="40"/>
      <c r="DU120" s="40"/>
      <c r="DV120" s="40"/>
      <c r="DW120" s="40"/>
      <c r="DX120" s="40"/>
      <c r="DY120" s="40"/>
      <c r="DZ120" s="40"/>
      <c r="EA120" s="40"/>
      <c r="EB120" s="40"/>
      <c r="EC120" s="40"/>
      <c r="ED120" s="40"/>
      <c r="EE120" s="40"/>
      <c r="EF120" s="40"/>
      <c r="EG120" s="40"/>
      <c r="EH120" s="40"/>
      <c r="EI120" s="40"/>
      <c r="EJ120" s="40"/>
      <c r="EK120" s="40"/>
      <c r="EL120" s="40"/>
      <c r="EM120" s="40"/>
      <c r="EN120" s="40"/>
      <c r="EO120" s="40"/>
      <c r="EP120" s="40"/>
      <c r="EQ120" s="40"/>
      <c r="ER120" s="40"/>
      <c r="ES120" s="40"/>
      <c r="ET120" s="40"/>
      <c r="EU120" s="40"/>
      <c r="EV120" s="40"/>
      <c r="EW120" s="40"/>
      <c r="EX120" s="40"/>
      <c r="EY120" s="40"/>
      <c r="EZ120" s="40"/>
      <c r="FA120" s="40"/>
      <c r="FB120" s="40"/>
      <c r="FC120" s="40"/>
      <c r="FD120" s="40"/>
      <c r="FE120" s="40"/>
      <c r="FF120" s="40"/>
      <c r="FG120" s="40"/>
      <c r="FH120" s="40"/>
      <c r="FI120" s="40"/>
      <c r="FJ120" s="40"/>
      <c r="FK120" s="40"/>
      <c r="FL120" s="40"/>
      <c r="FM120" s="40"/>
      <c r="FN120" s="40"/>
      <c r="FO120" s="40"/>
      <c r="FP120" s="40"/>
      <c r="FQ120" s="40"/>
      <c r="FR120" s="40"/>
      <c r="FS120" s="40"/>
      <c r="FT120" s="40"/>
      <c r="FU120" s="40"/>
      <c r="FV120" s="40"/>
      <c r="FW120" s="40"/>
      <c r="FX120" s="40"/>
      <c r="FY120" s="40"/>
      <c r="FZ120" s="40"/>
      <c r="GA120" s="40"/>
      <c r="GB120" s="40"/>
      <c r="GC120" s="40"/>
      <c r="GD120" s="40"/>
      <c r="GE120" s="40"/>
      <c r="GF120" s="40"/>
      <c r="GG120" s="40"/>
      <c r="GH120" s="40"/>
      <c r="GI120" s="40"/>
      <c r="GJ120" s="40"/>
      <c r="GK120" s="40"/>
      <c r="GL120" s="40"/>
      <c r="GM120" s="40"/>
      <c r="GN120" s="40"/>
      <c r="GO120" s="40"/>
      <c r="GP120" s="40"/>
      <c r="GQ120" s="40"/>
      <c r="GR120" s="40"/>
      <c r="GS120" s="40"/>
      <c r="GT120" s="40"/>
      <c r="GU120" s="40"/>
      <c r="GV120" s="40"/>
      <c r="GW120" s="40"/>
      <c r="GX120" s="40"/>
      <c r="GY120" s="40"/>
      <c r="GZ120" s="40"/>
      <c r="HA120" s="40"/>
      <c r="HB120" s="40"/>
      <c r="HC120" s="40"/>
      <c r="HD120" s="40"/>
      <c r="HE120" s="40"/>
      <c r="HF120" s="40"/>
      <c r="HG120" s="40"/>
      <c r="HH120" s="40"/>
      <c r="HI120" s="40"/>
      <c r="HJ120" s="40"/>
      <c r="HK120" s="40"/>
      <c r="HL120" s="40"/>
      <c r="HM120" s="40"/>
      <c r="HN120" s="40"/>
      <c r="HO120" s="40"/>
      <c r="HP120" s="40"/>
      <c r="HQ120" s="40"/>
      <c r="HR120" s="40"/>
      <c r="HS120" s="40"/>
      <c r="HT120" s="40"/>
      <c r="HU120" s="40"/>
    </row>
    <row r="121" spans="1:229" s="41" customFormat="1" ht="28.8" customHeight="1">
      <c r="A121" s="124" t="s">
        <v>142</v>
      </c>
      <c r="B121" s="80" t="s">
        <v>120</v>
      </c>
      <c r="C121" s="80" t="s">
        <v>41</v>
      </c>
      <c r="D121" s="80" t="s">
        <v>68</v>
      </c>
      <c r="E121" s="80" t="s">
        <v>156</v>
      </c>
      <c r="F121" s="80" t="s">
        <v>518</v>
      </c>
      <c r="G121" s="135" t="s">
        <v>2094</v>
      </c>
      <c r="H121" s="81">
        <v>0.4</v>
      </c>
      <c r="I121" s="81" t="s">
        <v>1308</v>
      </c>
      <c r="J121" s="79"/>
      <c r="K121" s="81"/>
      <c r="L121" s="79"/>
      <c r="M121" s="82" t="s">
        <v>92</v>
      </c>
      <c r="N121" s="82" t="s">
        <v>40</v>
      </c>
      <c r="O121" s="82" t="s">
        <v>317</v>
      </c>
      <c r="P121" s="142">
        <v>0.2</v>
      </c>
      <c r="Q121" s="40">
        <f>SUMIF(Data_P!A:A,CONCATENATE(A121,"_",R$1),Data_P!J:J)</f>
        <v>29232.91</v>
      </c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/>
      <c r="BF121" s="40"/>
      <c r="BG121" s="40"/>
      <c r="BH121" s="40"/>
      <c r="BI121" s="40"/>
      <c r="BJ121" s="40"/>
      <c r="BK121" s="40"/>
      <c r="BL121" s="40"/>
      <c r="BM121" s="40"/>
      <c r="BN121" s="40"/>
      <c r="BO121" s="40"/>
      <c r="BP121" s="40"/>
      <c r="BQ121" s="40"/>
      <c r="BR121" s="40"/>
      <c r="BS121" s="40"/>
      <c r="BT121" s="40"/>
      <c r="BU121" s="40"/>
      <c r="BV121" s="40"/>
      <c r="BW121" s="40"/>
      <c r="BX121" s="40"/>
      <c r="BY121" s="40"/>
      <c r="BZ121" s="40"/>
      <c r="CA121" s="40"/>
      <c r="CB121" s="40"/>
      <c r="CC121" s="40"/>
      <c r="CD121" s="40"/>
      <c r="CE121" s="40"/>
      <c r="CF121" s="40"/>
      <c r="CG121" s="40"/>
      <c r="CH121" s="40"/>
      <c r="CI121" s="40"/>
      <c r="CJ121" s="40"/>
      <c r="CK121" s="40"/>
      <c r="CL121" s="40"/>
      <c r="CM121" s="40"/>
      <c r="CN121" s="40"/>
      <c r="CO121" s="40"/>
      <c r="CP121" s="40"/>
      <c r="CQ121" s="40"/>
      <c r="CR121" s="40"/>
      <c r="CS121" s="40"/>
      <c r="CT121" s="40"/>
      <c r="CU121" s="40"/>
      <c r="CV121" s="40"/>
      <c r="CW121" s="40"/>
      <c r="CX121" s="40"/>
      <c r="CY121" s="40"/>
      <c r="CZ121" s="40"/>
      <c r="DA121" s="40"/>
      <c r="DB121" s="40"/>
      <c r="DC121" s="40"/>
      <c r="DD121" s="40"/>
      <c r="DE121" s="40"/>
      <c r="DF121" s="40"/>
      <c r="DG121" s="40"/>
      <c r="DH121" s="40"/>
      <c r="DI121" s="40"/>
      <c r="DJ121" s="40"/>
      <c r="DK121" s="40"/>
      <c r="DL121" s="40"/>
      <c r="DM121" s="40"/>
      <c r="DN121" s="40"/>
      <c r="DO121" s="40"/>
      <c r="DP121" s="40"/>
      <c r="DQ121" s="40"/>
      <c r="DR121" s="40"/>
      <c r="DS121" s="40"/>
      <c r="DT121" s="40"/>
      <c r="DU121" s="40"/>
      <c r="DV121" s="40"/>
      <c r="DW121" s="40"/>
      <c r="DX121" s="40"/>
      <c r="DY121" s="40"/>
      <c r="DZ121" s="40"/>
      <c r="EA121" s="40"/>
      <c r="EB121" s="40"/>
      <c r="EC121" s="40"/>
      <c r="ED121" s="40"/>
      <c r="EE121" s="40"/>
      <c r="EF121" s="40"/>
      <c r="EG121" s="40"/>
      <c r="EH121" s="40"/>
      <c r="EI121" s="40"/>
      <c r="EJ121" s="40"/>
      <c r="EK121" s="40"/>
      <c r="EL121" s="40"/>
      <c r="EM121" s="40"/>
      <c r="EN121" s="40"/>
      <c r="EO121" s="40"/>
      <c r="EP121" s="40"/>
      <c r="EQ121" s="40"/>
      <c r="ER121" s="40"/>
      <c r="ES121" s="40"/>
      <c r="ET121" s="40"/>
      <c r="EU121" s="40"/>
      <c r="EV121" s="40"/>
      <c r="EW121" s="40"/>
      <c r="EX121" s="40"/>
      <c r="EY121" s="40"/>
      <c r="EZ121" s="40"/>
      <c r="FA121" s="40"/>
      <c r="FB121" s="40"/>
      <c r="FC121" s="40"/>
      <c r="FD121" s="40"/>
      <c r="FE121" s="40"/>
      <c r="FF121" s="40"/>
      <c r="FG121" s="40"/>
      <c r="FH121" s="40"/>
      <c r="FI121" s="40"/>
      <c r="FJ121" s="40"/>
      <c r="FK121" s="40"/>
      <c r="FL121" s="40"/>
      <c r="FM121" s="40"/>
      <c r="FN121" s="40"/>
      <c r="FO121" s="40"/>
      <c r="FP121" s="40"/>
      <c r="FQ121" s="40"/>
      <c r="FR121" s="40"/>
      <c r="FS121" s="40"/>
      <c r="FT121" s="40"/>
      <c r="FU121" s="40"/>
      <c r="FV121" s="40"/>
      <c r="FW121" s="40"/>
      <c r="FX121" s="40"/>
      <c r="FY121" s="40"/>
      <c r="FZ121" s="40"/>
      <c r="GA121" s="40"/>
      <c r="GB121" s="40"/>
      <c r="GC121" s="40"/>
      <c r="GD121" s="40"/>
      <c r="GE121" s="40"/>
      <c r="GF121" s="40"/>
      <c r="GG121" s="40"/>
      <c r="GH121" s="40"/>
      <c r="GI121" s="40"/>
      <c r="GJ121" s="40"/>
      <c r="GK121" s="40"/>
      <c r="GL121" s="40"/>
      <c r="GM121" s="40"/>
      <c r="GN121" s="40"/>
      <c r="GO121" s="40"/>
      <c r="GP121" s="40"/>
      <c r="GQ121" s="40"/>
      <c r="GR121" s="40"/>
      <c r="GS121" s="40"/>
      <c r="GT121" s="40"/>
      <c r="GU121" s="40"/>
      <c r="GV121" s="40"/>
      <c r="GW121" s="40"/>
      <c r="GX121" s="40"/>
      <c r="GY121" s="40"/>
      <c r="GZ121" s="40"/>
      <c r="HA121" s="40"/>
      <c r="HB121" s="40"/>
      <c r="HC121" s="40"/>
      <c r="HD121" s="40"/>
      <c r="HE121" s="40"/>
      <c r="HF121" s="40"/>
      <c r="HG121" s="40"/>
      <c r="HH121" s="40"/>
      <c r="HI121" s="40"/>
      <c r="HJ121" s="40"/>
      <c r="HK121" s="40"/>
      <c r="HL121" s="40"/>
      <c r="HM121" s="40"/>
      <c r="HN121" s="40"/>
      <c r="HO121" s="40"/>
      <c r="HP121" s="40"/>
      <c r="HQ121" s="40"/>
      <c r="HR121" s="40"/>
      <c r="HS121" s="40"/>
      <c r="HT121" s="40"/>
      <c r="HU121" s="40"/>
    </row>
    <row r="122" spans="1:229" s="41" customFormat="1" ht="28.8" customHeight="1">
      <c r="A122" s="124" t="s">
        <v>1410</v>
      </c>
      <c r="B122" s="80" t="s">
        <v>1512</v>
      </c>
      <c r="C122" s="80"/>
      <c r="D122" s="80" t="s">
        <v>1589</v>
      </c>
      <c r="E122" s="80" t="s">
        <v>1590</v>
      </c>
      <c r="F122" s="80" t="s">
        <v>1591</v>
      </c>
      <c r="G122" s="135" t="s">
        <v>1592</v>
      </c>
      <c r="H122" s="81">
        <v>0.4</v>
      </c>
      <c r="I122" s="81" t="s">
        <v>1308</v>
      </c>
      <c r="J122" s="79"/>
      <c r="K122" s="81"/>
      <c r="L122" s="79"/>
      <c r="M122" s="82"/>
      <c r="N122" s="82"/>
      <c r="O122" s="82" t="s">
        <v>317</v>
      </c>
      <c r="P122" s="142">
        <v>0.2</v>
      </c>
      <c r="Q122" s="40">
        <f>SUMIF(Data_P!A:A,CONCATENATE(A122,"_",R$1),Data_P!J:J)</f>
        <v>1045.74</v>
      </c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  <c r="BA122" s="40"/>
      <c r="BB122" s="40"/>
      <c r="BC122" s="40"/>
      <c r="BD122" s="40"/>
      <c r="BE122" s="40"/>
      <c r="BF122" s="40"/>
      <c r="BG122" s="40"/>
      <c r="BH122" s="40"/>
      <c r="BI122" s="40"/>
      <c r="BJ122" s="40"/>
      <c r="BK122" s="40"/>
      <c r="BL122" s="40"/>
      <c r="BM122" s="40"/>
      <c r="BN122" s="40"/>
      <c r="BO122" s="40"/>
      <c r="BP122" s="40"/>
      <c r="BQ122" s="40"/>
      <c r="BR122" s="40"/>
      <c r="BS122" s="40"/>
      <c r="BT122" s="40"/>
      <c r="BU122" s="40"/>
      <c r="BV122" s="40"/>
      <c r="BW122" s="40"/>
      <c r="BX122" s="40"/>
      <c r="BY122" s="40"/>
      <c r="BZ122" s="40"/>
      <c r="CA122" s="40"/>
      <c r="CB122" s="40"/>
      <c r="CC122" s="40"/>
      <c r="CD122" s="40"/>
      <c r="CE122" s="40"/>
      <c r="CF122" s="40"/>
      <c r="CG122" s="40"/>
      <c r="CH122" s="40"/>
      <c r="CI122" s="40"/>
      <c r="CJ122" s="40"/>
      <c r="CK122" s="40"/>
      <c r="CL122" s="40"/>
      <c r="CM122" s="40"/>
      <c r="CN122" s="40"/>
      <c r="CO122" s="40"/>
      <c r="CP122" s="40"/>
      <c r="CQ122" s="40"/>
      <c r="CR122" s="40"/>
      <c r="CS122" s="40"/>
      <c r="CT122" s="40"/>
      <c r="CU122" s="40"/>
      <c r="CV122" s="40"/>
      <c r="CW122" s="40"/>
      <c r="CX122" s="40"/>
      <c r="CY122" s="40"/>
      <c r="CZ122" s="40"/>
      <c r="DA122" s="40"/>
      <c r="DB122" s="40"/>
      <c r="DC122" s="40"/>
      <c r="DD122" s="40"/>
      <c r="DE122" s="40"/>
      <c r="DF122" s="40"/>
      <c r="DG122" s="40"/>
      <c r="DH122" s="40"/>
      <c r="DI122" s="40"/>
      <c r="DJ122" s="40"/>
      <c r="DK122" s="40"/>
      <c r="DL122" s="40"/>
      <c r="DM122" s="40"/>
      <c r="DN122" s="40"/>
      <c r="DO122" s="40"/>
      <c r="DP122" s="40"/>
      <c r="DQ122" s="40"/>
      <c r="DR122" s="40"/>
      <c r="DS122" s="40"/>
      <c r="DT122" s="40"/>
      <c r="DU122" s="40"/>
      <c r="DV122" s="40"/>
      <c r="DW122" s="40"/>
      <c r="DX122" s="40"/>
      <c r="DY122" s="40"/>
      <c r="DZ122" s="40"/>
      <c r="EA122" s="40"/>
      <c r="EB122" s="40"/>
      <c r="EC122" s="40"/>
      <c r="ED122" s="40"/>
      <c r="EE122" s="40"/>
      <c r="EF122" s="40"/>
      <c r="EG122" s="40"/>
      <c r="EH122" s="40"/>
      <c r="EI122" s="40"/>
      <c r="EJ122" s="40"/>
      <c r="EK122" s="40"/>
      <c r="EL122" s="40"/>
      <c r="EM122" s="40"/>
      <c r="EN122" s="40"/>
      <c r="EO122" s="40"/>
      <c r="EP122" s="40"/>
      <c r="EQ122" s="40"/>
      <c r="ER122" s="40"/>
      <c r="ES122" s="40"/>
      <c r="ET122" s="40"/>
      <c r="EU122" s="40"/>
      <c r="EV122" s="40"/>
      <c r="EW122" s="40"/>
      <c r="EX122" s="40"/>
      <c r="EY122" s="40"/>
      <c r="EZ122" s="40"/>
      <c r="FA122" s="40"/>
      <c r="FB122" s="40"/>
      <c r="FC122" s="40"/>
      <c r="FD122" s="40"/>
      <c r="FE122" s="40"/>
      <c r="FF122" s="40"/>
      <c r="FG122" s="40"/>
      <c r="FH122" s="40"/>
      <c r="FI122" s="40"/>
      <c r="FJ122" s="40"/>
      <c r="FK122" s="40"/>
      <c r="FL122" s="40"/>
      <c r="FM122" s="40"/>
      <c r="FN122" s="40"/>
      <c r="FO122" s="40"/>
      <c r="FP122" s="40"/>
      <c r="FQ122" s="40"/>
      <c r="FR122" s="40"/>
      <c r="FS122" s="40"/>
      <c r="FT122" s="40"/>
      <c r="FU122" s="40"/>
      <c r="FV122" s="40"/>
      <c r="FW122" s="40"/>
      <c r="FX122" s="40"/>
      <c r="FY122" s="40"/>
      <c r="FZ122" s="40"/>
      <c r="GA122" s="40"/>
      <c r="GB122" s="40"/>
      <c r="GC122" s="40"/>
      <c r="GD122" s="40"/>
      <c r="GE122" s="40"/>
      <c r="GF122" s="40"/>
      <c r="GG122" s="40"/>
      <c r="GH122" s="40"/>
      <c r="GI122" s="40"/>
      <c r="GJ122" s="40"/>
      <c r="GK122" s="40"/>
      <c r="GL122" s="40"/>
      <c r="GM122" s="40"/>
      <c r="GN122" s="40"/>
      <c r="GO122" s="40"/>
      <c r="GP122" s="40"/>
      <c r="GQ122" s="40"/>
      <c r="GR122" s="40"/>
      <c r="GS122" s="40"/>
      <c r="GT122" s="40"/>
      <c r="GU122" s="40"/>
      <c r="GV122" s="40"/>
      <c r="GW122" s="40"/>
      <c r="GX122" s="40"/>
      <c r="GY122" s="40"/>
      <c r="GZ122" s="40"/>
      <c r="HA122" s="40"/>
      <c r="HB122" s="40"/>
      <c r="HC122" s="40"/>
      <c r="HD122" s="40"/>
      <c r="HE122" s="40"/>
      <c r="HF122" s="40"/>
      <c r="HG122" s="40"/>
      <c r="HH122" s="40"/>
      <c r="HI122" s="40"/>
      <c r="HJ122" s="40"/>
      <c r="HK122" s="40"/>
      <c r="HL122" s="40"/>
      <c r="HM122" s="40"/>
      <c r="HN122" s="40"/>
      <c r="HO122" s="40"/>
      <c r="HP122" s="40"/>
      <c r="HQ122" s="40"/>
      <c r="HR122" s="40"/>
      <c r="HS122" s="40"/>
      <c r="HT122" s="40"/>
      <c r="HU122" s="40"/>
    </row>
    <row r="123" spans="1:229" s="41" customFormat="1" ht="28.8" customHeight="1">
      <c r="A123" s="124" t="s">
        <v>1626</v>
      </c>
      <c r="B123" s="80" t="s">
        <v>1302</v>
      </c>
      <c r="C123" s="80"/>
      <c r="D123" s="80" t="s">
        <v>1305</v>
      </c>
      <c r="E123" s="80" t="s">
        <v>1306</v>
      </c>
      <c r="F123" s="80" t="s">
        <v>1307</v>
      </c>
      <c r="G123" s="135" t="s">
        <v>2026</v>
      </c>
      <c r="H123" s="81">
        <v>0.4</v>
      </c>
      <c r="I123" s="81" t="s">
        <v>1308</v>
      </c>
      <c r="J123" s="79"/>
      <c r="K123" s="81"/>
      <c r="L123" s="79"/>
      <c r="M123" s="82" t="s">
        <v>1598</v>
      </c>
      <c r="N123" s="82" t="s">
        <v>1109</v>
      </c>
      <c r="O123" s="82" t="s">
        <v>317</v>
      </c>
      <c r="P123" s="142">
        <v>0.2</v>
      </c>
      <c r="Q123" s="40">
        <f>SUMIF(Data_P!A:A,CONCATENATE(A123,"_",R$1),Data_P!J:J)</f>
        <v>240.37</v>
      </c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  <c r="BA123" s="40"/>
      <c r="BB123" s="40"/>
      <c r="BC123" s="40"/>
      <c r="BD123" s="40"/>
      <c r="BE123" s="40"/>
      <c r="BF123" s="40"/>
      <c r="BG123" s="40"/>
      <c r="BH123" s="40"/>
      <c r="BI123" s="40"/>
      <c r="BJ123" s="40"/>
      <c r="BK123" s="40"/>
      <c r="BL123" s="40"/>
      <c r="BM123" s="40"/>
      <c r="BN123" s="40"/>
      <c r="BO123" s="40"/>
      <c r="BP123" s="40"/>
      <c r="BQ123" s="40"/>
      <c r="BR123" s="40"/>
      <c r="BS123" s="40"/>
      <c r="BT123" s="40"/>
      <c r="BU123" s="40"/>
      <c r="BV123" s="40"/>
      <c r="BW123" s="40"/>
      <c r="BX123" s="40"/>
      <c r="BY123" s="40"/>
      <c r="BZ123" s="40"/>
      <c r="CA123" s="40"/>
      <c r="CB123" s="40"/>
      <c r="CC123" s="40"/>
      <c r="CD123" s="40"/>
      <c r="CE123" s="40"/>
      <c r="CF123" s="40"/>
      <c r="CG123" s="40"/>
      <c r="CH123" s="40"/>
      <c r="CI123" s="40"/>
      <c r="CJ123" s="40"/>
      <c r="CK123" s="40"/>
      <c r="CL123" s="40"/>
      <c r="CM123" s="40"/>
      <c r="CN123" s="40"/>
      <c r="CO123" s="40"/>
      <c r="CP123" s="40"/>
      <c r="CQ123" s="40"/>
      <c r="CR123" s="40"/>
      <c r="CS123" s="40"/>
      <c r="CT123" s="40"/>
      <c r="CU123" s="40"/>
      <c r="CV123" s="40"/>
      <c r="CW123" s="40"/>
      <c r="CX123" s="40"/>
      <c r="CY123" s="40"/>
      <c r="CZ123" s="40"/>
      <c r="DA123" s="40"/>
      <c r="DB123" s="40"/>
      <c r="DC123" s="40"/>
      <c r="DD123" s="40"/>
      <c r="DE123" s="40"/>
      <c r="DF123" s="40"/>
      <c r="DG123" s="40"/>
      <c r="DH123" s="40"/>
      <c r="DI123" s="40"/>
      <c r="DJ123" s="40"/>
      <c r="DK123" s="40"/>
      <c r="DL123" s="40"/>
      <c r="DM123" s="40"/>
      <c r="DN123" s="40"/>
      <c r="DO123" s="40"/>
      <c r="DP123" s="40"/>
      <c r="DQ123" s="40"/>
      <c r="DR123" s="40"/>
      <c r="DS123" s="40"/>
      <c r="DT123" s="40"/>
      <c r="DU123" s="40"/>
      <c r="DV123" s="40"/>
      <c r="DW123" s="40"/>
      <c r="DX123" s="40"/>
      <c r="DY123" s="40"/>
      <c r="DZ123" s="40"/>
      <c r="EA123" s="40"/>
      <c r="EB123" s="40"/>
      <c r="EC123" s="40"/>
      <c r="ED123" s="40"/>
      <c r="EE123" s="40"/>
      <c r="EF123" s="40"/>
      <c r="EG123" s="40"/>
      <c r="EH123" s="40"/>
      <c r="EI123" s="40"/>
      <c r="EJ123" s="40"/>
      <c r="EK123" s="40"/>
      <c r="EL123" s="40"/>
      <c r="EM123" s="40"/>
      <c r="EN123" s="40"/>
      <c r="EO123" s="40"/>
      <c r="EP123" s="40"/>
      <c r="EQ123" s="40"/>
      <c r="ER123" s="40"/>
      <c r="ES123" s="40"/>
      <c r="ET123" s="40"/>
      <c r="EU123" s="40"/>
      <c r="EV123" s="40"/>
      <c r="EW123" s="40"/>
      <c r="EX123" s="40"/>
      <c r="EY123" s="40"/>
      <c r="EZ123" s="40"/>
      <c r="FA123" s="40"/>
      <c r="FB123" s="40"/>
      <c r="FC123" s="40"/>
      <c r="FD123" s="40"/>
      <c r="FE123" s="40"/>
      <c r="FF123" s="40"/>
      <c r="FG123" s="40"/>
      <c r="FH123" s="40"/>
      <c r="FI123" s="40"/>
      <c r="FJ123" s="40"/>
      <c r="FK123" s="40"/>
      <c r="FL123" s="40"/>
      <c r="FM123" s="40"/>
      <c r="FN123" s="40"/>
      <c r="FO123" s="40"/>
      <c r="FP123" s="40"/>
      <c r="FQ123" s="40"/>
      <c r="FR123" s="40"/>
      <c r="FS123" s="40"/>
      <c r="FT123" s="40"/>
      <c r="FU123" s="40"/>
      <c r="FV123" s="40"/>
      <c r="FW123" s="40"/>
      <c r="FX123" s="40"/>
      <c r="FY123" s="40"/>
      <c r="FZ123" s="40"/>
      <c r="GA123" s="40"/>
      <c r="GB123" s="40"/>
      <c r="GC123" s="40"/>
      <c r="GD123" s="40"/>
      <c r="GE123" s="40"/>
      <c r="GF123" s="40"/>
      <c r="GG123" s="40"/>
      <c r="GH123" s="40"/>
      <c r="GI123" s="40"/>
      <c r="GJ123" s="40"/>
      <c r="GK123" s="40"/>
      <c r="GL123" s="40"/>
      <c r="GM123" s="40"/>
      <c r="GN123" s="40"/>
      <c r="GO123" s="40"/>
      <c r="GP123" s="40"/>
      <c r="GQ123" s="40"/>
      <c r="GR123" s="40"/>
      <c r="GS123" s="40"/>
      <c r="GT123" s="40"/>
      <c r="GU123" s="40"/>
      <c r="GV123" s="40"/>
      <c r="GW123" s="40"/>
      <c r="GX123" s="40"/>
      <c r="GY123" s="40"/>
      <c r="GZ123" s="40"/>
      <c r="HA123" s="40"/>
      <c r="HB123" s="40"/>
      <c r="HC123" s="40"/>
      <c r="HD123" s="40"/>
      <c r="HE123" s="40"/>
      <c r="HF123" s="40"/>
      <c r="HG123" s="40"/>
      <c r="HH123" s="40"/>
      <c r="HI123" s="40"/>
      <c r="HJ123" s="40"/>
      <c r="HK123" s="40"/>
      <c r="HL123" s="40"/>
      <c r="HM123" s="40"/>
      <c r="HN123" s="40"/>
      <c r="HO123" s="40"/>
      <c r="HP123" s="40"/>
      <c r="HQ123" s="40"/>
      <c r="HR123" s="40"/>
      <c r="HS123" s="40"/>
      <c r="HT123" s="40"/>
      <c r="HU123" s="40"/>
    </row>
    <row r="124" spans="1:229" s="41" customFormat="1" ht="28.8" customHeight="1">
      <c r="A124" s="124" t="s">
        <v>1960</v>
      </c>
      <c r="B124" s="80" t="s">
        <v>2002</v>
      </c>
      <c r="C124" s="80"/>
      <c r="D124" s="80" t="s">
        <v>2269</v>
      </c>
      <c r="E124" s="80" t="s">
        <v>2270</v>
      </c>
      <c r="F124" s="80" t="s">
        <v>1967</v>
      </c>
      <c r="G124" s="135" t="s">
        <v>1966</v>
      </c>
      <c r="H124" s="81">
        <v>0.4</v>
      </c>
      <c r="I124" s="81">
        <v>-0.05</v>
      </c>
      <c r="J124" s="79" t="s">
        <v>399</v>
      </c>
      <c r="K124" s="81"/>
      <c r="L124" s="79"/>
      <c r="M124" s="82" t="s">
        <v>2271</v>
      </c>
      <c r="N124" s="82" t="s">
        <v>550</v>
      </c>
      <c r="O124" s="82" t="s">
        <v>317</v>
      </c>
      <c r="P124" s="142">
        <v>0.2</v>
      </c>
      <c r="Q124" s="40">
        <f>SUMIF(Data_P!A:A,CONCATENATE(A124,"_",R$1),Data_P!J:J)</f>
        <v>31.4</v>
      </c>
      <c r="R124" s="40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  <c r="BA124" s="40"/>
      <c r="BB124" s="40"/>
      <c r="BC124" s="40"/>
      <c r="BD124" s="40"/>
      <c r="BE124" s="40"/>
      <c r="BF124" s="40"/>
      <c r="BG124" s="40"/>
      <c r="BH124" s="40"/>
      <c r="BI124" s="40"/>
      <c r="BJ124" s="40"/>
      <c r="BK124" s="40"/>
      <c r="BL124" s="40"/>
      <c r="BM124" s="40"/>
      <c r="BN124" s="40"/>
      <c r="BO124" s="40"/>
      <c r="BP124" s="40"/>
      <c r="BQ124" s="40"/>
      <c r="BR124" s="40"/>
      <c r="BS124" s="40"/>
      <c r="BT124" s="40"/>
      <c r="BU124" s="40"/>
      <c r="BV124" s="40"/>
      <c r="BW124" s="40"/>
      <c r="BX124" s="40"/>
      <c r="BY124" s="40"/>
      <c r="BZ124" s="40"/>
      <c r="CA124" s="40"/>
      <c r="CB124" s="40"/>
      <c r="CC124" s="40"/>
      <c r="CD124" s="40"/>
      <c r="CE124" s="40"/>
      <c r="CF124" s="40"/>
      <c r="CG124" s="40"/>
      <c r="CH124" s="40"/>
      <c r="CI124" s="40"/>
      <c r="CJ124" s="40"/>
      <c r="CK124" s="40"/>
      <c r="CL124" s="40"/>
      <c r="CM124" s="40"/>
      <c r="CN124" s="40"/>
      <c r="CO124" s="40"/>
      <c r="CP124" s="40"/>
      <c r="CQ124" s="40"/>
      <c r="CR124" s="40"/>
      <c r="CS124" s="40"/>
      <c r="CT124" s="40"/>
      <c r="CU124" s="40"/>
      <c r="CV124" s="40"/>
      <c r="CW124" s="40"/>
      <c r="CX124" s="40"/>
      <c r="CY124" s="40"/>
      <c r="CZ124" s="40"/>
      <c r="DA124" s="40"/>
      <c r="DB124" s="40"/>
      <c r="DC124" s="40"/>
      <c r="DD124" s="40"/>
      <c r="DE124" s="40"/>
      <c r="DF124" s="40"/>
      <c r="DG124" s="40"/>
      <c r="DH124" s="40"/>
      <c r="DI124" s="40"/>
      <c r="DJ124" s="40"/>
      <c r="DK124" s="40"/>
      <c r="DL124" s="40"/>
      <c r="DM124" s="40"/>
      <c r="DN124" s="40"/>
      <c r="DO124" s="40"/>
      <c r="DP124" s="40"/>
      <c r="DQ124" s="40"/>
      <c r="DR124" s="40"/>
      <c r="DS124" s="40"/>
      <c r="DT124" s="40"/>
      <c r="DU124" s="40"/>
      <c r="DV124" s="40"/>
      <c r="DW124" s="40"/>
      <c r="DX124" s="40"/>
      <c r="DY124" s="40"/>
      <c r="DZ124" s="40"/>
      <c r="EA124" s="40"/>
      <c r="EB124" s="40"/>
      <c r="EC124" s="40"/>
      <c r="ED124" s="40"/>
      <c r="EE124" s="40"/>
      <c r="EF124" s="40"/>
      <c r="EG124" s="40"/>
      <c r="EH124" s="40"/>
      <c r="EI124" s="40"/>
      <c r="EJ124" s="40"/>
      <c r="EK124" s="40"/>
      <c r="EL124" s="40"/>
      <c r="EM124" s="40"/>
      <c r="EN124" s="40"/>
      <c r="EO124" s="40"/>
      <c r="EP124" s="40"/>
      <c r="EQ124" s="40"/>
      <c r="ER124" s="40"/>
      <c r="ES124" s="40"/>
      <c r="ET124" s="40"/>
      <c r="EU124" s="40"/>
      <c r="EV124" s="40"/>
      <c r="EW124" s="40"/>
      <c r="EX124" s="40"/>
      <c r="EY124" s="40"/>
      <c r="EZ124" s="40"/>
      <c r="FA124" s="40"/>
      <c r="FB124" s="40"/>
      <c r="FC124" s="40"/>
      <c r="FD124" s="40"/>
      <c r="FE124" s="40"/>
      <c r="FF124" s="40"/>
      <c r="FG124" s="40"/>
      <c r="FH124" s="40"/>
      <c r="FI124" s="40"/>
      <c r="FJ124" s="40"/>
      <c r="FK124" s="40"/>
      <c r="FL124" s="40"/>
      <c r="FM124" s="40"/>
      <c r="FN124" s="40"/>
      <c r="FO124" s="40"/>
      <c r="FP124" s="40"/>
      <c r="FQ124" s="40"/>
      <c r="FR124" s="40"/>
      <c r="FS124" s="40"/>
      <c r="FT124" s="40"/>
      <c r="FU124" s="40"/>
      <c r="FV124" s="40"/>
      <c r="FW124" s="40"/>
      <c r="FX124" s="40"/>
      <c r="FY124" s="40"/>
      <c r="FZ124" s="40"/>
      <c r="GA124" s="40"/>
      <c r="GB124" s="40"/>
      <c r="GC124" s="40"/>
      <c r="GD124" s="40"/>
      <c r="GE124" s="40"/>
      <c r="GF124" s="40"/>
      <c r="GG124" s="40"/>
      <c r="GH124" s="40"/>
      <c r="GI124" s="40"/>
      <c r="GJ124" s="40"/>
      <c r="GK124" s="40"/>
      <c r="GL124" s="40"/>
      <c r="GM124" s="40"/>
      <c r="GN124" s="40"/>
      <c r="GO124" s="40"/>
      <c r="GP124" s="40"/>
      <c r="GQ124" s="40"/>
      <c r="GR124" s="40"/>
      <c r="GS124" s="40"/>
      <c r="GT124" s="40"/>
      <c r="GU124" s="40"/>
      <c r="GV124" s="40"/>
      <c r="GW124" s="40"/>
      <c r="GX124" s="40"/>
      <c r="GY124" s="40"/>
      <c r="GZ124" s="40"/>
      <c r="HA124" s="40"/>
      <c r="HB124" s="40"/>
      <c r="HC124" s="40"/>
      <c r="HD124" s="40"/>
      <c r="HE124" s="40"/>
      <c r="HF124" s="40"/>
      <c r="HG124" s="40"/>
      <c r="HH124" s="40"/>
      <c r="HI124" s="40"/>
      <c r="HJ124" s="40"/>
      <c r="HK124" s="40"/>
      <c r="HL124" s="40"/>
      <c r="HM124" s="40"/>
      <c r="HN124" s="40"/>
      <c r="HO124" s="40"/>
      <c r="HP124" s="40"/>
      <c r="HQ124" s="40"/>
      <c r="HR124" s="40"/>
      <c r="HS124" s="40"/>
      <c r="HT124" s="40"/>
      <c r="HU124" s="40"/>
    </row>
    <row r="125" spans="1:229" s="41" customFormat="1" ht="28.8" customHeight="1">
      <c r="A125" s="124" t="s">
        <v>323</v>
      </c>
      <c r="B125" s="80" t="s">
        <v>308</v>
      </c>
      <c r="C125" s="80"/>
      <c r="D125" s="80" t="s">
        <v>387</v>
      </c>
      <c r="E125" s="80" t="s">
        <v>309</v>
      </c>
      <c r="F125" s="80" t="s">
        <v>310</v>
      </c>
      <c r="G125" s="135" t="s">
        <v>311</v>
      </c>
      <c r="H125" s="81">
        <v>0.25</v>
      </c>
      <c r="I125" s="81"/>
      <c r="J125" s="79"/>
      <c r="K125" s="81"/>
      <c r="L125" s="79"/>
      <c r="M125" s="82" t="s">
        <v>462</v>
      </c>
      <c r="N125" s="82" t="s">
        <v>463</v>
      </c>
      <c r="O125" s="82" t="s">
        <v>316</v>
      </c>
      <c r="P125" s="142">
        <v>0.2</v>
      </c>
      <c r="Q125" s="40">
        <f>SUMIF(Data_P!A:A,CONCATENATE(A125,"_",R$1),Data_P!J:J)</f>
        <v>0</v>
      </c>
      <c r="R125" s="40"/>
      <c r="S125" s="40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  <c r="BA125" s="40"/>
      <c r="BB125" s="40"/>
      <c r="BC125" s="40"/>
      <c r="BD125" s="40"/>
      <c r="BE125" s="40"/>
      <c r="BF125" s="40"/>
      <c r="BG125" s="40"/>
      <c r="BH125" s="40"/>
      <c r="BI125" s="40"/>
      <c r="BJ125" s="40"/>
      <c r="BK125" s="40"/>
      <c r="BL125" s="40"/>
      <c r="BM125" s="40"/>
      <c r="BN125" s="40"/>
      <c r="BO125" s="40"/>
      <c r="BP125" s="40"/>
      <c r="BQ125" s="40"/>
      <c r="BR125" s="40"/>
      <c r="BS125" s="40"/>
      <c r="BT125" s="40"/>
      <c r="BU125" s="40"/>
      <c r="BV125" s="40"/>
      <c r="BW125" s="40"/>
      <c r="BX125" s="40"/>
      <c r="BY125" s="40"/>
      <c r="BZ125" s="40"/>
      <c r="CA125" s="40"/>
      <c r="CB125" s="40"/>
      <c r="CC125" s="40"/>
      <c r="CD125" s="40"/>
      <c r="CE125" s="40"/>
      <c r="CF125" s="40"/>
      <c r="CG125" s="40"/>
      <c r="CH125" s="40"/>
      <c r="CI125" s="40"/>
      <c r="CJ125" s="40"/>
      <c r="CK125" s="40"/>
      <c r="CL125" s="40"/>
      <c r="CM125" s="40"/>
      <c r="CN125" s="40"/>
      <c r="CO125" s="40"/>
      <c r="CP125" s="40"/>
      <c r="CQ125" s="40"/>
      <c r="CR125" s="40"/>
      <c r="CS125" s="40"/>
      <c r="CT125" s="40"/>
      <c r="CU125" s="40"/>
      <c r="CV125" s="40"/>
      <c r="CW125" s="40"/>
      <c r="CX125" s="40"/>
      <c r="CY125" s="40"/>
      <c r="CZ125" s="40"/>
      <c r="DA125" s="40"/>
      <c r="DB125" s="40"/>
      <c r="DC125" s="40"/>
      <c r="DD125" s="40"/>
      <c r="DE125" s="40"/>
      <c r="DF125" s="40"/>
      <c r="DG125" s="40"/>
      <c r="DH125" s="40"/>
      <c r="DI125" s="40"/>
      <c r="DJ125" s="40"/>
      <c r="DK125" s="40"/>
      <c r="DL125" s="40"/>
      <c r="DM125" s="40"/>
      <c r="DN125" s="40"/>
      <c r="DO125" s="40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40"/>
      <c r="EA125" s="40"/>
      <c r="EB125" s="40"/>
      <c r="EC125" s="40"/>
      <c r="ED125" s="40"/>
      <c r="EE125" s="40"/>
      <c r="EF125" s="40"/>
      <c r="EG125" s="40"/>
      <c r="EH125" s="40"/>
      <c r="EI125" s="40"/>
      <c r="EJ125" s="40"/>
      <c r="EK125" s="40"/>
      <c r="EL125" s="40"/>
      <c r="EM125" s="40"/>
      <c r="EN125" s="40"/>
      <c r="EO125" s="40"/>
      <c r="EP125" s="40"/>
      <c r="EQ125" s="40"/>
      <c r="ER125" s="40"/>
      <c r="ES125" s="40"/>
      <c r="ET125" s="40"/>
      <c r="EU125" s="40"/>
      <c r="EV125" s="40"/>
      <c r="EW125" s="40"/>
      <c r="EX125" s="40"/>
      <c r="EY125" s="40"/>
      <c r="EZ125" s="40"/>
      <c r="FA125" s="40"/>
      <c r="FB125" s="40"/>
      <c r="FC125" s="40"/>
      <c r="FD125" s="40"/>
      <c r="FE125" s="40"/>
      <c r="FF125" s="40"/>
      <c r="FG125" s="40"/>
      <c r="FH125" s="40"/>
      <c r="FI125" s="40"/>
      <c r="FJ125" s="40"/>
      <c r="FK125" s="40"/>
      <c r="FL125" s="40"/>
      <c r="FM125" s="40"/>
      <c r="FN125" s="40"/>
      <c r="FO125" s="40"/>
      <c r="FP125" s="40"/>
      <c r="FQ125" s="40"/>
      <c r="FR125" s="40"/>
      <c r="FS125" s="40"/>
      <c r="FT125" s="40"/>
      <c r="FU125" s="40"/>
      <c r="FV125" s="40"/>
      <c r="FW125" s="40"/>
      <c r="FX125" s="40"/>
      <c r="FY125" s="40"/>
      <c r="FZ125" s="40"/>
      <c r="GA125" s="40"/>
      <c r="GB125" s="40"/>
      <c r="GC125" s="40"/>
      <c r="GD125" s="40"/>
      <c r="GE125" s="40"/>
      <c r="GF125" s="40"/>
      <c r="GG125" s="40"/>
      <c r="GH125" s="40"/>
      <c r="GI125" s="40"/>
      <c r="GJ125" s="40"/>
      <c r="GK125" s="40"/>
      <c r="GL125" s="40"/>
      <c r="GM125" s="40"/>
      <c r="GN125" s="40"/>
      <c r="GO125" s="40"/>
      <c r="GP125" s="40"/>
      <c r="GQ125" s="40"/>
      <c r="GR125" s="40"/>
      <c r="GS125" s="40"/>
      <c r="GT125" s="40"/>
      <c r="GU125" s="40"/>
      <c r="GV125" s="40"/>
      <c r="GW125" s="40"/>
      <c r="GX125" s="40"/>
      <c r="GY125" s="40"/>
      <c r="GZ125" s="40"/>
      <c r="HA125" s="40"/>
      <c r="HB125" s="40"/>
      <c r="HC125" s="40"/>
      <c r="HD125" s="40"/>
      <c r="HE125" s="40"/>
      <c r="HF125" s="40"/>
      <c r="HG125" s="40"/>
      <c r="HH125" s="40"/>
      <c r="HI125" s="40"/>
      <c r="HJ125" s="40"/>
      <c r="HK125" s="40"/>
      <c r="HL125" s="40"/>
      <c r="HM125" s="40"/>
      <c r="HN125" s="40"/>
      <c r="HO125" s="40"/>
      <c r="HP125" s="40"/>
      <c r="HQ125" s="40"/>
      <c r="HR125" s="40"/>
      <c r="HS125" s="40"/>
      <c r="HT125" s="40"/>
      <c r="HU125" s="40"/>
    </row>
    <row r="126" spans="1:229" s="41" customFormat="1" ht="28.8" customHeight="1">
      <c r="A126" s="124" t="s">
        <v>739</v>
      </c>
      <c r="B126" s="80" t="s">
        <v>402</v>
      </c>
      <c r="C126" s="80"/>
      <c r="D126" s="80" t="s">
        <v>403</v>
      </c>
      <c r="E126" s="80" t="s">
        <v>423</v>
      </c>
      <c r="F126" s="80" t="s">
        <v>404</v>
      </c>
      <c r="G126" s="135" t="s">
        <v>405</v>
      </c>
      <c r="H126" s="81">
        <v>0.5</v>
      </c>
      <c r="I126" s="81">
        <v>-0.1</v>
      </c>
      <c r="J126" s="79" t="s">
        <v>399</v>
      </c>
      <c r="K126" s="81"/>
      <c r="L126" s="79"/>
      <c r="M126" s="82"/>
      <c r="N126" s="82"/>
      <c r="O126" s="82" t="s">
        <v>316</v>
      </c>
      <c r="P126" s="142">
        <v>0.2</v>
      </c>
      <c r="Q126" s="40">
        <f>SUMIF(Data_P!A:A,CONCATENATE(A126,"_",R$1),Data_P!J:J)</f>
        <v>27.78</v>
      </c>
      <c r="R126" s="40"/>
      <c r="S126" s="40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  <c r="BA126" s="40"/>
      <c r="BB126" s="40"/>
      <c r="BC126" s="40"/>
      <c r="BD126" s="40"/>
      <c r="BE126" s="40"/>
      <c r="BF126" s="40"/>
      <c r="BG126" s="40"/>
      <c r="BH126" s="40"/>
      <c r="BI126" s="40"/>
      <c r="BJ126" s="40"/>
      <c r="BK126" s="40"/>
      <c r="BL126" s="40"/>
      <c r="BM126" s="40"/>
      <c r="BN126" s="40"/>
      <c r="BO126" s="40"/>
      <c r="BP126" s="40"/>
      <c r="BQ126" s="40"/>
      <c r="BR126" s="40"/>
      <c r="BS126" s="40"/>
      <c r="BT126" s="40"/>
      <c r="BU126" s="40"/>
      <c r="BV126" s="40"/>
      <c r="BW126" s="40"/>
      <c r="BX126" s="40"/>
      <c r="BY126" s="40"/>
      <c r="BZ126" s="40"/>
      <c r="CA126" s="40"/>
      <c r="CB126" s="40"/>
      <c r="CC126" s="40"/>
      <c r="CD126" s="40"/>
      <c r="CE126" s="40"/>
      <c r="CF126" s="40"/>
      <c r="CG126" s="40"/>
      <c r="CH126" s="40"/>
      <c r="CI126" s="40"/>
      <c r="CJ126" s="40"/>
      <c r="CK126" s="40"/>
      <c r="CL126" s="40"/>
      <c r="CM126" s="40"/>
      <c r="CN126" s="40"/>
      <c r="CO126" s="40"/>
      <c r="CP126" s="40"/>
      <c r="CQ126" s="40"/>
      <c r="CR126" s="40"/>
      <c r="CS126" s="40"/>
      <c r="CT126" s="40"/>
      <c r="CU126" s="40"/>
      <c r="CV126" s="40"/>
      <c r="CW126" s="40"/>
      <c r="CX126" s="40"/>
      <c r="CY126" s="40"/>
      <c r="CZ126" s="40"/>
      <c r="DA126" s="40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40"/>
      <c r="EA126" s="40"/>
      <c r="EB126" s="40"/>
      <c r="EC126" s="40"/>
      <c r="ED126" s="40"/>
      <c r="EE126" s="40"/>
      <c r="EF126" s="40"/>
      <c r="EG126" s="40"/>
      <c r="EH126" s="40"/>
      <c r="EI126" s="40"/>
      <c r="EJ126" s="40"/>
      <c r="EK126" s="40"/>
      <c r="EL126" s="40"/>
      <c r="EM126" s="40"/>
      <c r="EN126" s="40"/>
      <c r="EO126" s="40"/>
      <c r="EP126" s="40"/>
      <c r="EQ126" s="40"/>
      <c r="ER126" s="40"/>
      <c r="ES126" s="40"/>
      <c r="ET126" s="40"/>
      <c r="EU126" s="40"/>
      <c r="EV126" s="40"/>
      <c r="EW126" s="40"/>
      <c r="EX126" s="40"/>
      <c r="EY126" s="40"/>
      <c r="EZ126" s="40"/>
      <c r="FA126" s="40"/>
      <c r="FB126" s="40"/>
      <c r="FC126" s="40"/>
      <c r="FD126" s="40"/>
      <c r="FE126" s="40"/>
      <c r="FF126" s="40"/>
      <c r="FG126" s="40"/>
      <c r="FH126" s="40"/>
      <c r="FI126" s="40"/>
      <c r="FJ126" s="40"/>
      <c r="FK126" s="40"/>
      <c r="FL126" s="40"/>
      <c r="FM126" s="40"/>
      <c r="FN126" s="40"/>
      <c r="FO126" s="40"/>
      <c r="FP126" s="40"/>
      <c r="FQ126" s="40"/>
      <c r="FR126" s="40"/>
      <c r="FS126" s="40"/>
      <c r="FT126" s="40"/>
      <c r="FU126" s="40"/>
      <c r="FV126" s="40"/>
      <c r="FW126" s="40"/>
      <c r="FX126" s="40"/>
      <c r="FY126" s="40"/>
      <c r="FZ126" s="40"/>
      <c r="GA126" s="40"/>
      <c r="GB126" s="40"/>
      <c r="GC126" s="40"/>
      <c r="GD126" s="40"/>
      <c r="GE126" s="40"/>
      <c r="GF126" s="40"/>
      <c r="GG126" s="40"/>
      <c r="GH126" s="40"/>
      <c r="GI126" s="40"/>
      <c r="GJ126" s="40"/>
      <c r="GK126" s="40"/>
      <c r="GL126" s="40"/>
      <c r="GM126" s="40"/>
      <c r="GN126" s="40"/>
      <c r="GO126" s="40"/>
      <c r="GP126" s="40"/>
      <c r="GQ126" s="40"/>
      <c r="GR126" s="40"/>
      <c r="GS126" s="40"/>
      <c r="GT126" s="40"/>
      <c r="GU126" s="40"/>
      <c r="GV126" s="40"/>
      <c r="GW126" s="40"/>
      <c r="GX126" s="40"/>
      <c r="GY126" s="40"/>
      <c r="GZ126" s="40"/>
      <c r="HA126" s="40"/>
      <c r="HB126" s="40"/>
      <c r="HC126" s="40"/>
      <c r="HD126" s="40"/>
      <c r="HE126" s="40"/>
      <c r="HF126" s="40"/>
      <c r="HG126" s="40"/>
      <c r="HH126" s="40"/>
      <c r="HI126" s="40"/>
      <c r="HJ126" s="40"/>
      <c r="HK126" s="40"/>
      <c r="HL126" s="40"/>
      <c r="HM126" s="40"/>
      <c r="HN126" s="40"/>
      <c r="HO126" s="40"/>
      <c r="HP126" s="40"/>
      <c r="HQ126" s="40"/>
      <c r="HR126" s="40"/>
      <c r="HS126" s="40"/>
      <c r="HT126" s="40"/>
      <c r="HU126" s="40"/>
    </row>
    <row r="127" spans="1:229" s="41" customFormat="1" ht="28.8" customHeight="1">
      <c r="A127" s="124" t="s">
        <v>2247</v>
      </c>
      <c r="B127" s="80" t="s">
        <v>2242</v>
      </c>
      <c r="C127" s="80"/>
      <c r="D127" s="80" t="s">
        <v>2243</v>
      </c>
      <c r="E127" s="80" t="s">
        <v>2244</v>
      </c>
      <c r="F127" s="80" t="s">
        <v>2245</v>
      </c>
      <c r="G127" s="135" t="s">
        <v>2246</v>
      </c>
      <c r="H127" s="81">
        <v>0.35</v>
      </c>
      <c r="I127" s="81"/>
      <c r="J127" s="79"/>
      <c r="K127" s="81"/>
      <c r="L127" s="79"/>
      <c r="M127" s="82"/>
      <c r="N127" s="82"/>
      <c r="O127" s="82" t="s">
        <v>317</v>
      </c>
      <c r="P127" s="142">
        <v>0.2</v>
      </c>
      <c r="Q127" s="40">
        <f>SUMIF(Data_P!A:A,CONCATENATE(A127,"_",R$1),Data_P!J:J)</f>
        <v>0</v>
      </c>
      <c r="R127" s="40"/>
      <c r="S127" s="40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K127" s="40"/>
      <c r="AL127" s="40"/>
      <c r="AM127" s="40"/>
      <c r="AN127" s="40"/>
      <c r="AO127" s="40"/>
      <c r="AP127" s="40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  <c r="BA127" s="40"/>
      <c r="BB127" s="40"/>
      <c r="BC127" s="40"/>
      <c r="BD127" s="40"/>
      <c r="BE127" s="40"/>
      <c r="BF127" s="40"/>
      <c r="BG127" s="40"/>
      <c r="BH127" s="40"/>
      <c r="BI127" s="40"/>
      <c r="BJ127" s="40"/>
      <c r="BK127" s="40"/>
      <c r="BL127" s="40"/>
      <c r="BM127" s="40"/>
      <c r="BN127" s="40"/>
      <c r="BO127" s="40"/>
      <c r="BP127" s="40"/>
      <c r="BQ127" s="40"/>
      <c r="BR127" s="40"/>
      <c r="BS127" s="40"/>
      <c r="BT127" s="40"/>
      <c r="BU127" s="40"/>
      <c r="BV127" s="40"/>
      <c r="BW127" s="40"/>
      <c r="BX127" s="40"/>
      <c r="BY127" s="40"/>
      <c r="BZ127" s="40"/>
      <c r="CA127" s="40"/>
      <c r="CB127" s="40"/>
      <c r="CC127" s="40"/>
      <c r="CD127" s="40"/>
      <c r="CE127" s="40"/>
      <c r="CF127" s="40"/>
      <c r="CG127" s="40"/>
      <c r="CH127" s="40"/>
      <c r="CI127" s="40"/>
      <c r="CJ127" s="40"/>
      <c r="CK127" s="40"/>
      <c r="CL127" s="40"/>
      <c r="CM127" s="40"/>
      <c r="CN127" s="40"/>
      <c r="CO127" s="40"/>
      <c r="CP127" s="40"/>
      <c r="CQ127" s="40"/>
      <c r="CR127" s="40"/>
      <c r="CS127" s="40"/>
      <c r="CT127" s="40"/>
      <c r="CU127" s="40"/>
      <c r="CV127" s="40"/>
      <c r="CW127" s="40"/>
      <c r="CX127" s="40"/>
      <c r="CY127" s="40"/>
      <c r="CZ127" s="40"/>
      <c r="DA127" s="40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40"/>
      <c r="EA127" s="40"/>
      <c r="EB127" s="40"/>
      <c r="EC127" s="40"/>
      <c r="ED127" s="40"/>
      <c r="EE127" s="40"/>
      <c r="EF127" s="40"/>
      <c r="EG127" s="40"/>
      <c r="EH127" s="40"/>
      <c r="EI127" s="40"/>
      <c r="EJ127" s="40"/>
      <c r="EK127" s="40"/>
      <c r="EL127" s="40"/>
      <c r="EM127" s="40"/>
      <c r="EN127" s="40"/>
      <c r="EO127" s="40"/>
      <c r="EP127" s="40"/>
      <c r="EQ127" s="40"/>
      <c r="ER127" s="40"/>
      <c r="ES127" s="40"/>
      <c r="ET127" s="40"/>
      <c r="EU127" s="40"/>
      <c r="EV127" s="40"/>
      <c r="EW127" s="40"/>
      <c r="EX127" s="40"/>
      <c r="EY127" s="40"/>
      <c r="EZ127" s="40"/>
      <c r="FA127" s="40"/>
      <c r="FB127" s="40"/>
      <c r="FC127" s="40"/>
      <c r="FD127" s="40"/>
      <c r="FE127" s="40"/>
      <c r="FF127" s="40"/>
      <c r="FG127" s="40"/>
      <c r="FH127" s="40"/>
      <c r="FI127" s="40"/>
      <c r="FJ127" s="40"/>
      <c r="FK127" s="40"/>
      <c r="FL127" s="40"/>
      <c r="FM127" s="40"/>
      <c r="FN127" s="40"/>
      <c r="FO127" s="40"/>
      <c r="FP127" s="40"/>
      <c r="FQ127" s="40"/>
      <c r="FR127" s="40"/>
      <c r="FS127" s="40"/>
      <c r="FT127" s="40"/>
      <c r="FU127" s="40"/>
      <c r="FV127" s="40"/>
      <c r="FW127" s="40"/>
      <c r="FX127" s="40"/>
      <c r="FY127" s="40"/>
      <c r="FZ127" s="40"/>
      <c r="GA127" s="40"/>
      <c r="GB127" s="40"/>
      <c r="GC127" s="40"/>
      <c r="GD127" s="40"/>
      <c r="GE127" s="40"/>
      <c r="GF127" s="40"/>
      <c r="GG127" s="40"/>
      <c r="GH127" s="40"/>
      <c r="GI127" s="40"/>
      <c r="GJ127" s="40"/>
      <c r="GK127" s="40"/>
      <c r="GL127" s="40"/>
      <c r="GM127" s="40"/>
      <c r="GN127" s="40"/>
      <c r="GO127" s="40"/>
      <c r="GP127" s="40"/>
      <c r="GQ127" s="40"/>
      <c r="GR127" s="40"/>
      <c r="GS127" s="40"/>
      <c r="GT127" s="40"/>
      <c r="GU127" s="40"/>
      <c r="GV127" s="40"/>
      <c r="GW127" s="40"/>
      <c r="GX127" s="40"/>
      <c r="GY127" s="40"/>
      <c r="GZ127" s="40"/>
      <c r="HA127" s="40"/>
      <c r="HB127" s="40"/>
      <c r="HC127" s="40"/>
      <c r="HD127" s="40"/>
      <c r="HE127" s="40"/>
      <c r="HF127" s="40"/>
      <c r="HG127" s="40"/>
      <c r="HH127" s="40"/>
      <c r="HI127" s="40"/>
      <c r="HJ127" s="40"/>
      <c r="HK127" s="40"/>
      <c r="HL127" s="40"/>
      <c r="HM127" s="40"/>
      <c r="HN127" s="40"/>
      <c r="HO127" s="40"/>
      <c r="HP127" s="40"/>
      <c r="HQ127" s="40"/>
      <c r="HR127" s="40"/>
      <c r="HS127" s="40"/>
      <c r="HT127" s="40"/>
      <c r="HU127" s="40"/>
    </row>
    <row r="128" spans="1:229" s="41" customFormat="1" ht="28.8" customHeight="1">
      <c r="A128" s="124" t="s">
        <v>2095</v>
      </c>
      <c r="B128" s="80" t="s">
        <v>117</v>
      </c>
      <c r="C128" s="80" t="s">
        <v>83</v>
      </c>
      <c r="D128" s="80" t="s">
        <v>84</v>
      </c>
      <c r="E128" s="80" t="s">
        <v>598</v>
      </c>
      <c r="F128" s="80" t="s">
        <v>106</v>
      </c>
      <c r="G128" s="135" t="s">
        <v>107</v>
      </c>
      <c r="H128" s="81">
        <v>0.5</v>
      </c>
      <c r="I128" s="81">
        <v>0.05</v>
      </c>
      <c r="J128" s="79" t="s">
        <v>22</v>
      </c>
      <c r="K128" s="81">
        <v>-0.05</v>
      </c>
      <c r="L128" s="79" t="s">
        <v>39</v>
      </c>
      <c r="M128" s="82" t="s">
        <v>241</v>
      </c>
      <c r="N128" s="82" t="s">
        <v>242</v>
      </c>
      <c r="O128" s="82" t="s">
        <v>316</v>
      </c>
      <c r="P128" s="142">
        <v>0.2</v>
      </c>
      <c r="Q128" s="40">
        <f>SUMIF(Data_P!A:A,CONCATENATE(A128,"_",R$1),Data_P!J:J)</f>
        <v>181.72</v>
      </c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  <c r="BK128" s="40"/>
      <c r="BL128" s="40"/>
      <c r="BM128" s="40"/>
      <c r="BN128" s="40"/>
      <c r="BO128" s="40"/>
      <c r="BP128" s="40"/>
      <c r="BQ128" s="40"/>
      <c r="BR128" s="40"/>
      <c r="BS128" s="40"/>
      <c r="BT128" s="40"/>
      <c r="BU128" s="40"/>
      <c r="BV128" s="40"/>
      <c r="BW128" s="40"/>
      <c r="BX128" s="40"/>
      <c r="BY128" s="40"/>
      <c r="BZ128" s="40"/>
      <c r="CA128" s="40"/>
      <c r="CB128" s="40"/>
      <c r="CC128" s="40"/>
      <c r="CD128" s="40"/>
      <c r="CE128" s="40"/>
      <c r="CF128" s="40"/>
      <c r="CG128" s="40"/>
      <c r="CH128" s="40"/>
      <c r="CI128" s="40"/>
      <c r="CJ128" s="40"/>
      <c r="CK128" s="40"/>
      <c r="CL128" s="40"/>
      <c r="CM128" s="40"/>
      <c r="CN128" s="40"/>
      <c r="CO128" s="40"/>
      <c r="CP128" s="40"/>
      <c r="CQ128" s="40"/>
      <c r="CR128" s="40"/>
      <c r="CS128" s="40"/>
      <c r="CT128" s="40"/>
      <c r="CU128" s="40"/>
      <c r="CV128" s="40"/>
      <c r="CW128" s="40"/>
      <c r="CX128" s="40"/>
      <c r="CY128" s="40"/>
      <c r="CZ128" s="40"/>
      <c r="DA128" s="40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40"/>
      <c r="EA128" s="40"/>
      <c r="EB128" s="40"/>
      <c r="EC128" s="40"/>
      <c r="ED128" s="40"/>
      <c r="EE128" s="40"/>
      <c r="EF128" s="40"/>
      <c r="EG128" s="40"/>
      <c r="EH128" s="40"/>
      <c r="EI128" s="40"/>
      <c r="EJ128" s="40"/>
      <c r="EK128" s="40"/>
      <c r="EL128" s="40"/>
      <c r="EM128" s="40"/>
      <c r="EN128" s="40"/>
      <c r="EO128" s="40"/>
      <c r="EP128" s="40"/>
      <c r="EQ128" s="40"/>
      <c r="ER128" s="40"/>
      <c r="ES128" s="40"/>
      <c r="ET128" s="40"/>
      <c r="EU128" s="40"/>
      <c r="EV128" s="40"/>
      <c r="EW128" s="40"/>
      <c r="EX128" s="40"/>
      <c r="EY128" s="40"/>
      <c r="EZ128" s="40"/>
      <c r="FA128" s="40"/>
      <c r="FB128" s="40"/>
      <c r="FC128" s="40"/>
      <c r="FD128" s="40"/>
      <c r="FE128" s="40"/>
      <c r="FF128" s="40"/>
      <c r="FG128" s="40"/>
      <c r="FH128" s="40"/>
      <c r="FI128" s="40"/>
      <c r="FJ128" s="40"/>
      <c r="FK128" s="40"/>
      <c r="FL128" s="40"/>
      <c r="FM128" s="40"/>
      <c r="FN128" s="40"/>
      <c r="FO128" s="40"/>
      <c r="FP128" s="40"/>
      <c r="FQ128" s="40"/>
      <c r="FR128" s="40"/>
      <c r="FS128" s="40"/>
      <c r="FT128" s="40"/>
      <c r="FU128" s="40"/>
      <c r="FV128" s="40"/>
      <c r="FW128" s="40"/>
      <c r="FX128" s="40"/>
      <c r="FY128" s="40"/>
      <c r="FZ128" s="40"/>
      <c r="GA128" s="40"/>
      <c r="GB128" s="40"/>
      <c r="GC128" s="40"/>
      <c r="GD128" s="40"/>
      <c r="GE128" s="40"/>
      <c r="GF128" s="40"/>
      <c r="GG128" s="40"/>
      <c r="GH128" s="40"/>
      <c r="GI128" s="40"/>
      <c r="GJ128" s="40"/>
      <c r="GK128" s="40"/>
      <c r="GL128" s="40"/>
      <c r="GM128" s="40"/>
      <c r="GN128" s="40"/>
      <c r="GO128" s="40"/>
      <c r="GP128" s="40"/>
      <c r="GQ128" s="40"/>
      <c r="GR128" s="40"/>
      <c r="GS128" s="40"/>
      <c r="GT128" s="40"/>
      <c r="GU128" s="40"/>
      <c r="GV128" s="40"/>
      <c r="GW128" s="40"/>
      <c r="GX128" s="40"/>
      <c r="GY128" s="40"/>
      <c r="GZ128" s="40"/>
      <c r="HA128" s="40"/>
      <c r="HB128" s="40"/>
      <c r="HC128" s="40"/>
      <c r="HD128" s="40"/>
      <c r="HE128" s="40"/>
      <c r="HF128" s="40"/>
      <c r="HG128" s="40"/>
      <c r="HH128" s="40"/>
      <c r="HI128" s="40"/>
      <c r="HJ128" s="40"/>
      <c r="HK128" s="40"/>
      <c r="HL128" s="40"/>
      <c r="HM128" s="40"/>
      <c r="HN128" s="40"/>
      <c r="HO128" s="40"/>
      <c r="HP128" s="40"/>
      <c r="HQ128" s="40"/>
      <c r="HR128" s="40"/>
      <c r="HS128" s="40"/>
      <c r="HT128" s="40"/>
      <c r="HU128" s="40"/>
    </row>
    <row r="129" spans="1:229" s="41" customFormat="1" ht="28.8" customHeight="1">
      <c r="A129" s="124" t="s">
        <v>742</v>
      </c>
      <c r="B129" s="80" t="s">
        <v>857</v>
      </c>
      <c r="C129" s="80"/>
      <c r="D129" s="80" t="s">
        <v>858</v>
      </c>
      <c r="E129" s="80" t="s">
        <v>859</v>
      </c>
      <c r="F129" s="80" t="s">
        <v>860</v>
      </c>
      <c r="G129" s="135" t="s">
        <v>861</v>
      </c>
      <c r="H129" s="81">
        <v>0.4</v>
      </c>
      <c r="I129" s="81" t="s">
        <v>590</v>
      </c>
      <c r="J129" s="79" t="s">
        <v>591</v>
      </c>
      <c r="K129" s="81"/>
      <c r="L129" s="79"/>
      <c r="M129" s="82" t="s">
        <v>989</v>
      </c>
      <c r="N129" s="82" t="s">
        <v>990</v>
      </c>
      <c r="O129" s="82" t="s">
        <v>317</v>
      </c>
      <c r="P129" s="142">
        <v>0.2</v>
      </c>
      <c r="Q129" s="40">
        <f>SUMIF(Data_P!A:A,CONCATENATE(A129,"_",R$1),Data_P!J:J)</f>
        <v>374.15</v>
      </c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  <c r="BK129" s="40"/>
      <c r="BL129" s="40"/>
      <c r="BM129" s="40"/>
      <c r="BN129" s="40"/>
      <c r="BO129" s="40"/>
      <c r="BP129" s="40"/>
      <c r="BQ129" s="40"/>
      <c r="BR129" s="40"/>
      <c r="BS129" s="40"/>
      <c r="BT129" s="40"/>
      <c r="BU129" s="40"/>
      <c r="BV129" s="40"/>
      <c r="BW129" s="40"/>
      <c r="BX129" s="40"/>
      <c r="BY129" s="40"/>
      <c r="BZ129" s="40"/>
      <c r="CA129" s="40"/>
      <c r="CB129" s="40"/>
      <c r="CC129" s="40"/>
      <c r="CD129" s="40"/>
      <c r="CE129" s="40"/>
      <c r="CF129" s="40"/>
      <c r="CG129" s="40"/>
      <c r="CH129" s="40"/>
      <c r="CI129" s="40"/>
      <c r="CJ129" s="40"/>
      <c r="CK129" s="40"/>
      <c r="CL129" s="40"/>
      <c r="CM129" s="40"/>
      <c r="CN129" s="40"/>
      <c r="CO129" s="40"/>
      <c r="CP129" s="40"/>
      <c r="CQ129" s="40"/>
      <c r="CR129" s="40"/>
      <c r="CS129" s="40"/>
      <c r="CT129" s="40"/>
      <c r="CU129" s="40"/>
      <c r="CV129" s="40"/>
      <c r="CW129" s="40"/>
      <c r="CX129" s="40"/>
      <c r="CY129" s="40"/>
      <c r="CZ129" s="40"/>
      <c r="DA129" s="40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40"/>
      <c r="EA129" s="40"/>
      <c r="EB129" s="40"/>
      <c r="EC129" s="40"/>
      <c r="ED129" s="40"/>
      <c r="EE129" s="40"/>
      <c r="EF129" s="40"/>
      <c r="EG129" s="40"/>
      <c r="EH129" s="40"/>
      <c r="EI129" s="40"/>
      <c r="EJ129" s="40"/>
      <c r="EK129" s="40"/>
      <c r="EL129" s="40"/>
      <c r="EM129" s="40"/>
      <c r="EN129" s="40"/>
      <c r="EO129" s="40"/>
      <c r="EP129" s="40"/>
      <c r="EQ129" s="40"/>
      <c r="ER129" s="40"/>
      <c r="ES129" s="40"/>
      <c r="ET129" s="40"/>
      <c r="EU129" s="40"/>
      <c r="EV129" s="40"/>
      <c r="EW129" s="40"/>
      <c r="EX129" s="40"/>
      <c r="EY129" s="40"/>
      <c r="EZ129" s="40"/>
      <c r="FA129" s="40"/>
      <c r="FB129" s="40"/>
      <c r="FC129" s="40"/>
      <c r="FD129" s="40"/>
      <c r="FE129" s="40"/>
      <c r="FF129" s="40"/>
      <c r="FG129" s="40"/>
      <c r="FH129" s="40"/>
      <c r="FI129" s="40"/>
      <c r="FJ129" s="40"/>
      <c r="FK129" s="40"/>
      <c r="FL129" s="40"/>
      <c r="FM129" s="40"/>
      <c r="FN129" s="40"/>
      <c r="FO129" s="40"/>
      <c r="FP129" s="40"/>
      <c r="FQ129" s="40"/>
      <c r="FR129" s="40"/>
      <c r="FS129" s="40"/>
      <c r="FT129" s="40"/>
      <c r="FU129" s="40"/>
      <c r="FV129" s="40"/>
      <c r="FW129" s="40"/>
      <c r="FX129" s="40"/>
      <c r="FY129" s="40"/>
      <c r="FZ129" s="40"/>
      <c r="GA129" s="40"/>
      <c r="GB129" s="40"/>
      <c r="GC129" s="40"/>
      <c r="GD129" s="40"/>
      <c r="GE129" s="40"/>
      <c r="GF129" s="40"/>
      <c r="GG129" s="40"/>
      <c r="GH129" s="40"/>
      <c r="GI129" s="40"/>
      <c r="GJ129" s="40"/>
      <c r="GK129" s="40"/>
      <c r="GL129" s="40"/>
      <c r="GM129" s="40"/>
      <c r="GN129" s="40"/>
      <c r="GO129" s="40"/>
      <c r="GP129" s="40"/>
      <c r="GQ129" s="40"/>
      <c r="GR129" s="40"/>
      <c r="GS129" s="40"/>
      <c r="GT129" s="40"/>
      <c r="GU129" s="40"/>
      <c r="GV129" s="40"/>
      <c r="GW129" s="40"/>
      <c r="GX129" s="40"/>
      <c r="GY129" s="40"/>
      <c r="GZ129" s="40"/>
      <c r="HA129" s="40"/>
      <c r="HB129" s="40"/>
      <c r="HC129" s="40"/>
      <c r="HD129" s="40"/>
      <c r="HE129" s="40"/>
      <c r="HF129" s="40"/>
      <c r="HG129" s="40"/>
      <c r="HH129" s="40"/>
      <c r="HI129" s="40"/>
      <c r="HJ129" s="40"/>
      <c r="HK129" s="40"/>
      <c r="HL129" s="40"/>
      <c r="HM129" s="40"/>
      <c r="HN129" s="40"/>
      <c r="HO129" s="40"/>
      <c r="HP129" s="40"/>
      <c r="HQ129" s="40"/>
      <c r="HR129" s="40"/>
      <c r="HS129" s="40"/>
      <c r="HT129" s="40"/>
      <c r="HU129" s="40"/>
    </row>
    <row r="130" spans="1:229" s="41" customFormat="1" ht="28.8" customHeight="1">
      <c r="A130" s="124" t="s">
        <v>1236</v>
      </c>
      <c r="B130" s="80" t="s">
        <v>1237</v>
      </c>
      <c r="C130" s="80"/>
      <c r="D130" s="80" t="s">
        <v>1346</v>
      </c>
      <c r="E130" s="80" t="s">
        <v>414</v>
      </c>
      <c r="F130" s="80" t="s">
        <v>1347</v>
      </c>
      <c r="G130" s="135" t="s">
        <v>2027</v>
      </c>
      <c r="H130" s="81">
        <v>0.4</v>
      </c>
      <c r="I130" s="81" t="s">
        <v>1308</v>
      </c>
      <c r="J130" s="79"/>
      <c r="K130" s="81"/>
      <c r="L130" s="79"/>
      <c r="M130" s="82" t="s">
        <v>1658</v>
      </c>
      <c r="N130" s="82" t="s">
        <v>1109</v>
      </c>
      <c r="O130" s="82" t="s">
        <v>316</v>
      </c>
      <c r="P130" s="142">
        <v>0.2</v>
      </c>
      <c r="Q130" s="40">
        <f>SUMIF(Data_P!A:A,CONCATENATE(A130,"_",R$1),Data_P!J:J)</f>
        <v>0</v>
      </c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  <c r="BA130" s="40"/>
      <c r="BB130" s="40"/>
      <c r="BC130" s="40"/>
      <c r="BD130" s="40"/>
      <c r="BE130" s="40"/>
      <c r="BF130" s="40"/>
      <c r="BG130" s="40"/>
      <c r="BH130" s="40"/>
      <c r="BI130" s="40"/>
      <c r="BJ130" s="40"/>
      <c r="BK130" s="40"/>
      <c r="BL130" s="40"/>
      <c r="BM130" s="40"/>
      <c r="BN130" s="40"/>
      <c r="BO130" s="40"/>
      <c r="BP130" s="40"/>
      <c r="BQ130" s="40"/>
      <c r="BR130" s="40"/>
      <c r="BS130" s="40"/>
      <c r="BT130" s="40"/>
      <c r="BU130" s="40"/>
      <c r="BV130" s="40"/>
      <c r="BW130" s="40"/>
      <c r="BX130" s="40"/>
      <c r="BY130" s="40"/>
      <c r="BZ130" s="40"/>
      <c r="CA130" s="40"/>
      <c r="CB130" s="40"/>
      <c r="CC130" s="40"/>
      <c r="CD130" s="40"/>
      <c r="CE130" s="40"/>
      <c r="CF130" s="40"/>
      <c r="CG130" s="40"/>
      <c r="CH130" s="40"/>
      <c r="CI130" s="40"/>
      <c r="CJ130" s="40"/>
      <c r="CK130" s="40"/>
      <c r="CL130" s="40"/>
      <c r="CM130" s="40"/>
      <c r="CN130" s="40"/>
      <c r="CO130" s="40"/>
      <c r="CP130" s="40"/>
      <c r="CQ130" s="40"/>
      <c r="CR130" s="40"/>
      <c r="CS130" s="40"/>
      <c r="CT130" s="40"/>
      <c r="CU130" s="40"/>
      <c r="CV130" s="40"/>
      <c r="CW130" s="40"/>
      <c r="CX130" s="40"/>
      <c r="CY130" s="40"/>
      <c r="CZ130" s="40"/>
      <c r="DA130" s="40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40"/>
      <c r="EA130" s="40"/>
      <c r="EB130" s="40"/>
      <c r="EC130" s="40"/>
      <c r="ED130" s="40"/>
      <c r="EE130" s="40"/>
      <c r="EF130" s="40"/>
      <c r="EG130" s="40"/>
      <c r="EH130" s="40"/>
      <c r="EI130" s="40"/>
      <c r="EJ130" s="40"/>
      <c r="EK130" s="40"/>
      <c r="EL130" s="40"/>
      <c r="EM130" s="40"/>
      <c r="EN130" s="40"/>
      <c r="EO130" s="40"/>
      <c r="EP130" s="40"/>
      <c r="EQ130" s="40"/>
      <c r="ER130" s="40"/>
      <c r="ES130" s="40"/>
      <c r="ET130" s="40"/>
      <c r="EU130" s="40"/>
      <c r="EV130" s="40"/>
      <c r="EW130" s="40"/>
      <c r="EX130" s="40"/>
      <c r="EY130" s="40"/>
      <c r="EZ130" s="40"/>
      <c r="FA130" s="40"/>
      <c r="FB130" s="40"/>
      <c r="FC130" s="40"/>
      <c r="FD130" s="40"/>
      <c r="FE130" s="40"/>
      <c r="FF130" s="40"/>
      <c r="FG130" s="40"/>
      <c r="FH130" s="40"/>
      <c r="FI130" s="40"/>
      <c r="FJ130" s="40"/>
      <c r="FK130" s="40"/>
      <c r="FL130" s="40"/>
      <c r="FM130" s="40"/>
      <c r="FN130" s="40"/>
      <c r="FO130" s="40"/>
      <c r="FP130" s="40"/>
      <c r="FQ130" s="40"/>
      <c r="FR130" s="40"/>
      <c r="FS130" s="40"/>
      <c r="FT130" s="40"/>
      <c r="FU130" s="40"/>
      <c r="FV130" s="40"/>
      <c r="FW130" s="40"/>
      <c r="FX130" s="40"/>
      <c r="FY130" s="40"/>
      <c r="FZ130" s="40"/>
      <c r="GA130" s="40"/>
      <c r="GB130" s="40"/>
      <c r="GC130" s="40"/>
      <c r="GD130" s="40"/>
      <c r="GE130" s="40"/>
      <c r="GF130" s="40"/>
      <c r="GG130" s="40"/>
      <c r="GH130" s="40"/>
      <c r="GI130" s="40"/>
      <c r="GJ130" s="40"/>
      <c r="GK130" s="40"/>
      <c r="GL130" s="40"/>
      <c r="GM130" s="40"/>
      <c r="GN130" s="40"/>
      <c r="GO130" s="40"/>
      <c r="GP130" s="40"/>
      <c r="GQ130" s="40"/>
      <c r="GR130" s="40"/>
      <c r="GS130" s="40"/>
      <c r="GT130" s="40"/>
      <c r="GU130" s="40"/>
      <c r="GV130" s="40"/>
      <c r="GW130" s="40"/>
      <c r="GX130" s="40"/>
      <c r="GY130" s="40"/>
      <c r="GZ130" s="40"/>
      <c r="HA130" s="40"/>
      <c r="HB130" s="40"/>
      <c r="HC130" s="40"/>
      <c r="HD130" s="40"/>
      <c r="HE130" s="40"/>
      <c r="HF130" s="40"/>
      <c r="HG130" s="40"/>
      <c r="HH130" s="40"/>
      <c r="HI130" s="40"/>
      <c r="HJ130" s="40"/>
      <c r="HK130" s="40"/>
      <c r="HL130" s="40"/>
      <c r="HM130" s="40"/>
      <c r="HN130" s="40"/>
      <c r="HO130" s="40"/>
      <c r="HP130" s="40"/>
      <c r="HQ130" s="40"/>
      <c r="HR130" s="40"/>
      <c r="HS130" s="40"/>
      <c r="HT130" s="40"/>
      <c r="HU130" s="40"/>
    </row>
    <row r="131" spans="1:229" s="41" customFormat="1" ht="28.8" customHeight="1">
      <c r="A131" s="124" t="s">
        <v>263</v>
      </c>
      <c r="B131" s="80" t="s">
        <v>284</v>
      </c>
      <c r="C131" s="80"/>
      <c r="D131" s="80" t="s">
        <v>285</v>
      </c>
      <c r="E131" s="80" t="s">
        <v>286</v>
      </c>
      <c r="F131" s="80" t="s">
        <v>287</v>
      </c>
      <c r="G131" s="135" t="s">
        <v>288</v>
      </c>
      <c r="H131" s="81">
        <v>0.2</v>
      </c>
      <c r="I131" s="81"/>
      <c r="J131" s="79"/>
      <c r="K131" s="81"/>
      <c r="L131" s="79"/>
      <c r="M131" s="82" t="s">
        <v>304</v>
      </c>
      <c r="N131" s="82" t="s">
        <v>305</v>
      </c>
      <c r="O131" s="82" t="s">
        <v>316</v>
      </c>
      <c r="P131" s="142">
        <v>0.2</v>
      </c>
      <c r="Q131" s="40">
        <f>SUMIF(Data_P!A:A,CONCATENATE(A131,"_",R$1),Data_P!J:J)</f>
        <v>25.6</v>
      </c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  <c r="BA131" s="40"/>
      <c r="BB131" s="40"/>
      <c r="BC131" s="40"/>
      <c r="BD131" s="40"/>
      <c r="BE131" s="40"/>
      <c r="BF131" s="40"/>
      <c r="BG131" s="40"/>
      <c r="BH131" s="40"/>
      <c r="BI131" s="40"/>
      <c r="BJ131" s="40"/>
      <c r="BK131" s="40"/>
      <c r="BL131" s="40"/>
      <c r="BM131" s="40"/>
      <c r="BN131" s="40"/>
      <c r="BO131" s="40"/>
      <c r="BP131" s="40"/>
      <c r="BQ131" s="40"/>
      <c r="BR131" s="40"/>
      <c r="BS131" s="40"/>
      <c r="BT131" s="40"/>
      <c r="BU131" s="40"/>
      <c r="BV131" s="40"/>
      <c r="BW131" s="40"/>
      <c r="BX131" s="40"/>
      <c r="BY131" s="40"/>
      <c r="BZ131" s="40"/>
      <c r="CA131" s="40"/>
      <c r="CB131" s="40"/>
      <c r="CC131" s="40"/>
      <c r="CD131" s="40"/>
      <c r="CE131" s="40"/>
      <c r="CF131" s="40"/>
      <c r="CG131" s="40"/>
      <c r="CH131" s="40"/>
      <c r="CI131" s="40"/>
      <c r="CJ131" s="40"/>
      <c r="CK131" s="40"/>
      <c r="CL131" s="40"/>
      <c r="CM131" s="40"/>
      <c r="CN131" s="40"/>
      <c r="CO131" s="40"/>
      <c r="CP131" s="40"/>
      <c r="CQ131" s="40"/>
      <c r="CR131" s="40"/>
      <c r="CS131" s="40"/>
      <c r="CT131" s="40"/>
      <c r="CU131" s="40"/>
      <c r="CV131" s="40"/>
      <c r="CW131" s="40"/>
      <c r="CX131" s="40"/>
      <c r="CY131" s="40"/>
      <c r="CZ131" s="40"/>
      <c r="DA131" s="40"/>
      <c r="DB131" s="40"/>
      <c r="DC131" s="40"/>
      <c r="DD131" s="40"/>
      <c r="DE131" s="40"/>
      <c r="DF131" s="40"/>
      <c r="DG131" s="40"/>
      <c r="DH131" s="40"/>
      <c r="DI131" s="40"/>
      <c r="DJ131" s="40"/>
      <c r="DK131" s="40"/>
      <c r="DL131" s="40"/>
      <c r="DM131" s="40"/>
      <c r="DN131" s="40"/>
      <c r="DO131" s="40"/>
      <c r="DP131" s="40"/>
      <c r="DQ131" s="40"/>
      <c r="DR131" s="40"/>
      <c r="DS131" s="40"/>
      <c r="DT131" s="40"/>
      <c r="DU131" s="40"/>
      <c r="DV131" s="40"/>
      <c r="DW131" s="40"/>
      <c r="DX131" s="40"/>
      <c r="DY131" s="40"/>
      <c r="DZ131" s="40"/>
      <c r="EA131" s="40"/>
      <c r="EB131" s="40"/>
      <c r="EC131" s="40"/>
      <c r="ED131" s="40"/>
      <c r="EE131" s="40"/>
      <c r="EF131" s="40"/>
      <c r="EG131" s="40"/>
      <c r="EH131" s="40"/>
      <c r="EI131" s="40"/>
      <c r="EJ131" s="40"/>
      <c r="EK131" s="40"/>
      <c r="EL131" s="40"/>
      <c r="EM131" s="40"/>
      <c r="EN131" s="40"/>
      <c r="EO131" s="40"/>
      <c r="EP131" s="40"/>
      <c r="EQ131" s="40"/>
      <c r="ER131" s="40"/>
      <c r="ES131" s="40"/>
      <c r="ET131" s="40"/>
      <c r="EU131" s="40"/>
      <c r="EV131" s="40"/>
      <c r="EW131" s="40"/>
      <c r="EX131" s="40"/>
      <c r="EY131" s="40"/>
      <c r="EZ131" s="40"/>
      <c r="FA131" s="40"/>
      <c r="FB131" s="40"/>
      <c r="FC131" s="40"/>
      <c r="FD131" s="40"/>
      <c r="FE131" s="40"/>
      <c r="FF131" s="40"/>
      <c r="FG131" s="40"/>
      <c r="FH131" s="40"/>
      <c r="FI131" s="40"/>
      <c r="FJ131" s="40"/>
      <c r="FK131" s="40"/>
      <c r="FL131" s="40"/>
      <c r="FM131" s="40"/>
      <c r="FN131" s="40"/>
      <c r="FO131" s="40"/>
      <c r="FP131" s="40"/>
      <c r="FQ131" s="40"/>
      <c r="FR131" s="40"/>
      <c r="FS131" s="40"/>
      <c r="FT131" s="40"/>
      <c r="FU131" s="40"/>
      <c r="FV131" s="40"/>
      <c r="FW131" s="40"/>
      <c r="FX131" s="40"/>
      <c r="FY131" s="40"/>
      <c r="FZ131" s="40"/>
      <c r="GA131" s="40"/>
      <c r="GB131" s="40"/>
      <c r="GC131" s="40"/>
      <c r="GD131" s="40"/>
      <c r="GE131" s="40"/>
      <c r="GF131" s="40"/>
      <c r="GG131" s="40"/>
      <c r="GH131" s="40"/>
      <c r="GI131" s="40"/>
      <c r="GJ131" s="40"/>
      <c r="GK131" s="40"/>
      <c r="GL131" s="40"/>
      <c r="GM131" s="40"/>
      <c r="GN131" s="40"/>
      <c r="GO131" s="40"/>
      <c r="GP131" s="40"/>
      <c r="GQ131" s="40"/>
      <c r="GR131" s="40"/>
      <c r="GS131" s="40"/>
      <c r="GT131" s="40"/>
      <c r="GU131" s="40"/>
      <c r="GV131" s="40"/>
      <c r="GW131" s="40"/>
      <c r="GX131" s="40"/>
      <c r="GY131" s="40"/>
      <c r="GZ131" s="40"/>
      <c r="HA131" s="40"/>
      <c r="HB131" s="40"/>
      <c r="HC131" s="40"/>
      <c r="HD131" s="40"/>
      <c r="HE131" s="40"/>
      <c r="HF131" s="40"/>
      <c r="HG131" s="40"/>
      <c r="HH131" s="40"/>
      <c r="HI131" s="40"/>
      <c r="HJ131" s="40"/>
      <c r="HK131" s="40"/>
      <c r="HL131" s="40"/>
      <c r="HM131" s="40"/>
      <c r="HN131" s="40"/>
      <c r="HO131" s="40"/>
      <c r="HP131" s="40"/>
      <c r="HQ131" s="40"/>
      <c r="HR131" s="40"/>
      <c r="HS131" s="40"/>
      <c r="HT131" s="40"/>
      <c r="HU131" s="40"/>
    </row>
    <row r="132" spans="1:229" s="41" customFormat="1" ht="28.8" customHeight="1">
      <c r="A132" s="124" t="s">
        <v>2096</v>
      </c>
      <c r="B132" s="80" t="s">
        <v>1309</v>
      </c>
      <c r="C132" s="80" t="s">
        <v>1573</v>
      </c>
      <c r="D132" s="80" t="s">
        <v>1303</v>
      </c>
      <c r="E132" s="80" t="s">
        <v>497</v>
      </c>
      <c r="F132" s="80" t="s">
        <v>1304</v>
      </c>
      <c r="G132" s="135" t="s">
        <v>1310</v>
      </c>
      <c r="H132" s="81">
        <v>0.4</v>
      </c>
      <c r="I132" s="81">
        <v>-0.05</v>
      </c>
      <c r="J132" s="79" t="s">
        <v>1572</v>
      </c>
      <c r="K132" s="81"/>
      <c r="L132" s="79"/>
      <c r="M132" s="82" t="s">
        <v>1430</v>
      </c>
      <c r="N132" s="82" t="s">
        <v>1431</v>
      </c>
      <c r="O132" s="82" t="s">
        <v>316</v>
      </c>
      <c r="P132" s="142">
        <v>0.2</v>
      </c>
      <c r="Q132" s="40">
        <f>SUMIF(Data_P!A:A,CONCATENATE(A132,"_",R$1),Data_P!J:J)</f>
        <v>184.95</v>
      </c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  <c r="BK132" s="40"/>
      <c r="BL132" s="40"/>
      <c r="BM132" s="40"/>
      <c r="BN132" s="40"/>
      <c r="BO132" s="40"/>
      <c r="BP132" s="40"/>
      <c r="BQ132" s="40"/>
      <c r="BR132" s="40"/>
      <c r="BS132" s="40"/>
      <c r="BT132" s="40"/>
      <c r="BU132" s="40"/>
      <c r="BV132" s="40"/>
      <c r="BW132" s="40"/>
      <c r="BX132" s="40"/>
      <c r="BY132" s="40"/>
      <c r="BZ132" s="40"/>
      <c r="CA132" s="40"/>
      <c r="CB132" s="40"/>
      <c r="CC132" s="40"/>
      <c r="CD132" s="40"/>
      <c r="CE132" s="40"/>
      <c r="CF132" s="40"/>
      <c r="CG132" s="40"/>
      <c r="CH132" s="40"/>
      <c r="CI132" s="40"/>
      <c r="CJ132" s="40"/>
      <c r="CK132" s="40"/>
      <c r="CL132" s="40"/>
      <c r="CM132" s="40"/>
      <c r="CN132" s="40"/>
      <c r="CO132" s="40"/>
      <c r="CP132" s="40"/>
      <c r="CQ132" s="40"/>
      <c r="CR132" s="40"/>
      <c r="CS132" s="40"/>
      <c r="CT132" s="40"/>
      <c r="CU132" s="40"/>
      <c r="CV132" s="40"/>
      <c r="CW132" s="40"/>
      <c r="CX132" s="40"/>
      <c r="CY132" s="40"/>
      <c r="CZ132" s="40"/>
      <c r="DA132" s="40"/>
      <c r="DB132" s="40"/>
      <c r="DC132" s="40"/>
      <c r="DD132" s="40"/>
      <c r="DE132" s="40"/>
      <c r="DF132" s="40"/>
      <c r="DG132" s="40"/>
      <c r="DH132" s="40"/>
      <c r="DI132" s="40"/>
      <c r="DJ132" s="40"/>
      <c r="DK132" s="40"/>
      <c r="DL132" s="40"/>
      <c r="DM132" s="40"/>
      <c r="DN132" s="40"/>
      <c r="DO132" s="40"/>
      <c r="DP132" s="40"/>
      <c r="DQ132" s="40"/>
      <c r="DR132" s="40"/>
      <c r="DS132" s="40"/>
      <c r="DT132" s="40"/>
      <c r="DU132" s="40"/>
      <c r="DV132" s="40"/>
      <c r="DW132" s="40"/>
      <c r="DX132" s="40"/>
      <c r="DY132" s="40"/>
      <c r="DZ132" s="40"/>
      <c r="EA132" s="40"/>
      <c r="EB132" s="40"/>
      <c r="EC132" s="40"/>
      <c r="ED132" s="40"/>
      <c r="EE132" s="40"/>
      <c r="EF132" s="40"/>
      <c r="EG132" s="40"/>
      <c r="EH132" s="40"/>
      <c r="EI132" s="40"/>
      <c r="EJ132" s="40"/>
      <c r="EK132" s="40"/>
      <c r="EL132" s="40"/>
      <c r="EM132" s="40"/>
      <c r="EN132" s="40"/>
      <c r="EO132" s="40"/>
      <c r="EP132" s="40"/>
      <c r="EQ132" s="40"/>
      <c r="ER132" s="40"/>
      <c r="ES132" s="40"/>
      <c r="ET132" s="40"/>
      <c r="EU132" s="40"/>
      <c r="EV132" s="40"/>
      <c r="EW132" s="40"/>
      <c r="EX132" s="40"/>
      <c r="EY132" s="40"/>
      <c r="EZ132" s="40"/>
      <c r="FA132" s="40"/>
      <c r="FB132" s="40"/>
      <c r="FC132" s="40"/>
      <c r="FD132" s="40"/>
      <c r="FE132" s="40"/>
      <c r="FF132" s="40"/>
      <c r="FG132" s="40"/>
      <c r="FH132" s="40"/>
      <c r="FI132" s="40"/>
      <c r="FJ132" s="40"/>
      <c r="FK132" s="40"/>
      <c r="FL132" s="40"/>
      <c r="FM132" s="40"/>
      <c r="FN132" s="40"/>
      <c r="FO132" s="40"/>
      <c r="FP132" s="40"/>
      <c r="FQ132" s="40"/>
      <c r="FR132" s="40"/>
      <c r="FS132" s="40"/>
      <c r="FT132" s="40"/>
      <c r="FU132" s="40"/>
      <c r="FV132" s="40"/>
      <c r="FW132" s="40"/>
      <c r="FX132" s="40"/>
      <c r="FY132" s="40"/>
      <c r="FZ132" s="40"/>
      <c r="GA132" s="40"/>
      <c r="GB132" s="40"/>
      <c r="GC132" s="40"/>
      <c r="GD132" s="40"/>
      <c r="GE132" s="40"/>
      <c r="GF132" s="40"/>
      <c r="GG132" s="40"/>
      <c r="GH132" s="40"/>
      <c r="GI132" s="40"/>
      <c r="GJ132" s="40"/>
      <c r="GK132" s="40"/>
      <c r="GL132" s="40"/>
      <c r="GM132" s="40"/>
      <c r="GN132" s="40"/>
      <c r="GO132" s="40"/>
      <c r="GP132" s="40"/>
      <c r="GQ132" s="40"/>
      <c r="GR132" s="40"/>
      <c r="GS132" s="40"/>
      <c r="GT132" s="40"/>
      <c r="GU132" s="40"/>
      <c r="GV132" s="40"/>
      <c r="GW132" s="40"/>
      <c r="GX132" s="40"/>
      <c r="GY132" s="40"/>
      <c r="GZ132" s="40"/>
      <c r="HA132" s="40"/>
      <c r="HB132" s="40"/>
      <c r="HC132" s="40"/>
      <c r="HD132" s="40"/>
      <c r="HE132" s="40"/>
      <c r="HF132" s="40"/>
      <c r="HG132" s="40"/>
      <c r="HH132" s="40"/>
      <c r="HI132" s="40"/>
      <c r="HJ132" s="40"/>
      <c r="HK132" s="40"/>
      <c r="HL132" s="40"/>
      <c r="HM132" s="40"/>
      <c r="HN132" s="40"/>
      <c r="HO132" s="40"/>
      <c r="HP132" s="40"/>
      <c r="HQ132" s="40"/>
      <c r="HR132" s="40"/>
      <c r="HS132" s="40"/>
      <c r="HT132" s="40"/>
      <c r="HU132" s="40"/>
    </row>
    <row r="133" spans="1:229" s="41" customFormat="1" ht="28.8" customHeight="1">
      <c r="A133" s="124" t="s">
        <v>2097</v>
      </c>
      <c r="B133" s="80" t="s">
        <v>1564</v>
      </c>
      <c r="C133" s="80" t="s">
        <v>1573</v>
      </c>
      <c r="D133" s="80" t="s">
        <v>1565</v>
      </c>
      <c r="E133" s="80" t="s">
        <v>1566</v>
      </c>
      <c r="F133" s="80" t="s">
        <v>1567</v>
      </c>
      <c r="G133" s="135" t="s">
        <v>1568</v>
      </c>
      <c r="H133" s="81">
        <v>0.4</v>
      </c>
      <c r="I133" s="81">
        <v>-0.05</v>
      </c>
      <c r="J133" s="79" t="s">
        <v>1572</v>
      </c>
      <c r="K133" s="81"/>
      <c r="L133" s="79"/>
      <c r="M133" s="82"/>
      <c r="N133" s="82"/>
      <c r="O133" s="82" t="s">
        <v>317</v>
      </c>
      <c r="P133" s="142">
        <v>0.2</v>
      </c>
      <c r="Q133" s="40">
        <f>SUMIF(Data_P!A:A,CONCATENATE(A133,"_",R$1),Data_P!J:J)</f>
        <v>257.39</v>
      </c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  <c r="BK133" s="40"/>
      <c r="BL133" s="40"/>
      <c r="BM133" s="40"/>
      <c r="BN133" s="40"/>
      <c r="BO133" s="40"/>
      <c r="BP133" s="40"/>
      <c r="BQ133" s="40"/>
      <c r="BR133" s="40"/>
      <c r="BS133" s="40"/>
      <c r="BT133" s="40"/>
      <c r="BU133" s="40"/>
      <c r="BV133" s="40"/>
      <c r="BW133" s="40"/>
      <c r="BX133" s="40"/>
      <c r="BY133" s="40"/>
      <c r="BZ133" s="40"/>
      <c r="CA133" s="40"/>
      <c r="CB133" s="40"/>
      <c r="CC133" s="40"/>
      <c r="CD133" s="40"/>
      <c r="CE133" s="40"/>
      <c r="CF133" s="40"/>
      <c r="CG133" s="40"/>
      <c r="CH133" s="40"/>
      <c r="CI133" s="40"/>
      <c r="CJ133" s="40"/>
      <c r="CK133" s="40"/>
      <c r="CL133" s="40"/>
      <c r="CM133" s="40"/>
      <c r="CN133" s="40"/>
      <c r="CO133" s="40"/>
      <c r="CP133" s="40"/>
      <c r="CQ133" s="40"/>
      <c r="CR133" s="40"/>
      <c r="CS133" s="40"/>
      <c r="CT133" s="40"/>
      <c r="CU133" s="40"/>
      <c r="CV133" s="40"/>
      <c r="CW133" s="40"/>
      <c r="CX133" s="40"/>
      <c r="CY133" s="40"/>
      <c r="CZ133" s="40"/>
      <c r="DA133" s="40"/>
      <c r="DB133" s="40"/>
      <c r="DC133" s="40"/>
      <c r="DD133" s="40"/>
      <c r="DE133" s="40"/>
      <c r="DF133" s="40"/>
      <c r="DG133" s="40"/>
      <c r="DH133" s="40"/>
      <c r="DI133" s="40"/>
      <c r="DJ133" s="40"/>
      <c r="DK133" s="40"/>
      <c r="DL133" s="40"/>
      <c r="DM133" s="40"/>
      <c r="DN133" s="40"/>
      <c r="DO133" s="40"/>
      <c r="DP133" s="40"/>
      <c r="DQ133" s="40"/>
      <c r="DR133" s="40"/>
      <c r="DS133" s="40"/>
      <c r="DT133" s="40"/>
      <c r="DU133" s="40"/>
      <c r="DV133" s="40"/>
      <c r="DW133" s="40"/>
      <c r="DX133" s="40"/>
      <c r="DY133" s="40"/>
      <c r="DZ133" s="40"/>
      <c r="EA133" s="40"/>
      <c r="EB133" s="40"/>
      <c r="EC133" s="40"/>
      <c r="ED133" s="40"/>
      <c r="EE133" s="40"/>
      <c r="EF133" s="40"/>
      <c r="EG133" s="40"/>
      <c r="EH133" s="40"/>
      <c r="EI133" s="40"/>
      <c r="EJ133" s="40"/>
      <c r="EK133" s="40"/>
      <c r="EL133" s="40"/>
      <c r="EM133" s="40"/>
      <c r="EN133" s="40"/>
      <c r="EO133" s="40"/>
      <c r="EP133" s="40"/>
      <c r="EQ133" s="40"/>
      <c r="ER133" s="40"/>
      <c r="ES133" s="40"/>
      <c r="ET133" s="40"/>
      <c r="EU133" s="40"/>
      <c r="EV133" s="40"/>
      <c r="EW133" s="40"/>
      <c r="EX133" s="40"/>
      <c r="EY133" s="40"/>
      <c r="EZ133" s="40"/>
      <c r="FA133" s="40"/>
      <c r="FB133" s="40"/>
      <c r="FC133" s="40"/>
      <c r="FD133" s="40"/>
      <c r="FE133" s="40"/>
      <c r="FF133" s="40"/>
      <c r="FG133" s="40"/>
      <c r="FH133" s="40"/>
      <c r="FI133" s="40"/>
      <c r="FJ133" s="40"/>
      <c r="FK133" s="40"/>
      <c r="FL133" s="40"/>
      <c r="FM133" s="40"/>
      <c r="FN133" s="40"/>
      <c r="FO133" s="40"/>
      <c r="FP133" s="40"/>
      <c r="FQ133" s="40"/>
      <c r="FR133" s="40"/>
      <c r="FS133" s="40"/>
      <c r="FT133" s="40"/>
      <c r="FU133" s="40"/>
      <c r="FV133" s="40"/>
      <c r="FW133" s="40"/>
      <c r="FX133" s="40"/>
      <c r="FY133" s="40"/>
      <c r="FZ133" s="40"/>
      <c r="GA133" s="40"/>
      <c r="GB133" s="40"/>
      <c r="GC133" s="40"/>
      <c r="GD133" s="40"/>
      <c r="GE133" s="40"/>
      <c r="GF133" s="40"/>
      <c r="GG133" s="40"/>
      <c r="GH133" s="40"/>
      <c r="GI133" s="40"/>
      <c r="GJ133" s="40"/>
      <c r="GK133" s="40"/>
      <c r="GL133" s="40"/>
      <c r="GM133" s="40"/>
      <c r="GN133" s="40"/>
      <c r="GO133" s="40"/>
      <c r="GP133" s="40"/>
      <c r="GQ133" s="40"/>
      <c r="GR133" s="40"/>
      <c r="GS133" s="40"/>
      <c r="GT133" s="40"/>
      <c r="GU133" s="40"/>
      <c r="GV133" s="40"/>
      <c r="GW133" s="40"/>
      <c r="GX133" s="40"/>
      <c r="GY133" s="40"/>
      <c r="GZ133" s="40"/>
      <c r="HA133" s="40"/>
      <c r="HB133" s="40"/>
      <c r="HC133" s="40"/>
      <c r="HD133" s="40"/>
      <c r="HE133" s="40"/>
      <c r="HF133" s="40"/>
      <c r="HG133" s="40"/>
      <c r="HH133" s="40"/>
      <c r="HI133" s="40"/>
      <c r="HJ133" s="40"/>
      <c r="HK133" s="40"/>
      <c r="HL133" s="40"/>
      <c r="HM133" s="40"/>
      <c r="HN133" s="40"/>
      <c r="HO133" s="40"/>
      <c r="HP133" s="40"/>
      <c r="HQ133" s="40"/>
      <c r="HR133" s="40"/>
      <c r="HS133" s="40"/>
      <c r="HT133" s="40"/>
      <c r="HU133" s="40"/>
    </row>
    <row r="134" spans="1:229" s="41" customFormat="1" ht="28.8" customHeight="1">
      <c r="A134" s="124" t="s">
        <v>587</v>
      </c>
      <c r="B134" s="80" t="s">
        <v>592</v>
      </c>
      <c r="C134" s="80" t="s">
        <v>597</v>
      </c>
      <c r="D134" s="80" t="s">
        <v>593</v>
      </c>
      <c r="E134" s="80" t="s">
        <v>594</v>
      </c>
      <c r="F134" s="80" t="s">
        <v>595</v>
      </c>
      <c r="G134" s="135" t="s">
        <v>2098</v>
      </c>
      <c r="H134" s="81">
        <v>0.35</v>
      </c>
      <c r="I134" s="81" t="s">
        <v>590</v>
      </c>
      <c r="J134" s="79" t="s">
        <v>596</v>
      </c>
      <c r="K134" s="81"/>
      <c r="L134" s="79"/>
      <c r="M134" s="82"/>
      <c r="N134" s="82"/>
      <c r="O134" s="82" t="s">
        <v>316</v>
      </c>
      <c r="P134" s="142">
        <v>0.2</v>
      </c>
      <c r="Q134" s="40">
        <f>SUMIF(Data_P!A:A,CONCATENATE(A134,"_",R$1),Data_P!J:J)</f>
        <v>6708.24</v>
      </c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  <c r="BA134" s="40"/>
      <c r="BB134" s="40"/>
      <c r="BC134" s="40"/>
      <c r="BD134" s="40"/>
      <c r="BE134" s="40"/>
      <c r="BF134" s="40"/>
      <c r="BG134" s="40"/>
      <c r="BH134" s="40"/>
      <c r="BI134" s="40"/>
      <c r="BJ134" s="40"/>
      <c r="BK134" s="40"/>
      <c r="BL134" s="40"/>
      <c r="BM134" s="40"/>
      <c r="BN134" s="40"/>
      <c r="BO134" s="40"/>
      <c r="BP134" s="40"/>
      <c r="BQ134" s="40"/>
      <c r="BR134" s="40"/>
      <c r="BS134" s="40"/>
      <c r="BT134" s="40"/>
      <c r="BU134" s="40"/>
      <c r="BV134" s="40"/>
      <c r="BW134" s="40"/>
      <c r="BX134" s="40"/>
      <c r="BY134" s="40"/>
      <c r="BZ134" s="40"/>
      <c r="CA134" s="40"/>
      <c r="CB134" s="40"/>
      <c r="CC134" s="40"/>
      <c r="CD134" s="40"/>
      <c r="CE134" s="40"/>
      <c r="CF134" s="40"/>
      <c r="CG134" s="40"/>
      <c r="CH134" s="40"/>
      <c r="CI134" s="40"/>
      <c r="CJ134" s="40"/>
      <c r="CK134" s="40"/>
      <c r="CL134" s="40"/>
      <c r="CM134" s="40"/>
      <c r="CN134" s="40"/>
      <c r="CO134" s="40"/>
      <c r="CP134" s="40"/>
      <c r="CQ134" s="40"/>
      <c r="CR134" s="40"/>
      <c r="CS134" s="40"/>
      <c r="CT134" s="40"/>
      <c r="CU134" s="40"/>
      <c r="CV134" s="40"/>
      <c r="CW134" s="40"/>
      <c r="CX134" s="40"/>
      <c r="CY134" s="40"/>
      <c r="CZ134" s="40"/>
      <c r="DA134" s="40"/>
      <c r="DB134" s="40"/>
      <c r="DC134" s="40"/>
      <c r="DD134" s="40"/>
      <c r="DE134" s="40"/>
      <c r="DF134" s="40"/>
      <c r="DG134" s="40"/>
      <c r="DH134" s="40"/>
      <c r="DI134" s="40"/>
      <c r="DJ134" s="40"/>
      <c r="DK134" s="40"/>
      <c r="DL134" s="40"/>
      <c r="DM134" s="40"/>
      <c r="DN134" s="40"/>
      <c r="DO134" s="40"/>
      <c r="DP134" s="40"/>
      <c r="DQ134" s="40"/>
      <c r="DR134" s="40"/>
      <c r="DS134" s="40"/>
      <c r="DT134" s="40"/>
      <c r="DU134" s="40"/>
      <c r="DV134" s="40"/>
      <c r="DW134" s="40"/>
      <c r="DX134" s="40"/>
      <c r="DY134" s="40"/>
      <c r="DZ134" s="40"/>
      <c r="EA134" s="40"/>
      <c r="EB134" s="40"/>
      <c r="EC134" s="40"/>
      <c r="ED134" s="40"/>
      <c r="EE134" s="40"/>
      <c r="EF134" s="40"/>
      <c r="EG134" s="40"/>
      <c r="EH134" s="40"/>
      <c r="EI134" s="40"/>
      <c r="EJ134" s="40"/>
      <c r="EK134" s="40"/>
      <c r="EL134" s="40"/>
      <c r="EM134" s="40"/>
      <c r="EN134" s="40"/>
      <c r="EO134" s="40"/>
      <c r="EP134" s="40"/>
      <c r="EQ134" s="40"/>
      <c r="ER134" s="40"/>
      <c r="ES134" s="40"/>
      <c r="ET134" s="40"/>
      <c r="EU134" s="40"/>
      <c r="EV134" s="40"/>
      <c r="EW134" s="40"/>
      <c r="EX134" s="40"/>
      <c r="EY134" s="40"/>
      <c r="EZ134" s="40"/>
      <c r="FA134" s="40"/>
      <c r="FB134" s="40"/>
      <c r="FC134" s="40"/>
      <c r="FD134" s="40"/>
      <c r="FE134" s="40"/>
      <c r="FF134" s="40"/>
      <c r="FG134" s="40"/>
      <c r="FH134" s="40"/>
      <c r="FI134" s="40"/>
      <c r="FJ134" s="40"/>
      <c r="FK134" s="40"/>
      <c r="FL134" s="40"/>
      <c r="FM134" s="40"/>
      <c r="FN134" s="40"/>
      <c r="FO134" s="40"/>
      <c r="FP134" s="40"/>
      <c r="FQ134" s="40"/>
      <c r="FR134" s="40"/>
      <c r="FS134" s="40"/>
      <c r="FT134" s="40"/>
      <c r="FU134" s="40"/>
      <c r="FV134" s="40"/>
      <c r="FW134" s="40"/>
      <c r="FX134" s="40"/>
      <c r="FY134" s="40"/>
      <c r="FZ134" s="40"/>
      <c r="GA134" s="40"/>
      <c r="GB134" s="40"/>
      <c r="GC134" s="40"/>
      <c r="GD134" s="40"/>
      <c r="GE134" s="40"/>
      <c r="GF134" s="40"/>
      <c r="GG134" s="40"/>
      <c r="GH134" s="40"/>
      <c r="GI134" s="40"/>
      <c r="GJ134" s="40"/>
      <c r="GK134" s="40"/>
      <c r="GL134" s="40"/>
      <c r="GM134" s="40"/>
      <c r="GN134" s="40"/>
      <c r="GO134" s="40"/>
      <c r="GP134" s="40"/>
      <c r="GQ134" s="40"/>
      <c r="GR134" s="40"/>
      <c r="GS134" s="40"/>
      <c r="GT134" s="40"/>
      <c r="GU134" s="40"/>
      <c r="GV134" s="40"/>
      <c r="GW134" s="40"/>
      <c r="GX134" s="40"/>
      <c r="GY134" s="40"/>
      <c r="GZ134" s="40"/>
      <c r="HA134" s="40"/>
      <c r="HB134" s="40"/>
      <c r="HC134" s="40"/>
      <c r="HD134" s="40"/>
      <c r="HE134" s="40"/>
      <c r="HF134" s="40"/>
      <c r="HG134" s="40"/>
      <c r="HH134" s="40"/>
      <c r="HI134" s="40"/>
      <c r="HJ134" s="40"/>
      <c r="HK134" s="40"/>
      <c r="HL134" s="40"/>
      <c r="HM134" s="40"/>
      <c r="HN134" s="40"/>
      <c r="HO134" s="40"/>
      <c r="HP134" s="40"/>
      <c r="HQ134" s="40"/>
      <c r="HR134" s="40"/>
      <c r="HS134" s="40"/>
      <c r="HT134" s="40"/>
      <c r="HU134" s="40"/>
    </row>
    <row r="135" spans="1:229" s="41" customFormat="1" ht="28.8" customHeight="1">
      <c r="A135" s="124" t="s">
        <v>1918</v>
      </c>
      <c r="B135" s="80" t="s">
        <v>1935</v>
      </c>
      <c r="C135" s="80"/>
      <c r="D135" s="80" t="s">
        <v>1947</v>
      </c>
      <c r="E135" s="80" t="s">
        <v>1948</v>
      </c>
      <c r="F135" s="80" t="s">
        <v>1945</v>
      </c>
      <c r="G135" s="135" t="s">
        <v>1946</v>
      </c>
      <c r="H135" s="81">
        <v>0.4</v>
      </c>
      <c r="I135" s="81">
        <v>-0.05</v>
      </c>
      <c r="J135" s="79" t="s">
        <v>399</v>
      </c>
      <c r="K135" s="81"/>
      <c r="L135" s="79"/>
      <c r="M135" s="82"/>
      <c r="N135" s="82"/>
      <c r="O135" s="82" t="s">
        <v>316</v>
      </c>
      <c r="P135" s="142">
        <v>0.2</v>
      </c>
      <c r="Q135" s="40">
        <f>SUMIF(Data_P!A:A,CONCATENATE(A135,"_",R$1),Data_P!J:J)</f>
        <v>236.76999999999998</v>
      </c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  <c r="BA135" s="40"/>
      <c r="BB135" s="40"/>
      <c r="BC135" s="40"/>
      <c r="BD135" s="40"/>
      <c r="BE135" s="40"/>
      <c r="BF135" s="40"/>
      <c r="BG135" s="40"/>
      <c r="BH135" s="40"/>
      <c r="BI135" s="40"/>
      <c r="BJ135" s="40"/>
      <c r="BK135" s="40"/>
      <c r="BL135" s="40"/>
      <c r="BM135" s="40"/>
      <c r="BN135" s="40"/>
      <c r="BO135" s="40"/>
      <c r="BP135" s="40"/>
      <c r="BQ135" s="40"/>
      <c r="BR135" s="40"/>
      <c r="BS135" s="40"/>
      <c r="BT135" s="40"/>
      <c r="BU135" s="40"/>
      <c r="BV135" s="40"/>
      <c r="BW135" s="40"/>
      <c r="BX135" s="40"/>
      <c r="BY135" s="40"/>
      <c r="BZ135" s="40"/>
      <c r="CA135" s="40"/>
      <c r="CB135" s="40"/>
      <c r="CC135" s="40"/>
      <c r="CD135" s="40"/>
      <c r="CE135" s="40"/>
      <c r="CF135" s="40"/>
      <c r="CG135" s="40"/>
      <c r="CH135" s="40"/>
      <c r="CI135" s="40"/>
      <c r="CJ135" s="40"/>
      <c r="CK135" s="40"/>
      <c r="CL135" s="40"/>
      <c r="CM135" s="40"/>
      <c r="CN135" s="40"/>
      <c r="CO135" s="40"/>
      <c r="CP135" s="40"/>
      <c r="CQ135" s="40"/>
      <c r="CR135" s="40"/>
      <c r="CS135" s="40"/>
      <c r="CT135" s="40"/>
      <c r="CU135" s="40"/>
      <c r="CV135" s="40"/>
      <c r="CW135" s="40"/>
      <c r="CX135" s="40"/>
      <c r="CY135" s="40"/>
      <c r="CZ135" s="40"/>
      <c r="DA135" s="40"/>
      <c r="DB135" s="40"/>
      <c r="DC135" s="40"/>
      <c r="DD135" s="40"/>
      <c r="DE135" s="40"/>
      <c r="DF135" s="40"/>
      <c r="DG135" s="40"/>
      <c r="DH135" s="40"/>
      <c r="DI135" s="40"/>
      <c r="DJ135" s="40"/>
      <c r="DK135" s="40"/>
      <c r="DL135" s="40"/>
      <c r="DM135" s="40"/>
      <c r="DN135" s="40"/>
      <c r="DO135" s="40"/>
      <c r="DP135" s="40"/>
      <c r="DQ135" s="40"/>
      <c r="DR135" s="40"/>
      <c r="DS135" s="40"/>
      <c r="DT135" s="40"/>
      <c r="DU135" s="40"/>
      <c r="DV135" s="40"/>
      <c r="DW135" s="40"/>
      <c r="DX135" s="40"/>
      <c r="DY135" s="40"/>
      <c r="DZ135" s="40"/>
      <c r="EA135" s="40"/>
      <c r="EB135" s="40"/>
      <c r="EC135" s="40"/>
      <c r="ED135" s="40"/>
      <c r="EE135" s="40"/>
      <c r="EF135" s="40"/>
      <c r="EG135" s="40"/>
      <c r="EH135" s="40"/>
      <c r="EI135" s="40"/>
      <c r="EJ135" s="40"/>
      <c r="EK135" s="40"/>
      <c r="EL135" s="40"/>
      <c r="EM135" s="40"/>
      <c r="EN135" s="40"/>
      <c r="EO135" s="40"/>
      <c r="EP135" s="40"/>
      <c r="EQ135" s="40"/>
      <c r="ER135" s="40"/>
      <c r="ES135" s="40"/>
      <c r="ET135" s="40"/>
      <c r="EU135" s="40"/>
      <c r="EV135" s="40"/>
      <c r="EW135" s="40"/>
      <c r="EX135" s="40"/>
      <c r="EY135" s="40"/>
      <c r="EZ135" s="40"/>
      <c r="FA135" s="40"/>
      <c r="FB135" s="40"/>
      <c r="FC135" s="40"/>
      <c r="FD135" s="40"/>
      <c r="FE135" s="40"/>
      <c r="FF135" s="40"/>
      <c r="FG135" s="40"/>
      <c r="FH135" s="40"/>
      <c r="FI135" s="40"/>
      <c r="FJ135" s="40"/>
      <c r="FK135" s="40"/>
      <c r="FL135" s="40"/>
      <c r="FM135" s="40"/>
      <c r="FN135" s="40"/>
      <c r="FO135" s="40"/>
      <c r="FP135" s="40"/>
      <c r="FQ135" s="40"/>
      <c r="FR135" s="40"/>
      <c r="FS135" s="40"/>
      <c r="FT135" s="40"/>
      <c r="FU135" s="40"/>
      <c r="FV135" s="40"/>
      <c r="FW135" s="40"/>
      <c r="FX135" s="40"/>
      <c r="FY135" s="40"/>
      <c r="FZ135" s="40"/>
      <c r="GA135" s="40"/>
      <c r="GB135" s="40"/>
      <c r="GC135" s="40"/>
      <c r="GD135" s="40"/>
      <c r="GE135" s="40"/>
      <c r="GF135" s="40"/>
      <c r="GG135" s="40"/>
      <c r="GH135" s="40"/>
      <c r="GI135" s="40"/>
      <c r="GJ135" s="40"/>
      <c r="GK135" s="40"/>
      <c r="GL135" s="40"/>
      <c r="GM135" s="40"/>
      <c r="GN135" s="40"/>
      <c r="GO135" s="40"/>
      <c r="GP135" s="40"/>
      <c r="GQ135" s="40"/>
      <c r="GR135" s="40"/>
      <c r="GS135" s="40"/>
      <c r="GT135" s="40"/>
      <c r="GU135" s="40"/>
      <c r="GV135" s="40"/>
      <c r="GW135" s="40"/>
      <c r="GX135" s="40"/>
      <c r="GY135" s="40"/>
      <c r="GZ135" s="40"/>
      <c r="HA135" s="40"/>
      <c r="HB135" s="40"/>
      <c r="HC135" s="40"/>
      <c r="HD135" s="40"/>
      <c r="HE135" s="40"/>
      <c r="HF135" s="40"/>
      <c r="HG135" s="40"/>
      <c r="HH135" s="40"/>
      <c r="HI135" s="40"/>
      <c r="HJ135" s="40"/>
      <c r="HK135" s="40"/>
      <c r="HL135" s="40"/>
      <c r="HM135" s="40"/>
      <c r="HN135" s="40"/>
      <c r="HO135" s="40"/>
      <c r="HP135" s="40"/>
      <c r="HQ135" s="40"/>
      <c r="HR135" s="40"/>
      <c r="HS135" s="40"/>
      <c r="HT135" s="40"/>
      <c r="HU135" s="40"/>
    </row>
    <row r="136" spans="1:229" s="41" customFormat="1" ht="28.8" customHeight="1">
      <c r="A136" s="124" t="s">
        <v>764</v>
      </c>
      <c r="B136" s="80" t="s">
        <v>992</v>
      </c>
      <c r="C136" s="80"/>
      <c r="D136" s="80" t="s">
        <v>993</v>
      </c>
      <c r="E136" s="80" t="s">
        <v>994</v>
      </c>
      <c r="F136" s="80" t="s">
        <v>995</v>
      </c>
      <c r="G136" s="135" t="s">
        <v>996</v>
      </c>
      <c r="H136" s="81">
        <v>0.4</v>
      </c>
      <c r="I136" s="81">
        <v>-0.05</v>
      </c>
      <c r="J136" s="79" t="s">
        <v>399</v>
      </c>
      <c r="K136" s="81">
        <v>-0.1</v>
      </c>
      <c r="L136" s="79" t="s">
        <v>967</v>
      </c>
      <c r="M136" s="82" t="s">
        <v>997</v>
      </c>
      <c r="N136" s="82" t="s">
        <v>240</v>
      </c>
      <c r="O136" s="82" t="s">
        <v>316</v>
      </c>
      <c r="P136" s="142">
        <v>0.2</v>
      </c>
      <c r="Q136" s="40">
        <f>SUMIF(Data_P!A:A,CONCATENATE(A136,"_",R$1),Data_P!J:J)</f>
        <v>1538.32</v>
      </c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  <c r="BK136" s="40"/>
      <c r="BL136" s="40"/>
      <c r="BM136" s="40"/>
      <c r="BN136" s="40"/>
      <c r="BO136" s="40"/>
      <c r="BP136" s="40"/>
      <c r="BQ136" s="40"/>
      <c r="BR136" s="40"/>
      <c r="BS136" s="40"/>
      <c r="BT136" s="40"/>
      <c r="BU136" s="40"/>
      <c r="BV136" s="40"/>
      <c r="BW136" s="40"/>
      <c r="BX136" s="40"/>
      <c r="BY136" s="40"/>
      <c r="BZ136" s="40"/>
      <c r="CA136" s="40"/>
      <c r="CB136" s="40"/>
      <c r="CC136" s="40"/>
      <c r="CD136" s="40"/>
      <c r="CE136" s="40"/>
      <c r="CF136" s="40"/>
      <c r="CG136" s="40"/>
      <c r="CH136" s="40"/>
      <c r="CI136" s="40"/>
      <c r="CJ136" s="40"/>
      <c r="CK136" s="40"/>
      <c r="CL136" s="40"/>
      <c r="CM136" s="40"/>
      <c r="CN136" s="40"/>
      <c r="CO136" s="40"/>
      <c r="CP136" s="40"/>
      <c r="CQ136" s="40"/>
      <c r="CR136" s="40"/>
      <c r="CS136" s="40"/>
      <c r="CT136" s="40"/>
      <c r="CU136" s="40"/>
      <c r="CV136" s="40"/>
      <c r="CW136" s="40"/>
      <c r="CX136" s="40"/>
      <c r="CY136" s="40"/>
      <c r="CZ136" s="40"/>
      <c r="DA136" s="40"/>
      <c r="DB136" s="40"/>
      <c r="DC136" s="40"/>
      <c r="DD136" s="40"/>
      <c r="DE136" s="40"/>
      <c r="DF136" s="40"/>
      <c r="DG136" s="40"/>
      <c r="DH136" s="40"/>
      <c r="DI136" s="40"/>
      <c r="DJ136" s="40"/>
      <c r="DK136" s="40"/>
      <c r="DL136" s="40"/>
      <c r="DM136" s="40"/>
      <c r="DN136" s="40"/>
      <c r="DO136" s="40"/>
      <c r="DP136" s="40"/>
      <c r="DQ136" s="40"/>
      <c r="DR136" s="40"/>
      <c r="DS136" s="40"/>
      <c r="DT136" s="40"/>
      <c r="DU136" s="40"/>
      <c r="DV136" s="40"/>
      <c r="DW136" s="40"/>
      <c r="DX136" s="40"/>
      <c r="DY136" s="40"/>
      <c r="DZ136" s="40"/>
      <c r="EA136" s="40"/>
      <c r="EB136" s="40"/>
      <c r="EC136" s="40"/>
      <c r="ED136" s="40"/>
      <c r="EE136" s="40"/>
      <c r="EF136" s="40"/>
      <c r="EG136" s="40"/>
      <c r="EH136" s="40"/>
      <c r="EI136" s="40"/>
      <c r="EJ136" s="40"/>
      <c r="EK136" s="40"/>
      <c r="EL136" s="40"/>
      <c r="EM136" s="40"/>
      <c r="EN136" s="40"/>
      <c r="EO136" s="40"/>
      <c r="EP136" s="40"/>
      <c r="EQ136" s="40"/>
      <c r="ER136" s="40"/>
      <c r="ES136" s="40"/>
      <c r="ET136" s="40"/>
      <c r="EU136" s="40"/>
      <c r="EV136" s="40"/>
      <c r="EW136" s="40"/>
      <c r="EX136" s="40"/>
      <c r="EY136" s="40"/>
      <c r="EZ136" s="40"/>
      <c r="FA136" s="40"/>
      <c r="FB136" s="40"/>
      <c r="FC136" s="40"/>
      <c r="FD136" s="40"/>
      <c r="FE136" s="40"/>
      <c r="FF136" s="40"/>
      <c r="FG136" s="40"/>
      <c r="FH136" s="40"/>
      <c r="FI136" s="40"/>
      <c r="FJ136" s="40"/>
      <c r="FK136" s="40"/>
      <c r="FL136" s="40"/>
      <c r="FM136" s="40"/>
      <c r="FN136" s="40"/>
      <c r="FO136" s="40"/>
      <c r="FP136" s="40"/>
      <c r="FQ136" s="40"/>
      <c r="FR136" s="40"/>
      <c r="FS136" s="40"/>
      <c r="FT136" s="40"/>
      <c r="FU136" s="40"/>
      <c r="FV136" s="40"/>
      <c r="FW136" s="40"/>
      <c r="FX136" s="40"/>
      <c r="FY136" s="40"/>
      <c r="FZ136" s="40"/>
      <c r="GA136" s="40"/>
      <c r="GB136" s="40"/>
      <c r="GC136" s="40"/>
      <c r="GD136" s="40"/>
      <c r="GE136" s="40"/>
      <c r="GF136" s="40"/>
      <c r="GG136" s="40"/>
      <c r="GH136" s="40"/>
      <c r="GI136" s="40"/>
      <c r="GJ136" s="40"/>
      <c r="GK136" s="40"/>
      <c r="GL136" s="40"/>
      <c r="GM136" s="40"/>
      <c r="GN136" s="40"/>
      <c r="GO136" s="40"/>
      <c r="GP136" s="40"/>
      <c r="GQ136" s="40"/>
      <c r="GR136" s="40"/>
      <c r="GS136" s="40"/>
      <c r="GT136" s="40"/>
      <c r="GU136" s="40"/>
      <c r="GV136" s="40"/>
      <c r="GW136" s="40"/>
      <c r="GX136" s="40"/>
      <c r="GY136" s="40"/>
      <c r="GZ136" s="40"/>
      <c r="HA136" s="40"/>
      <c r="HB136" s="40"/>
      <c r="HC136" s="40"/>
      <c r="HD136" s="40"/>
      <c r="HE136" s="40"/>
      <c r="HF136" s="40"/>
      <c r="HG136" s="40"/>
      <c r="HH136" s="40"/>
      <c r="HI136" s="40"/>
      <c r="HJ136" s="40"/>
      <c r="HK136" s="40"/>
      <c r="HL136" s="40"/>
      <c r="HM136" s="40"/>
      <c r="HN136" s="40"/>
      <c r="HO136" s="40"/>
      <c r="HP136" s="40"/>
      <c r="HQ136" s="40"/>
      <c r="HR136" s="40"/>
      <c r="HS136" s="40"/>
      <c r="HT136" s="40"/>
      <c r="HU136" s="40"/>
    </row>
    <row r="137" spans="1:229" s="41" customFormat="1" ht="28.8" customHeight="1">
      <c r="A137" s="124" t="s">
        <v>2028</v>
      </c>
      <c r="B137" s="80" t="s">
        <v>650</v>
      </c>
      <c r="C137" s="80" t="s">
        <v>597</v>
      </c>
      <c r="D137" s="80" t="s">
        <v>651</v>
      </c>
      <c r="E137" s="80" t="s">
        <v>652</v>
      </c>
      <c r="F137" s="80" t="s">
        <v>653</v>
      </c>
      <c r="G137" s="135" t="s">
        <v>654</v>
      </c>
      <c r="H137" s="81">
        <v>0.4</v>
      </c>
      <c r="I137" s="81"/>
      <c r="J137" s="79"/>
      <c r="K137" s="81"/>
      <c r="L137" s="79"/>
      <c r="M137" s="82" t="s">
        <v>896</v>
      </c>
      <c r="N137" s="82" t="s">
        <v>897</v>
      </c>
      <c r="O137" s="82" t="s">
        <v>317</v>
      </c>
      <c r="P137" s="142">
        <v>0.2</v>
      </c>
      <c r="Q137" s="40">
        <f>SUMIF(Data_P!A:A,CONCATENATE(A137,"_",R$1),Data_P!J:J)</f>
        <v>452.90999999999997</v>
      </c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  <c r="BK137" s="40"/>
      <c r="BL137" s="40"/>
      <c r="BM137" s="40"/>
      <c r="BN137" s="40"/>
      <c r="BO137" s="40"/>
      <c r="BP137" s="40"/>
      <c r="BQ137" s="40"/>
      <c r="BR137" s="40"/>
      <c r="BS137" s="40"/>
      <c r="BT137" s="40"/>
      <c r="BU137" s="40"/>
      <c r="BV137" s="40"/>
      <c r="BW137" s="40"/>
      <c r="BX137" s="40"/>
      <c r="BY137" s="40"/>
      <c r="BZ137" s="40"/>
      <c r="CA137" s="40"/>
      <c r="CB137" s="40"/>
      <c r="CC137" s="40"/>
      <c r="CD137" s="40"/>
      <c r="CE137" s="40"/>
      <c r="CF137" s="40"/>
      <c r="CG137" s="40"/>
      <c r="CH137" s="40"/>
      <c r="CI137" s="40"/>
      <c r="CJ137" s="40"/>
      <c r="CK137" s="40"/>
      <c r="CL137" s="40"/>
      <c r="CM137" s="40"/>
      <c r="CN137" s="40"/>
      <c r="CO137" s="40"/>
      <c r="CP137" s="40"/>
      <c r="CQ137" s="40"/>
      <c r="CR137" s="40"/>
      <c r="CS137" s="40"/>
      <c r="CT137" s="40"/>
      <c r="CU137" s="40"/>
      <c r="CV137" s="40"/>
      <c r="CW137" s="40"/>
      <c r="CX137" s="40"/>
      <c r="CY137" s="40"/>
      <c r="CZ137" s="40"/>
      <c r="DA137" s="40"/>
      <c r="DB137" s="40"/>
      <c r="DC137" s="40"/>
      <c r="DD137" s="40"/>
      <c r="DE137" s="40"/>
      <c r="DF137" s="40"/>
      <c r="DG137" s="40"/>
      <c r="DH137" s="40"/>
      <c r="DI137" s="40"/>
      <c r="DJ137" s="40"/>
      <c r="DK137" s="40"/>
      <c r="DL137" s="40"/>
      <c r="DM137" s="40"/>
      <c r="DN137" s="40"/>
      <c r="DO137" s="40"/>
      <c r="DP137" s="40"/>
      <c r="DQ137" s="40"/>
      <c r="DR137" s="40"/>
      <c r="DS137" s="40"/>
      <c r="DT137" s="40"/>
      <c r="DU137" s="40"/>
      <c r="DV137" s="40"/>
      <c r="DW137" s="40"/>
      <c r="DX137" s="40"/>
      <c r="DY137" s="40"/>
      <c r="DZ137" s="40"/>
      <c r="EA137" s="40"/>
      <c r="EB137" s="40"/>
      <c r="EC137" s="40"/>
      <c r="ED137" s="40"/>
      <c r="EE137" s="40"/>
      <c r="EF137" s="40"/>
      <c r="EG137" s="40"/>
      <c r="EH137" s="40"/>
      <c r="EI137" s="40"/>
      <c r="EJ137" s="40"/>
      <c r="EK137" s="40"/>
      <c r="EL137" s="40"/>
      <c r="EM137" s="40"/>
      <c r="EN137" s="40"/>
      <c r="EO137" s="40"/>
      <c r="EP137" s="40"/>
      <c r="EQ137" s="40"/>
      <c r="ER137" s="40"/>
      <c r="ES137" s="40"/>
      <c r="ET137" s="40"/>
      <c r="EU137" s="40"/>
      <c r="EV137" s="40"/>
      <c r="EW137" s="40"/>
      <c r="EX137" s="40"/>
      <c r="EY137" s="40"/>
      <c r="EZ137" s="40"/>
      <c r="FA137" s="40"/>
      <c r="FB137" s="40"/>
      <c r="FC137" s="40"/>
      <c r="FD137" s="40"/>
      <c r="FE137" s="40"/>
      <c r="FF137" s="40"/>
      <c r="FG137" s="40"/>
      <c r="FH137" s="40"/>
      <c r="FI137" s="40"/>
      <c r="FJ137" s="40"/>
      <c r="FK137" s="40"/>
      <c r="FL137" s="40"/>
      <c r="FM137" s="40"/>
      <c r="FN137" s="40"/>
      <c r="FO137" s="40"/>
      <c r="FP137" s="40"/>
      <c r="FQ137" s="40"/>
      <c r="FR137" s="40"/>
      <c r="FS137" s="40"/>
      <c r="FT137" s="40"/>
      <c r="FU137" s="40"/>
      <c r="FV137" s="40"/>
      <c r="FW137" s="40"/>
      <c r="FX137" s="40"/>
      <c r="FY137" s="40"/>
      <c r="FZ137" s="40"/>
      <c r="GA137" s="40"/>
      <c r="GB137" s="40"/>
      <c r="GC137" s="40"/>
      <c r="GD137" s="40"/>
      <c r="GE137" s="40"/>
      <c r="GF137" s="40"/>
      <c r="GG137" s="40"/>
      <c r="GH137" s="40"/>
      <c r="GI137" s="40"/>
      <c r="GJ137" s="40"/>
      <c r="GK137" s="40"/>
      <c r="GL137" s="40"/>
      <c r="GM137" s="40"/>
      <c r="GN137" s="40"/>
      <c r="GO137" s="40"/>
      <c r="GP137" s="40"/>
      <c r="GQ137" s="40"/>
      <c r="GR137" s="40"/>
      <c r="GS137" s="40"/>
      <c r="GT137" s="40"/>
      <c r="GU137" s="40"/>
      <c r="GV137" s="40"/>
      <c r="GW137" s="40"/>
      <c r="GX137" s="40"/>
      <c r="GY137" s="40"/>
      <c r="GZ137" s="40"/>
      <c r="HA137" s="40"/>
      <c r="HB137" s="40"/>
      <c r="HC137" s="40"/>
      <c r="HD137" s="40"/>
      <c r="HE137" s="40"/>
      <c r="HF137" s="40"/>
      <c r="HG137" s="40"/>
      <c r="HH137" s="40"/>
      <c r="HI137" s="40"/>
      <c r="HJ137" s="40"/>
      <c r="HK137" s="40"/>
      <c r="HL137" s="40"/>
      <c r="HM137" s="40"/>
      <c r="HN137" s="40"/>
      <c r="HO137" s="40"/>
      <c r="HP137" s="40"/>
      <c r="HQ137" s="40"/>
      <c r="HR137" s="40"/>
      <c r="HS137" s="40"/>
      <c r="HT137" s="40"/>
      <c r="HU137" s="40"/>
    </row>
    <row r="138" spans="1:229" s="41" customFormat="1" ht="28.8" customHeight="1">
      <c r="A138" s="124" t="s">
        <v>1051</v>
      </c>
      <c r="B138" s="80" t="s">
        <v>1095</v>
      </c>
      <c r="C138" s="80"/>
      <c r="D138" s="80" t="s">
        <v>646</v>
      </c>
      <c r="E138" s="80" t="s">
        <v>647</v>
      </c>
      <c r="F138" s="80" t="s">
        <v>648</v>
      </c>
      <c r="G138" s="135" t="s">
        <v>649</v>
      </c>
      <c r="H138" s="81">
        <v>0.35</v>
      </c>
      <c r="I138" s="81"/>
      <c r="J138" s="79"/>
      <c r="K138" s="81"/>
      <c r="L138" s="79"/>
      <c r="M138" s="82" t="s">
        <v>1390</v>
      </c>
      <c r="N138" s="82" t="s">
        <v>1391</v>
      </c>
      <c r="O138" s="82" t="s">
        <v>316</v>
      </c>
      <c r="P138" s="142">
        <v>0.2</v>
      </c>
      <c r="Q138" s="40">
        <f>SUMIF(Data_P!A:A,CONCATENATE(A138,"_",R$1),Data_P!J:J)</f>
        <v>0</v>
      </c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  <c r="BA138" s="40"/>
      <c r="BB138" s="40"/>
      <c r="BC138" s="40"/>
      <c r="BD138" s="40"/>
      <c r="BE138" s="40"/>
      <c r="BF138" s="40"/>
      <c r="BG138" s="40"/>
      <c r="BH138" s="40"/>
      <c r="BI138" s="40"/>
      <c r="BJ138" s="40"/>
      <c r="BK138" s="40"/>
      <c r="BL138" s="40"/>
      <c r="BM138" s="40"/>
      <c r="BN138" s="40"/>
      <c r="BO138" s="40"/>
      <c r="BP138" s="40"/>
      <c r="BQ138" s="40"/>
      <c r="BR138" s="40"/>
      <c r="BS138" s="40"/>
      <c r="BT138" s="40"/>
      <c r="BU138" s="40"/>
      <c r="BV138" s="40"/>
      <c r="BW138" s="40"/>
      <c r="BX138" s="40"/>
      <c r="BY138" s="40"/>
      <c r="BZ138" s="40"/>
      <c r="CA138" s="40"/>
      <c r="CB138" s="40"/>
      <c r="CC138" s="40"/>
      <c r="CD138" s="40"/>
      <c r="CE138" s="40"/>
      <c r="CF138" s="40"/>
      <c r="CG138" s="40"/>
      <c r="CH138" s="40"/>
      <c r="CI138" s="40"/>
      <c r="CJ138" s="40"/>
      <c r="CK138" s="40"/>
      <c r="CL138" s="40"/>
      <c r="CM138" s="40"/>
      <c r="CN138" s="40"/>
      <c r="CO138" s="40"/>
      <c r="CP138" s="40"/>
      <c r="CQ138" s="40"/>
      <c r="CR138" s="40"/>
      <c r="CS138" s="40"/>
      <c r="CT138" s="40"/>
      <c r="CU138" s="40"/>
      <c r="CV138" s="40"/>
      <c r="CW138" s="40"/>
      <c r="CX138" s="40"/>
      <c r="CY138" s="40"/>
      <c r="CZ138" s="40"/>
      <c r="DA138" s="40"/>
      <c r="DB138" s="40"/>
      <c r="DC138" s="40"/>
      <c r="DD138" s="40"/>
      <c r="DE138" s="40"/>
      <c r="DF138" s="40"/>
      <c r="DG138" s="40"/>
      <c r="DH138" s="40"/>
      <c r="DI138" s="40"/>
      <c r="DJ138" s="40"/>
      <c r="DK138" s="40"/>
      <c r="DL138" s="40"/>
      <c r="DM138" s="40"/>
      <c r="DN138" s="40"/>
      <c r="DO138" s="40"/>
      <c r="DP138" s="40"/>
      <c r="DQ138" s="40"/>
      <c r="DR138" s="40"/>
      <c r="DS138" s="40"/>
      <c r="DT138" s="40"/>
      <c r="DU138" s="40"/>
      <c r="DV138" s="40"/>
      <c r="DW138" s="40"/>
      <c r="DX138" s="40"/>
      <c r="DY138" s="40"/>
      <c r="DZ138" s="40"/>
      <c r="EA138" s="40"/>
      <c r="EB138" s="40"/>
      <c r="EC138" s="40"/>
      <c r="ED138" s="40"/>
      <c r="EE138" s="40"/>
      <c r="EF138" s="40"/>
      <c r="EG138" s="40"/>
      <c r="EH138" s="40"/>
      <c r="EI138" s="40"/>
      <c r="EJ138" s="40"/>
      <c r="EK138" s="40"/>
      <c r="EL138" s="40"/>
      <c r="EM138" s="40"/>
      <c r="EN138" s="40"/>
      <c r="EO138" s="40"/>
      <c r="EP138" s="40"/>
      <c r="EQ138" s="40"/>
      <c r="ER138" s="40"/>
      <c r="ES138" s="40"/>
      <c r="ET138" s="40"/>
      <c r="EU138" s="40"/>
      <c r="EV138" s="40"/>
      <c r="EW138" s="40"/>
      <c r="EX138" s="40"/>
      <c r="EY138" s="40"/>
      <c r="EZ138" s="40"/>
      <c r="FA138" s="40"/>
      <c r="FB138" s="40"/>
      <c r="FC138" s="40"/>
      <c r="FD138" s="40"/>
      <c r="FE138" s="40"/>
      <c r="FF138" s="40"/>
      <c r="FG138" s="40"/>
      <c r="FH138" s="40"/>
      <c r="FI138" s="40"/>
      <c r="FJ138" s="40"/>
      <c r="FK138" s="40"/>
      <c r="FL138" s="40"/>
      <c r="FM138" s="40"/>
      <c r="FN138" s="40"/>
      <c r="FO138" s="40"/>
      <c r="FP138" s="40"/>
      <c r="FQ138" s="40"/>
      <c r="FR138" s="40"/>
      <c r="FS138" s="40"/>
      <c r="FT138" s="40"/>
      <c r="FU138" s="40"/>
      <c r="FV138" s="40"/>
      <c r="FW138" s="40"/>
      <c r="FX138" s="40"/>
      <c r="FY138" s="40"/>
      <c r="FZ138" s="40"/>
      <c r="GA138" s="40"/>
      <c r="GB138" s="40"/>
      <c r="GC138" s="40"/>
      <c r="GD138" s="40"/>
      <c r="GE138" s="40"/>
      <c r="GF138" s="40"/>
      <c r="GG138" s="40"/>
      <c r="GH138" s="40"/>
      <c r="GI138" s="40"/>
      <c r="GJ138" s="40"/>
      <c r="GK138" s="40"/>
      <c r="GL138" s="40"/>
      <c r="GM138" s="40"/>
      <c r="GN138" s="40"/>
      <c r="GO138" s="40"/>
      <c r="GP138" s="40"/>
      <c r="GQ138" s="40"/>
      <c r="GR138" s="40"/>
      <c r="GS138" s="40"/>
      <c r="GT138" s="40"/>
      <c r="GU138" s="40"/>
      <c r="GV138" s="40"/>
      <c r="GW138" s="40"/>
      <c r="GX138" s="40"/>
      <c r="GY138" s="40"/>
      <c r="GZ138" s="40"/>
      <c r="HA138" s="40"/>
      <c r="HB138" s="40"/>
      <c r="HC138" s="40"/>
      <c r="HD138" s="40"/>
      <c r="HE138" s="40"/>
      <c r="HF138" s="40"/>
      <c r="HG138" s="40"/>
      <c r="HH138" s="40"/>
      <c r="HI138" s="40"/>
      <c r="HJ138" s="40"/>
      <c r="HK138" s="40"/>
      <c r="HL138" s="40"/>
      <c r="HM138" s="40"/>
      <c r="HN138" s="40"/>
      <c r="HO138" s="40"/>
      <c r="HP138" s="40"/>
      <c r="HQ138" s="40"/>
      <c r="HR138" s="40"/>
      <c r="HS138" s="40"/>
      <c r="HT138" s="40"/>
      <c r="HU138" s="40"/>
    </row>
    <row r="139" spans="1:229" s="41" customFormat="1" ht="28.8" customHeight="1">
      <c r="A139" s="124" t="s">
        <v>473</v>
      </c>
      <c r="B139" s="80" t="s">
        <v>482</v>
      </c>
      <c r="C139" s="80"/>
      <c r="D139" s="80" t="s">
        <v>484</v>
      </c>
      <c r="E139" s="80" t="s">
        <v>156</v>
      </c>
      <c r="F139" s="80" t="s">
        <v>483</v>
      </c>
      <c r="G139" s="135" t="s">
        <v>485</v>
      </c>
      <c r="H139" s="81">
        <v>0.4</v>
      </c>
      <c r="I139" s="81">
        <v>-0.05</v>
      </c>
      <c r="J139" s="79" t="s">
        <v>399</v>
      </c>
      <c r="K139" s="81"/>
      <c r="L139" s="79"/>
      <c r="M139" s="82" t="s">
        <v>898</v>
      </c>
      <c r="N139" s="82" t="s">
        <v>899</v>
      </c>
      <c r="O139" s="82" t="s">
        <v>317</v>
      </c>
      <c r="P139" s="142">
        <v>0.2</v>
      </c>
      <c r="Q139" s="40">
        <f>SUMIF(Data_P!A:A,CONCATENATE(A139,"_",R$1),Data_P!J:J)</f>
        <v>3162.2000000000007</v>
      </c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  <c r="BA139" s="40"/>
      <c r="BB139" s="40"/>
      <c r="BC139" s="40"/>
      <c r="BD139" s="40"/>
      <c r="BE139" s="40"/>
      <c r="BF139" s="40"/>
      <c r="BG139" s="40"/>
      <c r="BH139" s="40"/>
      <c r="BI139" s="40"/>
      <c r="BJ139" s="40"/>
      <c r="BK139" s="40"/>
      <c r="BL139" s="40"/>
      <c r="BM139" s="40"/>
      <c r="BN139" s="40"/>
      <c r="BO139" s="40"/>
      <c r="BP139" s="40"/>
      <c r="BQ139" s="40"/>
      <c r="BR139" s="40"/>
      <c r="BS139" s="40"/>
      <c r="BT139" s="40"/>
      <c r="BU139" s="40"/>
      <c r="BV139" s="40"/>
      <c r="BW139" s="40"/>
      <c r="BX139" s="40"/>
      <c r="BY139" s="40"/>
      <c r="BZ139" s="40"/>
      <c r="CA139" s="40"/>
      <c r="CB139" s="40"/>
      <c r="CC139" s="40"/>
      <c r="CD139" s="40"/>
      <c r="CE139" s="40"/>
      <c r="CF139" s="40"/>
      <c r="CG139" s="40"/>
      <c r="CH139" s="40"/>
      <c r="CI139" s="40"/>
      <c r="CJ139" s="40"/>
      <c r="CK139" s="40"/>
      <c r="CL139" s="40"/>
      <c r="CM139" s="40"/>
      <c r="CN139" s="40"/>
      <c r="CO139" s="40"/>
      <c r="CP139" s="40"/>
      <c r="CQ139" s="40"/>
      <c r="CR139" s="40"/>
      <c r="CS139" s="40"/>
      <c r="CT139" s="40"/>
      <c r="CU139" s="40"/>
      <c r="CV139" s="40"/>
      <c r="CW139" s="40"/>
      <c r="CX139" s="40"/>
      <c r="CY139" s="40"/>
      <c r="CZ139" s="40"/>
      <c r="DA139" s="40"/>
      <c r="DB139" s="40"/>
      <c r="DC139" s="40"/>
      <c r="DD139" s="40"/>
      <c r="DE139" s="40"/>
      <c r="DF139" s="40"/>
      <c r="DG139" s="40"/>
      <c r="DH139" s="40"/>
      <c r="DI139" s="40"/>
      <c r="DJ139" s="40"/>
      <c r="DK139" s="40"/>
      <c r="DL139" s="40"/>
      <c r="DM139" s="40"/>
      <c r="DN139" s="40"/>
      <c r="DO139" s="40"/>
      <c r="DP139" s="40"/>
      <c r="DQ139" s="40"/>
      <c r="DR139" s="40"/>
      <c r="DS139" s="40"/>
      <c r="DT139" s="40"/>
      <c r="DU139" s="40"/>
      <c r="DV139" s="40"/>
      <c r="DW139" s="40"/>
      <c r="DX139" s="40"/>
      <c r="DY139" s="40"/>
      <c r="DZ139" s="40"/>
      <c r="EA139" s="40"/>
      <c r="EB139" s="40"/>
      <c r="EC139" s="40"/>
      <c r="ED139" s="40"/>
      <c r="EE139" s="40"/>
      <c r="EF139" s="40"/>
      <c r="EG139" s="40"/>
      <c r="EH139" s="40"/>
      <c r="EI139" s="40"/>
      <c r="EJ139" s="40"/>
      <c r="EK139" s="40"/>
      <c r="EL139" s="40"/>
      <c r="EM139" s="40"/>
      <c r="EN139" s="40"/>
      <c r="EO139" s="40"/>
      <c r="EP139" s="40"/>
      <c r="EQ139" s="40"/>
      <c r="ER139" s="40"/>
      <c r="ES139" s="40"/>
      <c r="ET139" s="40"/>
      <c r="EU139" s="40"/>
      <c r="EV139" s="40"/>
      <c r="EW139" s="40"/>
      <c r="EX139" s="40"/>
      <c r="EY139" s="40"/>
      <c r="EZ139" s="40"/>
      <c r="FA139" s="40"/>
      <c r="FB139" s="40"/>
      <c r="FC139" s="40"/>
      <c r="FD139" s="40"/>
      <c r="FE139" s="40"/>
      <c r="FF139" s="40"/>
      <c r="FG139" s="40"/>
      <c r="FH139" s="40"/>
      <c r="FI139" s="40"/>
      <c r="FJ139" s="40"/>
      <c r="FK139" s="40"/>
      <c r="FL139" s="40"/>
      <c r="FM139" s="40"/>
      <c r="FN139" s="40"/>
      <c r="FO139" s="40"/>
      <c r="FP139" s="40"/>
      <c r="FQ139" s="40"/>
      <c r="FR139" s="40"/>
      <c r="FS139" s="40"/>
      <c r="FT139" s="40"/>
      <c r="FU139" s="40"/>
      <c r="FV139" s="40"/>
      <c r="FW139" s="40"/>
      <c r="FX139" s="40"/>
      <c r="FY139" s="40"/>
      <c r="FZ139" s="40"/>
      <c r="GA139" s="40"/>
      <c r="GB139" s="40"/>
      <c r="GC139" s="40"/>
      <c r="GD139" s="40"/>
      <c r="GE139" s="40"/>
      <c r="GF139" s="40"/>
      <c r="GG139" s="40"/>
      <c r="GH139" s="40"/>
      <c r="GI139" s="40"/>
      <c r="GJ139" s="40"/>
      <c r="GK139" s="40"/>
      <c r="GL139" s="40"/>
      <c r="GM139" s="40"/>
      <c r="GN139" s="40"/>
      <c r="GO139" s="40"/>
      <c r="GP139" s="40"/>
      <c r="GQ139" s="40"/>
      <c r="GR139" s="40"/>
      <c r="GS139" s="40"/>
      <c r="GT139" s="40"/>
      <c r="GU139" s="40"/>
      <c r="GV139" s="40"/>
      <c r="GW139" s="40"/>
      <c r="GX139" s="40"/>
      <c r="GY139" s="40"/>
      <c r="GZ139" s="40"/>
      <c r="HA139" s="40"/>
      <c r="HB139" s="40"/>
      <c r="HC139" s="40"/>
      <c r="HD139" s="40"/>
      <c r="HE139" s="40"/>
      <c r="HF139" s="40"/>
      <c r="HG139" s="40"/>
      <c r="HH139" s="40"/>
      <c r="HI139" s="40"/>
      <c r="HJ139" s="40"/>
      <c r="HK139" s="40"/>
      <c r="HL139" s="40"/>
      <c r="HM139" s="40"/>
      <c r="HN139" s="40"/>
      <c r="HO139" s="40"/>
      <c r="HP139" s="40"/>
      <c r="HQ139" s="40"/>
      <c r="HR139" s="40"/>
      <c r="HS139" s="40"/>
      <c r="HT139" s="40"/>
      <c r="HU139" s="40"/>
    </row>
    <row r="140" spans="1:229" s="41" customFormat="1" ht="28.8" customHeight="1">
      <c r="A140" s="124" t="s">
        <v>2099</v>
      </c>
      <c r="B140" s="80" t="s">
        <v>25</v>
      </c>
      <c r="C140" s="80"/>
      <c r="D140" s="80" t="s">
        <v>26</v>
      </c>
      <c r="E140" s="80" t="s">
        <v>27</v>
      </c>
      <c r="F140" s="80" t="s">
        <v>527</v>
      </c>
      <c r="G140" s="135" t="s">
        <v>2100</v>
      </c>
      <c r="H140" s="81">
        <v>0.25</v>
      </c>
      <c r="I140" s="81"/>
      <c r="J140" s="79"/>
      <c r="K140" s="81"/>
      <c r="L140" s="79"/>
      <c r="M140" s="82" t="s">
        <v>306</v>
      </c>
      <c r="N140" s="82" t="s">
        <v>240</v>
      </c>
      <c r="O140" s="82" t="s">
        <v>316</v>
      </c>
      <c r="P140" s="142">
        <v>0.2</v>
      </c>
      <c r="Q140" s="40">
        <f>SUMIF(Data_P!A:A,CONCATENATE(A140,"_",R$1),Data_P!J:J)</f>
        <v>2373.5500000000002</v>
      </c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  <c r="BA140" s="40"/>
      <c r="BB140" s="40"/>
      <c r="BC140" s="40"/>
      <c r="BD140" s="40"/>
      <c r="BE140" s="40"/>
      <c r="BF140" s="40"/>
      <c r="BG140" s="40"/>
      <c r="BH140" s="40"/>
      <c r="BI140" s="40"/>
      <c r="BJ140" s="40"/>
      <c r="BK140" s="40"/>
      <c r="BL140" s="40"/>
      <c r="BM140" s="40"/>
      <c r="BN140" s="40"/>
      <c r="BO140" s="40"/>
      <c r="BP140" s="40"/>
      <c r="BQ140" s="40"/>
      <c r="BR140" s="40"/>
      <c r="BS140" s="40"/>
      <c r="BT140" s="40"/>
      <c r="BU140" s="40"/>
      <c r="BV140" s="40"/>
      <c r="BW140" s="40"/>
      <c r="BX140" s="40"/>
      <c r="BY140" s="40"/>
      <c r="BZ140" s="40"/>
      <c r="CA140" s="40"/>
      <c r="CB140" s="40"/>
      <c r="CC140" s="40"/>
      <c r="CD140" s="40"/>
      <c r="CE140" s="40"/>
      <c r="CF140" s="40"/>
      <c r="CG140" s="40"/>
      <c r="CH140" s="40"/>
      <c r="CI140" s="40"/>
      <c r="CJ140" s="40"/>
      <c r="CK140" s="40"/>
      <c r="CL140" s="40"/>
      <c r="CM140" s="40"/>
      <c r="CN140" s="40"/>
      <c r="CO140" s="40"/>
      <c r="CP140" s="40"/>
      <c r="CQ140" s="40"/>
      <c r="CR140" s="40"/>
      <c r="CS140" s="40"/>
      <c r="CT140" s="40"/>
      <c r="CU140" s="40"/>
      <c r="CV140" s="40"/>
      <c r="CW140" s="40"/>
      <c r="CX140" s="40"/>
      <c r="CY140" s="40"/>
      <c r="CZ140" s="40"/>
      <c r="DA140" s="40"/>
      <c r="DB140" s="40"/>
      <c r="DC140" s="40"/>
      <c r="DD140" s="40"/>
      <c r="DE140" s="40"/>
      <c r="DF140" s="40"/>
      <c r="DG140" s="40"/>
      <c r="DH140" s="40"/>
      <c r="DI140" s="40"/>
      <c r="DJ140" s="40"/>
      <c r="DK140" s="40"/>
      <c r="DL140" s="40"/>
      <c r="DM140" s="40"/>
      <c r="DN140" s="40"/>
      <c r="DO140" s="40"/>
      <c r="DP140" s="40"/>
      <c r="DQ140" s="40"/>
      <c r="DR140" s="40"/>
      <c r="DS140" s="40"/>
      <c r="DT140" s="40"/>
      <c r="DU140" s="40"/>
      <c r="DV140" s="40"/>
      <c r="DW140" s="40"/>
      <c r="DX140" s="40"/>
      <c r="DY140" s="40"/>
      <c r="DZ140" s="40"/>
      <c r="EA140" s="40"/>
      <c r="EB140" s="40"/>
      <c r="EC140" s="40"/>
      <c r="ED140" s="40"/>
      <c r="EE140" s="40"/>
      <c r="EF140" s="40"/>
      <c r="EG140" s="40"/>
      <c r="EH140" s="40"/>
      <c r="EI140" s="40"/>
      <c r="EJ140" s="40"/>
      <c r="EK140" s="40"/>
      <c r="EL140" s="40"/>
      <c r="EM140" s="40"/>
      <c r="EN140" s="40"/>
      <c r="EO140" s="40"/>
      <c r="EP140" s="40"/>
      <c r="EQ140" s="40"/>
      <c r="ER140" s="40"/>
      <c r="ES140" s="40"/>
      <c r="ET140" s="40"/>
      <c r="EU140" s="40"/>
      <c r="EV140" s="40"/>
      <c r="EW140" s="40"/>
      <c r="EX140" s="40"/>
      <c r="EY140" s="40"/>
      <c r="EZ140" s="40"/>
      <c r="FA140" s="40"/>
      <c r="FB140" s="40"/>
      <c r="FC140" s="40"/>
      <c r="FD140" s="40"/>
      <c r="FE140" s="40"/>
      <c r="FF140" s="40"/>
      <c r="FG140" s="40"/>
      <c r="FH140" s="40"/>
      <c r="FI140" s="40"/>
      <c r="FJ140" s="40"/>
      <c r="FK140" s="40"/>
      <c r="FL140" s="40"/>
      <c r="FM140" s="40"/>
      <c r="FN140" s="40"/>
      <c r="FO140" s="40"/>
      <c r="FP140" s="40"/>
      <c r="FQ140" s="40"/>
      <c r="FR140" s="40"/>
      <c r="FS140" s="40"/>
      <c r="FT140" s="40"/>
      <c r="FU140" s="40"/>
      <c r="FV140" s="40"/>
      <c r="FW140" s="40"/>
      <c r="FX140" s="40"/>
      <c r="FY140" s="40"/>
      <c r="FZ140" s="40"/>
      <c r="GA140" s="40"/>
      <c r="GB140" s="40"/>
      <c r="GC140" s="40"/>
      <c r="GD140" s="40"/>
      <c r="GE140" s="40"/>
      <c r="GF140" s="40"/>
      <c r="GG140" s="40"/>
      <c r="GH140" s="40"/>
      <c r="GI140" s="40"/>
      <c r="GJ140" s="40"/>
      <c r="GK140" s="40"/>
      <c r="GL140" s="40"/>
      <c r="GM140" s="40"/>
      <c r="GN140" s="40"/>
      <c r="GO140" s="40"/>
      <c r="GP140" s="40"/>
      <c r="GQ140" s="40"/>
      <c r="GR140" s="40"/>
      <c r="GS140" s="40"/>
      <c r="GT140" s="40"/>
      <c r="GU140" s="40"/>
      <c r="GV140" s="40"/>
      <c r="GW140" s="40"/>
      <c r="GX140" s="40"/>
      <c r="GY140" s="40"/>
      <c r="GZ140" s="40"/>
      <c r="HA140" s="40"/>
      <c r="HB140" s="40"/>
      <c r="HC140" s="40"/>
      <c r="HD140" s="40"/>
      <c r="HE140" s="40"/>
      <c r="HF140" s="40"/>
      <c r="HG140" s="40"/>
      <c r="HH140" s="40"/>
      <c r="HI140" s="40"/>
      <c r="HJ140" s="40"/>
      <c r="HK140" s="40"/>
      <c r="HL140" s="40"/>
      <c r="HM140" s="40"/>
      <c r="HN140" s="40"/>
      <c r="HO140" s="40"/>
      <c r="HP140" s="40"/>
      <c r="HQ140" s="40"/>
      <c r="HR140" s="40"/>
      <c r="HS140" s="40"/>
      <c r="HT140" s="40"/>
      <c r="HU140" s="40"/>
    </row>
    <row r="141" spans="1:229" s="41" customFormat="1" ht="28.8" customHeight="1">
      <c r="A141" s="124" t="s">
        <v>2101</v>
      </c>
      <c r="B141" s="80" t="s">
        <v>1732</v>
      </c>
      <c r="C141" s="80"/>
      <c r="D141" s="80" t="s">
        <v>1733</v>
      </c>
      <c r="E141" s="80" t="s">
        <v>1734</v>
      </c>
      <c r="F141" s="80" t="s">
        <v>1735</v>
      </c>
      <c r="G141" s="135" t="s">
        <v>1736</v>
      </c>
      <c r="H141" s="81">
        <v>0.3</v>
      </c>
      <c r="I141" s="81"/>
      <c r="J141" s="79"/>
      <c r="K141" s="81"/>
      <c r="L141" s="79"/>
      <c r="M141" s="82"/>
      <c r="N141" s="82"/>
      <c r="O141" s="82" t="s">
        <v>316</v>
      </c>
      <c r="P141" s="142">
        <v>0.2</v>
      </c>
      <c r="Q141" s="40">
        <f>SUMIF(Data_P!A:A,CONCATENATE(A141,"_",R$1),Data_P!J:J)</f>
        <v>21.22</v>
      </c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0"/>
      <c r="AK141" s="40"/>
      <c r="AL141" s="40"/>
      <c r="AM141" s="40"/>
      <c r="AN141" s="40"/>
      <c r="AO141" s="40"/>
      <c r="AP141" s="40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  <c r="BA141" s="40"/>
      <c r="BB141" s="40"/>
      <c r="BC141" s="40"/>
      <c r="BD141" s="40"/>
      <c r="BE141" s="40"/>
      <c r="BF141" s="40"/>
      <c r="BG141" s="40"/>
      <c r="BH141" s="40"/>
      <c r="BI141" s="40"/>
      <c r="BJ141" s="40"/>
      <c r="BK141" s="40"/>
      <c r="BL141" s="40"/>
      <c r="BM141" s="40"/>
      <c r="BN141" s="40"/>
      <c r="BO141" s="40"/>
      <c r="BP141" s="40"/>
      <c r="BQ141" s="40"/>
      <c r="BR141" s="40"/>
      <c r="BS141" s="40"/>
      <c r="BT141" s="40"/>
      <c r="BU141" s="40"/>
      <c r="BV141" s="40"/>
      <c r="BW141" s="40"/>
      <c r="BX141" s="40"/>
      <c r="BY141" s="40"/>
      <c r="BZ141" s="40"/>
      <c r="CA141" s="40"/>
      <c r="CB141" s="40"/>
      <c r="CC141" s="40"/>
      <c r="CD141" s="40"/>
      <c r="CE141" s="40"/>
      <c r="CF141" s="40"/>
      <c r="CG141" s="40"/>
      <c r="CH141" s="40"/>
      <c r="CI141" s="40"/>
      <c r="CJ141" s="40"/>
      <c r="CK141" s="40"/>
      <c r="CL141" s="40"/>
      <c r="CM141" s="40"/>
      <c r="CN141" s="40"/>
      <c r="CO141" s="40"/>
      <c r="CP141" s="40"/>
      <c r="CQ141" s="40"/>
      <c r="CR141" s="40"/>
      <c r="CS141" s="40"/>
      <c r="CT141" s="40"/>
      <c r="CU141" s="40"/>
      <c r="CV141" s="40"/>
      <c r="CW141" s="40"/>
      <c r="CX141" s="40"/>
      <c r="CY141" s="40"/>
      <c r="CZ141" s="40"/>
      <c r="DA141" s="40"/>
      <c r="DB141" s="40"/>
      <c r="DC141" s="40"/>
      <c r="DD141" s="40"/>
      <c r="DE141" s="40"/>
      <c r="DF141" s="40"/>
      <c r="DG141" s="40"/>
      <c r="DH141" s="40"/>
      <c r="DI141" s="40"/>
      <c r="DJ141" s="40"/>
      <c r="DK141" s="40"/>
      <c r="DL141" s="40"/>
      <c r="DM141" s="40"/>
      <c r="DN141" s="40"/>
      <c r="DO141" s="40"/>
      <c r="DP141" s="40"/>
      <c r="DQ141" s="40"/>
      <c r="DR141" s="40"/>
      <c r="DS141" s="40"/>
      <c r="DT141" s="40"/>
      <c r="DU141" s="40"/>
      <c r="DV141" s="40"/>
      <c r="DW141" s="40"/>
      <c r="DX141" s="40"/>
      <c r="DY141" s="40"/>
      <c r="DZ141" s="40"/>
      <c r="EA141" s="40"/>
      <c r="EB141" s="40"/>
      <c r="EC141" s="40"/>
      <c r="ED141" s="40"/>
      <c r="EE141" s="40"/>
      <c r="EF141" s="40"/>
      <c r="EG141" s="40"/>
      <c r="EH141" s="40"/>
      <c r="EI141" s="40"/>
      <c r="EJ141" s="40"/>
      <c r="EK141" s="40"/>
      <c r="EL141" s="40"/>
      <c r="EM141" s="40"/>
      <c r="EN141" s="40"/>
      <c r="EO141" s="40"/>
      <c r="EP141" s="40"/>
      <c r="EQ141" s="40"/>
      <c r="ER141" s="40"/>
      <c r="ES141" s="40"/>
      <c r="ET141" s="40"/>
      <c r="EU141" s="40"/>
      <c r="EV141" s="40"/>
      <c r="EW141" s="40"/>
      <c r="EX141" s="40"/>
      <c r="EY141" s="40"/>
      <c r="EZ141" s="40"/>
      <c r="FA141" s="40"/>
      <c r="FB141" s="40"/>
      <c r="FC141" s="40"/>
      <c r="FD141" s="40"/>
      <c r="FE141" s="40"/>
      <c r="FF141" s="40"/>
      <c r="FG141" s="40"/>
      <c r="FH141" s="40"/>
      <c r="FI141" s="40"/>
      <c r="FJ141" s="40"/>
      <c r="FK141" s="40"/>
      <c r="FL141" s="40"/>
      <c r="FM141" s="40"/>
      <c r="FN141" s="40"/>
      <c r="FO141" s="40"/>
      <c r="FP141" s="40"/>
      <c r="FQ141" s="40"/>
      <c r="FR141" s="40"/>
      <c r="FS141" s="40"/>
      <c r="FT141" s="40"/>
      <c r="FU141" s="40"/>
      <c r="FV141" s="40"/>
      <c r="FW141" s="40"/>
      <c r="FX141" s="40"/>
      <c r="FY141" s="40"/>
      <c r="FZ141" s="40"/>
      <c r="GA141" s="40"/>
      <c r="GB141" s="40"/>
      <c r="GC141" s="40"/>
      <c r="GD141" s="40"/>
      <c r="GE141" s="40"/>
      <c r="GF141" s="40"/>
      <c r="GG141" s="40"/>
      <c r="GH141" s="40"/>
      <c r="GI141" s="40"/>
      <c r="GJ141" s="40"/>
      <c r="GK141" s="40"/>
      <c r="GL141" s="40"/>
      <c r="GM141" s="40"/>
      <c r="GN141" s="40"/>
      <c r="GO141" s="40"/>
      <c r="GP141" s="40"/>
      <c r="GQ141" s="40"/>
      <c r="GR141" s="40"/>
      <c r="GS141" s="40"/>
      <c r="GT141" s="40"/>
      <c r="GU141" s="40"/>
      <c r="GV141" s="40"/>
      <c r="GW141" s="40"/>
      <c r="GX141" s="40"/>
      <c r="GY141" s="40"/>
      <c r="GZ141" s="40"/>
      <c r="HA141" s="40"/>
      <c r="HB141" s="40"/>
      <c r="HC141" s="40"/>
      <c r="HD141" s="40"/>
      <c r="HE141" s="40"/>
      <c r="HF141" s="40"/>
      <c r="HG141" s="40"/>
      <c r="HH141" s="40"/>
      <c r="HI141" s="40"/>
      <c r="HJ141" s="40"/>
      <c r="HK141" s="40"/>
      <c r="HL141" s="40"/>
      <c r="HM141" s="40"/>
      <c r="HN141" s="40"/>
      <c r="HO141" s="40"/>
      <c r="HP141" s="40"/>
      <c r="HQ141" s="40"/>
      <c r="HR141" s="40"/>
      <c r="HS141" s="40"/>
      <c r="HT141" s="40"/>
      <c r="HU141" s="40"/>
    </row>
    <row r="142" spans="1:229" s="41" customFormat="1" ht="28.8" customHeight="1">
      <c r="A142" s="124" t="s">
        <v>231</v>
      </c>
      <c r="B142" s="80" t="s">
        <v>168</v>
      </c>
      <c r="C142" s="80"/>
      <c r="D142" s="80" t="s">
        <v>176</v>
      </c>
      <c r="E142" s="80" t="s">
        <v>177</v>
      </c>
      <c r="F142" s="80" t="s">
        <v>178</v>
      </c>
      <c r="G142" s="135" t="s">
        <v>179</v>
      </c>
      <c r="H142" s="81">
        <v>0.25</v>
      </c>
      <c r="I142" s="81"/>
      <c r="J142" s="79"/>
      <c r="K142" s="81"/>
      <c r="L142" s="79"/>
      <c r="M142" s="82"/>
      <c r="N142" s="82"/>
      <c r="O142" s="82" t="s">
        <v>316</v>
      </c>
      <c r="P142" s="142">
        <v>0.2</v>
      </c>
      <c r="Q142" s="40">
        <f>SUMIF(Data_P!A:A,CONCATENATE(A142,"_",R$1),Data_P!J:J)</f>
        <v>4.8099999999999996</v>
      </c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  <c r="BA142" s="40"/>
      <c r="BB142" s="40"/>
      <c r="BC142" s="40"/>
      <c r="BD142" s="40"/>
      <c r="BE142" s="40"/>
      <c r="BF142" s="40"/>
      <c r="BG142" s="40"/>
      <c r="BH142" s="40"/>
      <c r="BI142" s="40"/>
      <c r="BJ142" s="40"/>
      <c r="BK142" s="40"/>
      <c r="BL142" s="40"/>
      <c r="BM142" s="40"/>
      <c r="BN142" s="40"/>
      <c r="BO142" s="40"/>
      <c r="BP142" s="40"/>
      <c r="BQ142" s="40"/>
      <c r="BR142" s="40"/>
      <c r="BS142" s="40"/>
      <c r="BT142" s="40"/>
      <c r="BU142" s="40"/>
      <c r="BV142" s="40"/>
      <c r="BW142" s="40"/>
      <c r="BX142" s="40"/>
      <c r="BY142" s="40"/>
      <c r="BZ142" s="40"/>
      <c r="CA142" s="40"/>
      <c r="CB142" s="40"/>
      <c r="CC142" s="40"/>
      <c r="CD142" s="40"/>
      <c r="CE142" s="40"/>
      <c r="CF142" s="40"/>
      <c r="CG142" s="40"/>
      <c r="CH142" s="40"/>
      <c r="CI142" s="40"/>
      <c r="CJ142" s="40"/>
      <c r="CK142" s="40"/>
      <c r="CL142" s="40"/>
      <c r="CM142" s="40"/>
      <c r="CN142" s="40"/>
      <c r="CO142" s="40"/>
      <c r="CP142" s="40"/>
      <c r="CQ142" s="40"/>
      <c r="CR142" s="40"/>
      <c r="CS142" s="40"/>
      <c r="CT142" s="40"/>
      <c r="CU142" s="40"/>
      <c r="CV142" s="40"/>
      <c r="CW142" s="40"/>
      <c r="CX142" s="40"/>
      <c r="CY142" s="40"/>
      <c r="CZ142" s="40"/>
      <c r="DA142" s="40"/>
      <c r="DB142" s="40"/>
      <c r="DC142" s="40"/>
      <c r="DD142" s="40"/>
      <c r="DE142" s="40"/>
      <c r="DF142" s="40"/>
      <c r="DG142" s="40"/>
      <c r="DH142" s="40"/>
      <c r="DI142" s="40"/>
      <c r="DJ142" s="40"/>
      <c r="DK142" s="40"/>
      <c r="DL142" s="40"/>
      <c r="DM142" s="40"/>
      <c r="DN142" s="40"/>
      <c r="DO142" s="40"/>
      <c r="DP142" s="40"/>
      <c r="DQ142" s="40"/>
      <c r="DR142" s="40"/>
      <c r="DS142" s="40"/>
      <c r="DT142" s="40"/>
      <c r="DU142" s="40"/>
      <c r="DV142" s="40"/>
      <c r="DW142" s="40"/>
      <c r="DX142" s="40"/>
      <c r="DY142" s="40"/>
      <c r="DZ142" s="40"/>
      <c r="EA142" s="40"/>
      <c r="EB142" s="40"/>
      <c r="EC142" s="40"/>
      <c r="ED142" s="40"/>
      <c r="EE142" s="40"/>
      <c r="EF142" s="40"/>
      <c r="EG142" s="40"/>
      <c r="EH142" s="40"/>
      <c r="EI142" s="40"/>
      <c r="EJ142" s="40"/>
      <c r="EK142" s="40"/>
      <c r="EL142" s="40"/>
      <c r="EM142" s="40"/>
      <c r="EN142" s="40"/>
      <c r="EO142" s="40"/>
      <c r="EP142" s="40"/>
      <c r="EQ142" s="40"/>
      <c r="ER142" s="40"/>
      <c r="ES142" s="40"/>
      <c r="ET142" s="40"/>
      <c r="EU142" s="40"/>
      <c r="EV142" s="40"/>
      <c r="EW142" s="40"/>
      <c r="EX142" s="40"/>
      <c r="EY142" s="40"/>
      <c r="EZ142" s="40"/>
      <c r="FA142" s="40"/>
      <c r="FB142" s="40"/>
      <c r="FC142" s="40"/>
      <c r="FD142" s="40"/>
      <c r="FE142" s="40"/>
      <c r="FF142" s="40"/>
      <c r="FG142" s="40"/>
      <c r="FH142" s="40"/>
      <c r="FI142" s="40"/>
      <c r="FJ142" s="40"/>
      <c r="FK142" s="40"/>
      <c r="FL142" s="40"/>
      <c r="FM142" s="40"/>
      <c r="FN142" s="40"/>
      <c r="FO142" s="40"/>
      <c r="FP142" s="40"/>
      <c r="FQ142" s="40"/>
      <c r="FR142" s="40"/>
      <c r="FS142" s="40"/>
      <c r="FT142" s="40"/>
      <c r="FU142" s="40"/>
      <c r="FV142" s="40"/>
      <c r="FW142" s="40"/>
      <c r="FX142" s="40"/>
      <c r="FY142" s="40"/>
      <c r="FZ142" s="40"/>
      <c r="GA142" s="40"/>
      <c r="GB142" s="40"/>
      <c r="GC142" s="40"/>
      <c r="GD142" s="40"/>
      <c r="GE142" s="40"/>
      <c r="GF142" s="40"/>
      <c r="GG142" s="40"/>
      <c r="GH142" s="40"/>
      <c r="GI142" s="40"/>
      <c r="GJ142" s="40"/>
      <c r="GK142" s="40"/>
      <c r="GL142" s="40"/>
      <c r="GM142" s="40"/>
      <c r="GN142" s="40"/>
      <c r="GO142" s="40"/>
      <c r="GP142" s="40"/>
      <c r="GQ142" s="40"/>
      <c r="GR142" s="40"/>
      <c r="GS142" s="40"/>
      <c r="GT142" s="40"/>
      <c r="GU142" s="40"/>
      <c r="GV142" s="40"/>
      <c r="GW142" s="40"/>
      <c r="GX142" s="40"/>
      <c r="GY142" s="40"/>
      <c r="GZ142" s="40"/>
      <c r="HA142" s="40"/>
      <c r="HB142" s="40"/>
      <c r="HC142" s="40"/>
      <c r="HD142" s="40"/>
      <c r="HE142" s="40"/>
      <c r="HF142" s="40"/>
      <c r="HG142" s="40"/>
      <c r="HH142" s="40"/>
      <c r="HI142" s="40"/>
      <c r="HJ142" s="40"/>
      <c r="HK142" s="40"/>
      <c r="HL142" s="40"/>
      <c r="HM142" s="40"/>
      <c r="HN142" s="40"/>
      <c r="HO142" s="40"/>
      <c r="HP142" s="40"/>
      <c r="HQ142" s="40"/>
      <c r="HR142" s="40"/>
      <c r="HS142" s="40"/>
      <c r="HT142" s="40"/>
      <c r="HU142" s="40"/>
    </row>
    <row r="143" spans="1:229" s="41" customFormat="1" ht="28.8" customHeight="1">
      <c r="A143" s="124" t="s">
        <v>2102</v>
      </c>
      <c r="B143" s="80" t="s">
        <v>1737</v>
      </c>
      <c r="C143" s="80"/>
      <c r="D143" s="80" t="s">
        <v>1738</v>
      </c>
      <c r="E143" s="80" t="s">
        <v>408</v>
      </c>
      <c r="F143" s="80" t="s">
        <v>1739</v>
      </c>
      <c r="G143" s="135" t="s">
        <v>1740</v>
      </c>
      <c r="H143" s="81">
        <v>0.3</v>
      </c>
      <c r="I143" s="81"/>
      <c r="J143" s="79"/>
      <c r="K143" s="81"/>
      <c r="L143" s="79"/>
      <c r="M143" s="82" t="s">
        <v>1845</v>
      </c>
      <c r="N143" s="82"/>
      <c r="O143" s="82" t="s">
        <v>316</v>
      </c>
      <c r="P143" s="142">
        <v>0.2</v>
      </c>
      <c r="Q143" s="40">
        <f>SUMIF(Data_P!A:A,CONCATENATE(A143,"_",R$1),Data_P!J:J)</f>
        <v>75.08</v>
      </c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  <c r="BA143" s="40"/>
      <c r="BB143" s="40"/>
      <c r="BC143" s="40"/>
      <c r="BD143" s="40"/>
      <c r="BE143" s="40"/>
      <c r="BF143" s="40"/>
      <c r="BG143" s="40"/>
      <c r="BH143" s="40"/>
      <c r="BI143" s="40"/>
      <c r="BJ143" s="40"/>
      <c r="BK143" s="40"/>
      <c r="BL143" s="40"/>
      <c r="BM143" s="40"/>
      <c r="BN143" s="40"/>
      <c r="BO143" s="40"/>
      <c r="BP143" s="40"/>
      <c r="BQ143" s="40"/>
      <c r="BR143" s="40"/>
      <c r="BS143" s="40"/>
      <c r="BT143" s="40"/>
      <c r="BU143" s="40"/>
      <c r="BV143" s="40"/>
      <c r="BW143" s="40"/>
      <c r="BX143" s="40"/>
      <c r="BY143" s="40"/>
      <c r="BZ143" s="40"/>
      <c r="CA143" s="40"/>
      <c r="CB143" s="40"/>
      <c r="CC143" s="40"/>
      <c r="CD143" s="40"/>
      <c r="CE143" s="40"/>
      <c r="CF143" s="40"/>
      <c r="CG143" s="40"/>
      <c r="CH143" s="40"/>
      <c r="CI143" s="40"/>
      <c r="CJ143" s="40"/>
      <c r="CK143" s="40"/>
      <c r="CL143" s="40"/>
      <c r="CM143" s="40"/>
      <c r="CN143" s="40"/>
      <c r="CO143" s="40"/>
      <c r="CP143" s="40"/>
      <c r="CQ143" s="40"/>
      <c r="CR143" s="40"/>
      <c r="CS143" s="40"/>
      <c r="CT143" s="40"/>
      <c r="CU143" s="40"/>
      <c r="CV143" s="40"/>
      <c r="CW143" s="40"/>
      <c r="CX143" s="40"/>
      <c r="CY143" s="40"/>
      <c r="CZ143" s="40"/>
      <c r="DA143" s="40"/>
      <c r="DB143" s="40"/>
      <c r="DC143" s="40"/>
      <c r="DD143" s="40"/>
      <c r="DE143" s="40"/>
      <c r="DF143" s="40"/>
      <c r="DG143" s="40"/>
      <c r="DH143" s="40"/>
      <c r="DI143" s="40"/>
      <c r="DJ143" s="40"/>
      <c r="DK143" s="40"/>
      <c r="DL143" s="40"/>
      <c r="DM143" s="40"/>
      <c r="DN143" s="40"/>
      <c r="DO143" s="40"/>
      <c r="DP143" s="40"/>
      <c r="DQ143" s="40"/>
      <c r="DR143" s="40"/>
      <c r="DS143" s="40"/>
      <c r="DT143" s="40"/>
      <c r="DU143" s="40"/>
      <c r="DV143" s="40"/>
      <c r="DW143" s="40"/>
      <c r="DX143" s="40"/>
      <c r="DY143" s="40"/>
      <c r="DZ143" s="40"/>
      <c r="EA143" s="40"/>
      <c r="EB143" s="40"/>
      <c r="EC143" s="40"/>
      <c r="ED143" s="40"/>
      <c r="EE143" s="40"/>
      <c r="EF143" s="40"/>
      <c r="EG143" s="40"/>
      <c r="EH143" s="40"/>
      <c r="EI143" s="40"/>
      <c r="EJ143" s="40"/>
      <c r="EK143" s="40"/>
      <c r="EL143" s="40"/>
      <c r="EM143" s="40"/>
      <c r="EN143" s="40"/>
      <c r="EO143" s="40"/>
      <c r="EP143" s="40"/>
      <c r="EQ143" s="40"/>
      <c r="ER143" s="40"/>
      <c r="ES143" s="40"/>
      <c r="ET143" s="40"/>
      <c r="EU143" s="40"/>
      <c r="EV143" s="40"/>
      <c r="EW143" s="40"/>
      <c r="EX143" s="40"/>
      <c r="EY143" s="40"/>
      <c r="EZ143" s="40"/>
      <c r="FA143" s="40"/>
      <c r="FB143" s="40"/>
      <c r="FC143" s="40"/>
      <c r="FD143" s="40"/>
      <c r="FE143" s="40"/>
      <c r="FF143" s="40"/>
      <c r="FG143" s="40"/>
      <c r="FH143" s="40"/>
      <c r="FI143" s="40"/>
      <c r="FJ143" s="40"/>
      <c r="FK143" s="40"/>
      <c r="FL143" s="40"/>
      <c r="FM143" s="40"/>
      <c r="FN143" s="40"/>
      <c r="FO143" s="40"/>
      <c r="FP143" s="40"/>
      <c r="FQ143" s="40"/>
      <c r="FR143" s="40"/>
      <c r="FS143" s="40"/>
      <c r="FT143" s="40"/>
      <c r="FU143" s="40"/>
      <c r="FV143" s="40"/>
      <c r="FW143" s="40"/>
      <c r="FX143" s="40"/>
      <c r="FY143" s="40"/>
      <c r="FZ143" s="40"/>
      <c r="GA143" s="40"/>
      <c r="GB143" s="40"/>
      <c r="GC143" s="40"/>
      <c r="GD143" s="40"/>
      <c r="GE143" s="40"/>
      <c r="GF143" s="40"/>
      <c r="GG143" s="40"/>
      <c r="GH143" s="40"/>
      <c r="GI143" s="40"/>
      <c r="GJ143" s="40"/>
      <c r="GK143" s="40"/>
      <c r="GL143" s="40"/>
      <c r="GM143" s="40"/>
      <c r="GN143" s="40"/>
      <c r="GO143" s="40"/>
      <c r="GP143" s="40"/>
      <c r="GQ143" s="40"/>
      <c r="GR143" s="40"/>
      <c r="GS143" s="40"/>
      <c r="GT143" s="40"/>
      <c r="GU143" s="40"/>
      <c r="GV143" s="40"/>
      <c r="GW143" s="40"/>
      <c r="GX143" s="40"/>
      <c r="GY143" s="40"/>
      <c r="GZ143" s="40"/>
      <c r="HA143" s="40"/>
      <c r="HB143" s="40"/>
      <c r="HC143" s="40"/>
      <c r="HD143" s="40"/>
      <c r="HE143" s="40"/>
      <c r="HF143" s="40"/>
      <c r="HG143" s="40"/>
      <c r="HH143" s="40"/>
      <c r="HI143" s="40"/>
      <c r="HJ143" s="40"/>
      <c r="HK143" s="40"/>
      <c r="HL143" s="40"/>
      <c r="HM143" s="40"/>
      <c r="HN143" s="40"/>
      <c r="HO143" s="40"/>
      <c r="HP143" s="40"/>
      <c r="HQ143" s="40"/>
      <c r="HR143" s="40"/>
      <c r="HS143" s="40"/>
      <c r="HT143" s="40"/>
      <c r="HU143" s="40"/>
    </row>
    <row r="144" spans="1:229" s="41" customFormat="1" ht="28.8" customHeight="1">
      <c r="A144" s="124" t="s">
        <v>2103</v>
      </c>
      <c r="B144" s="80" t="s">
        <v>1507</v>
      </c>
      <c r="C144" s="80"/>
      <c r="D144" s="80" t="s">
        <v>1508</v>
      </c>
      <c r="E144" s="80" t="s">
        <v>1509</v>
      </c>
      <c r="F144" s="80" t="s">
        <v>1510</v>
      </c>
      <c r="G144" s="135" t="s">
        <v>1511</v>
      </c>
      <c r="H144" s="81">
        <v>0.3</v>
      </c>
      <c r="I144" s="81"/>
      <c r="J144" s="79"/>
      <c r="K144" s="81"/>
      <c r="L144" s="79"/>
      <c r="M144" s="82" t="s">
        <v>1659</v>
      </c>
      <c r="N144" s="82" t="s">
        <v>373</v>
      </c>
      <c r="O144" s="82" t="s">
        <v>316</v>
      </c>
      <c r="P144" s="142">
        <v>0.2</v>
      </c>
      <c r="Q144" s="40">
        <f>SUMIF(Data_P!A:A,CONCATENATE(A144,"_",R$1),Data_P!J:J)</f>
        <v>764.78</v>
      </c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  <c r="BA144" s="40"/>
      <c r="BB144" s="40"/>
      <c r="BC144" s="40"/>
      <c r="BD144" s="40"/>
      <c r="BE144" s="40"/>
      <c r="BF144" s="40"/>
      <c r="BG144" s="40"/>
      <c r="BH144" s="40"/>
      <c r="BI144" s="40"/>
      <c r="BJ144" s="40"/>
      <c r="BK144" s="40"/>
      <c r="BL144" s="40"/>
      <c r="BM144" s="40"/>
      <c r="BN144" s="40"/>
      <c r="BO144" s="40"/>
      <c r="BP144" s="40"/>
      <c r="BQ144" s="40"/>
      <c r="BR144" s="40"/>
      <c r="BS144" s="40"/>
      <c r="BT144" s="40"/>
      <c r="BU144" s="40"/>
      <c r="BV144" s="40"/>
      <c r="BW144" s="40"/>
      <c r="BX144" s="40"/>
      <c r="BY144" s="40"/>
      <c r="BZ144" s="40"/>
      <c r="CA144" s="40"/>
      <c r="CB144" s="40"/>
      <c r="CC144" s="40"/>
      <c r="CD144" s="40"/>
      <c r="CE144" s="40"/>
      <c r="CF144" s="40"/>
      <c r="CG144" s="40"/>
      <c r="CH144" s="40"/>
      <c r="CI144" s="40"/>
      <c r="CJ144" s="40"/>
      <c r="CK144" s="40"/>
      <c r="CL144" s="40"/>
      <c r="CM144" s="40"/>
      <c r="CN144" s="40"/>
      <c r="CO144" s="40"/>
      <c r="CP144" s="40"/>
      <c r="CQ144" s="40"/>
      <c r="CR144" s="40"/>
      <c r="CS144" s="40"/>
      <c r="CT144" s="40"/>
      <c r="CU144" s="40"/>
      <c r="CV144" s="40"/>
      <c r="CW144" s="40"/>
      <c r="CX144" s="40"/>
      <c r="CY144" s="40"/>
      <c r="CZ144" s="40"/>
      <c r="DA144" s="40"/>
      <c r="DB144" s="40"/>
      <c r="DC144" s="40"/>
      <c r="DD144" s="40"/>
      <c r="DE144" s="40"/>
      <c r="DF144" s="40"/>
      <c r="DG144" s="40"/>
      <c r="DH144" s="40"/>
      <c r="DI144" s="40"/>
      <c r="DJ144" s="40"/>
      <c r="DK144" s="40"/>
      <c r="DL144" s="40"/>
      <c r="DM144" s="40"/>
      <c r="DN144" s="40"/>
      <c r="DO144" s="40"/>
      <c r="DP144" s="40"/>
      <c r="DQ144" s="40"/>
      <c r="DR144" s="40"/>
      <c r="DS144" s="40"/>
      <c r="DT144" s="40"/>
      <c r="DU144" s="40"/>
      <c r="DV144" s="40"/>
      <c r="DW144" s="40"/>
      <c r="DX144" s="40"/>
      <c r="DY144" s="40"/>
      <c r="DZ144" s="40"/>
      <c r="EA144" s="40"/>
      <c r="EB144" s="40"/>
      <c r="EC144" s="40"/>
      <c r="ED144" s="40"/>
      <c r="EE144" s="40"/>
      <c r="EF144" s="40"/>
      <c r="EG144" s="40"/>
      <c r="EH144" s="40"/>
      <c r="EI144" s="40"/>
      <c r="EJ144" s="40"/>
      <c r="EK144" s="40"/>
      <c r="EL144" s="40"/>
      <c r="EM144" s="40"/>
      <c r="EN144" s="40"/>
      <c r="EO144" s="40"/>
      <c r="EP144" s="40"/>
      <c r="EQ144" s="40"/>
      <c r="ER144" s="40"/>
      <c r="ES144" s="40"/>
      <c r="ET144" s="40"/>
      <c r="EU144" s="40"/>
      <c r="EV144" s="40"/>
      <c r="EW144" s="40"/>
      <c r="EX144" s="40"/>
      <c r="EY144" s="40"/>
      <c r="EZ144" s="40"/>
      <c r="FA144" s="40"/>
      <c r="FB144" s="40"/>
      <c r="FC144" s="40"/>
      <c r="FD144" s="40"/>
      <c r="FE144" s="40"/>
      <c r="FF144" s="40"/>
      <c r="FG144" s="40"/>
      <c r="FH144" s="40"/>
      <c r="FI144" s="40"/>
      <c r="FJ144" s="40"/>
      <c r="FK144" s="40"/>
      <c r="FL144" s="40"/>
      <c r="FM144" s="40"/>
      <c r="FN144" s="40"/>
      <c r="FO144" s="40"/>
      <c r="FP144" s="40"/>
      <c r="FQ144" s="40"/>
      <c r="FR144" s="40"/>
      <c r="FS144" s="40"/>
      <c r="FT144" s="40"/>
      <c r="FU144" s="40"/>
      <c r="FV144" s="40"/>
      <c r="FW144" s="40"/>
      <c r="FX144" s="40"/>
      <c r="FY144" s="40"/>
      <c r="FZ144" s="40"/>
      <c r="GA144" s="40"/>
      <c r="GB144" s="40"/>
      <c r="GC144" s="40"/>
      <c r="GD144" s="40"/>
      <c r="GE144" s="40"/>
      <c r="GF144" s="40"/>
      <c r="GG144" s="40"/>
      <c r="GH144" s="40"/>
      <c r="GI144" s="40"/>
      <c r="GJ144" s="40"/>
      <c r="GK144" s="40"/>
      <c r="GL144" s="40"/>
      <c r="GM144" s="40"/>
      <c r="GN144" s="40"/>
      <c r="GO144" s="40"/>
      <c r="GP144" s="40"/>
      <c r="GQ144" s="40"/>
      <c r="GR144" s="40"/>
      <c r="GS144" s="40"/>
      <c r="GT144" s="40"/>
      <c r="GU144" s="40"/>
      <c r="GV144" s="40"/>
      <c r="GW144" s="40"/>
      <c r="GX144" s="40"/>
      <c r="GY144" s="40"/>
      <c r="GZ144" s="40"/>
      <c r="HA144" s="40"/>
      <c r="HB144" s="40"/>
      <c r="HC144" s="40"/>
      <c r="HD144" s="40"/>
      <c r="HE144" s="40"/>
      <c r="HF144" s="40"/>
      <c r="HG144" s="40"/>
      <c r="HH144" s="40"/>
      <c r="HI144" s="40"/>
      <c r="HJ144" s="40"/>
      <c r="HK144" s="40"/>
      <c r="HL144" s="40"/>
      <c r="HM144" s="40"/>
      <c r="HN144" s="40"/>
      <c r="HO144" s="40"/>
      <c r="HP144" s="40"/>
      <c r="HQ144" s="40"/>
      <c r="HR144" s="40"/>
      <c r="HS144" s="40"/>
      <c r="HT144" s="40"/>
      <c r="HU144" s="40"/>
    </row>
    <row r="145" spans="1:229" s="41" customFormat="1" ht="28.8" customHeight="1">
      <c r="A145" s="124" t="s">
        <v>2104</v>
      </c>
      <c r="B145" s="80" t="s">
        <v>118</v>
      </c>
      <c r="C145" s="80" t="s">
        <v>94</v>
      </c>
      <c r="D145" s="80" t="s">
        <v>1101</v>
      </c>
      <c r="E145" s="80" t="s">
        <v>1102</v>
      </c>
      <c r="F145" s="80" t="s">
        <v>1103</v>
      </c>
      <c r="G145" s="135" t="s">
        <v>110</v>
      </c>
      <c r="H145" s="81">
        <v>0.5</v>
      </c>
      <c r="I145" s="81">
        <v>0.05</v>
      </c>
      <c r="J145" s="79" t="s">
        <v>62</v>
      </c>
      <c r="K145" s="81">
        <v>-0.05</v>
      </c>
      <c r="L145" s="79" t="s">
        <v>63</v>
      </c>
      <c r="M145" s="82" t="s">
        <v>1100</v>
      </c>
      <c r="N145" s="82" t="s">
        <v>294</v>
      </c>
      <c r="O145" s="82" t="s">
        <v>316</v>
      </c>
      <c r="P145" s="142">
        <v>0.2</v>
      </c>
      <c r="Q145" s="40">
        <f>SUMIF(Data_P!A:A,CONCATENATE(A145,"_",R$1),Data_P!J:J)</f>
        <v>1326.35</v>
      </c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  <c r="BA145" s="40"/>
      <c r="BB145" s="40"/>
      <c r="BC145" s="40"/>
      <c r="BD145" s="40"/>
      <c r="BE145" s="40"/>
      <c r="BF145" s="40"/>
      <c r="BG145" s="40"/>
      <c r="BH145" s="40"/>
      <c r="BI145" s="40"/>
      <c r="BJ145" s="40"/>
      <c r="BK145" s="40"/>
      <c r="BL145" s="40"/>
      <c r="BM145" s="40"/>
      <c r="BN145" s="40"/>
      <c r="BO145" s="40"/>
      <c r="BP145" s="40"/>
      <c r="BQ145" s="40"/>
      <c r="BR145" s="40"/>
      <c r="BS145" s="40"/>
      <c r="BT145" s="40"/>
      <c r="BU145" s="40"/>
      <c r="BV145" s="40"/>
      <c r="BW145" s="40"/>
      <c r="BX145" s="40"/>
      <c r="BY145" s="40"/>
      <c r="BZ145" s="40"/>
      <c r="CA145" s="40"/>
      <c r="CB145" s="40"/>
      <c r="CC145" s="40"/>
      <c r="CD145" s="40"/>
      <c r="CE145" s="40"/>
      <c r="CF145" s="40"/>
      <c r="CG145" s="40"/>
      <c r="CH145" s="40"/>
      <c r="CI145" s="40"/>
      <c r="CJ145" s="40"/>
      <c r="CK145" s="40"/>
      <c r="CL145" s="40"/>
      <c r="CM145" s="40"/>
      <c r="CN145" s="40"/>
      <c r="CO145" s="40"/>
      <c r="CP145" s="40"/>
      <c r="CQ145" s="40"/>
      <c r="CR145" s="40"/>
      <c r="CS145" s="40"/>
      <c r="CT145" s="40"/>
      <c r="CU145" s="40"/>
      <c r="CV145" s="40"/>
      <c r="CW145" s="40"/>
      <c r="CX145" s="40"/>
      <c r="CY145" s="40"/>
      <c r="CZ145" s="40"/>
      <c r="DA145" s="40"/>
      <c r="DB145" s="40"/>
      <c r="DC145" s="40"/>
      <c r="DD145" s="40"/>
      <c r="DE145" s="40"/>
      <c r="DF145" s="40"/>
      <c r="DG145" s="40"/>
      <c r="DH145" s="40"/>
      <c r="DI145" s="40"/>
      <c r="DJ145" s="40"/>
      <c r="DK145" s="40"/>
      <c r="DL145" s="40"/>
      <c r="DM145" s="40"/>
      <c r="DN145" s="40"/>
      <c r="DO145" s="40"/>
      <c r="DP145" s="40"/>
      <c r="DQ145" s="40"/>
      <c r="DR145" s="40"/>
      <c r="DS145" s="40"/>
      <c r="DT145" s="40"/>
      <c r="DU145" s="40"/>
      <c r="DV145" s="40"/>
      <c r="DW145" s="40"/>
      <c r="DX145" s="40"/>
      <c r="DY145" s="40"/>
      <c r="DZ145" s="40"/>
      <c r="EA145" s="40"/>
      <c r="EB145" s="40"/>
      <c r="EC145" s="40"/>
      <c r="ED145" s="40"/>
      <c r="EE145" s="40"/>
      <c r="EF145" s="40"/>
      <c r="EG145" s="40"/>
      <c r="EH145" s="40"/>
      <c r="EI145" s="40"/>
      <c r="EJ145" s="40"/>
      <c r="EK145" s="40"/>
      <c r="EL145" s="40"/>
      <c r="EM145" s="40"/>
      <c r="EN145" s="40"/>
      <c r="EO145" s="40"/>
      <c r="EP145" s="40"/>
      <c r="EQ145" s="40"/>
      <c r="ER145" s="40"/>
      <c r="ES145" s="40"/>
      <c r="ET145" s="40"/>
      <c r="EU145" s="40"/>
      <c r="EV145" s="40"/>
      <c r="EW145" s="40"/>
      <c r="EX145" s="40"/>
      <c r="EY145" s="40"/>
      <c r="EZ145" s="40"/>
      <c r="FA145" s="40"/>
      <c r="FB145" s="40"/>
      <c r="FC145" s="40"/>
      <c r="FD145" s="40"/>
      <c r="FE145" s="40"/>
      <c r="FF145" s="40"/>
      <c r="FG145" s="40"/>
      <c r="FH145" s="40"/>
      <c r="FI145" s="40"/>
      <c r="FJ145" s="40"/>
      <c r="FK145" s="40"/>
      <c r="FL145" s="40"/>
      <c r="FM145" s="40"/>
      <c r="FN145" s="40"/>
      <c r="FO145" s="40"/>
      <c r="FP145" s="40"/>
      <c r="FQ145" s="40"/>
      <c r="FR145" s="40"/>
      <c r="FS145" s="40"/>
      <c r="FT145" s="40"/>
      <c r="FU145" s="40"/>
      <c r="FV145" s="40"/>
      <c r="FW145" s="40"/>
      <c r="FX145" s="40"/>
      <c r="FY145" s="40"/>
      <c r="FZ145" s="40"/>
      <c r="GA145" s="40"/>
      <c r="GB145" s="40"/>
      <c r="GC145" s="40"/>
      <c r="GD145" s="40"/>
      <c r="GE145" s="40"/>
      <c r="GF145" s="40"/>
      <c r="GG145" s="40"/>
      <c r="GH145" s="40"/>
      <c r="GI145" s="40"/>
      <c r="GJ145" s="40"/>
      <c r="GK145" s="40"/>
      <c r="GL145" s="40"/>
      <c r="GM145" s="40"/>
      <c r="GN145" s="40"/>
      <c r="GO145" s="40"/>
      <c r="GP145" s="40"/>
      <c r="GQ145" s="40"/>
      <c r="GR145" s="40"/>
      <c r="GS145" s="40"/>
      <c r="GT145" s="40"/>
      <c r="GU145" s="40"/>
      <c r="GV145" s="40"/>
      <c r="GW145" s="40"/>
      <c r="GX145" s="40"/>
      <c r="GY145" s="40"/>
      <c r="GZ145" s="40"/>
      <c r="HA145" s="40"/>
      <c r="HB145" s="40"/>
      <c r="HC145" s="40"/>
      <c r="HD145" s="40"/>
      <c r="HE145" s="40"/>
      <c r="HF145" s="40"/>
      <c r="HG145" s="40"/>
      <c r="HH145" s="40"/>
      <c r="HI145" s="40"/>
      <c r="HJ145" s="40"/>
      <c r="HK145" s="40"/>
      <c r="HL145" s="40"/>
      <c r="HM145" s="40"/>
      <c r="HN145" s="40"/>
      <c r="HO145" s="40"/>
      <c r="HP145" s="40"/>
      <c r="HQ145" s="40"/>
      <c r="HR145" s="40"/>
      <c r="HS145" s="40"/>
      <c r="HT145" s="40"/>
      <c r="HU145" s="40"/>
    </row>
    <row r="146" spans="1:229" s="41" customFormat="1" ht="28.8" customHeight="1">
      <c r="A146" s="124" t="s">
        <v>2105</v>
      </c>
      <c r="B146" s="80" t="s">
        <v>1296</v>
      </c>
      <c r="C146" s="80" t="s">
        <v>1247</v>
      </c>
      <c r="D146" s="80" t="s">
        <v>1245</v>
      </c>
      <c r="E146" s="80" t="s">
        <v>1246</v>
      </c>
      <c r="F146" s="80" t="s">
        <v>1248</v>
      </c>
      <c r="G146" s="135" t="s">
        <v>2106</v>
      </c>
      <c r="H146" s="81">
        <v>0.3</v>
      </c>
      <c r="I146" s="81"/>
      <c r="J146" s="79"/>
      <c r="K146" s="81"/>
      <c r="L146" s="79"/>
      <c r="M146" s="82" t="s">
        <v>1432</v>
      </c>
      <c r="N146" s="82" t="s">
        <v>294</v>
      </c>
      <c r="O146" s="82" t="s">
        <v>316</v>
      </c>
      <c r="P146" s="142">
        <v>0.2</v>
      </c>
      <c r="Q146" s="40">
        <f>SUMIF(Data_P!A:A,CONCATENATE(A146,"_",R$1),Data_P!J:J)</f>
        <v>0</v>
      </c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  <c r="BA146" s="40"/>
      <c r="BB146" s="40"/>
      <c r="BC146" s="40"/>
      <c r="BD146" s="40"/>
      <c r="BE146" s="40"/>
      <c r="BF146" s="40"/>
      <c r="BG146" s="40"/>
      <c r="BH146" s="40"/>
      <c r="BI146" s="40"/>
      <c r="BJ146" s="40"/>
      <c r="BK146" s="40"/>
      <c r="BL146" s="40"/>
      <c r="BM146" s="40"/>
      <c r="BN146" s="40"/>
      <c r="BO146" s="40"/>
      <c r="BP146" s="40"/>
      <c r="BQ146" s="40"/>
      <c r="BR146" s="40"/>
      <c r="BS146" s="40"/>
      <c r="BT146" s="40"/>
      <c r="BU146" s="40"/>
      <c r="BV146" s="40"/>
      <c r="BW146" s="40"/>
      <c r="BX146" s="40"/>
      <c r="BY146" s="40"/>
      <c r="BZ146" s="40"/>
      <c r="CA146" s="40"/>
      <c r="CB146" s="40"/>
      <c r="CC146" s="40"/>
      <c r="CD146" s="40"/>
      <c r="CE146" s="40"/>
      <c r="CF146" s="40"/>
      <c r="CG146" s="40"/>
      <c r="CH146" s="40"/>
      <c r="CI146" s="40"/>
      <c r="CJ146" s="40"/>
      <c r="CK146" s="40"/>
      <c r="CL146" s="40"/>
      <c r="CM146" s="40"/>
      <c r="CN146" s="40"/>
      <c r="CO146" s="40"/>
      <c r="CP146" s="40"/>
      <c r="CQ146" s="40"/>
      <c r="CR146" s="40"/>
      <c r="CS146" s="40"/>
      <c r="CT146" s="40"/>
      <c r="CU146" s="40"/>
      <c r="CV146" s="40"/>
      <c r="CW146" s="40"/>
      <c r="CX146" s="40"/>
      <c r="CY146" s="40"/>
      <c r="CZ146" s="40"/>
      <c r="DA146" s="40"/>
      <c r="DB146" s="40"/>
      <c r="DC146" s="40"/>
      <c r="DD146" s="40"/>
      <c r="DE146" s="40"/>
      <c r="DF146" s="40"/>
      <c r="DG146" s="40"/>
      <c r="DH146" s="40"/>
      <c r="DI146" s="40"/>
      <c r="DJ146" s="40"/>
      <c r="DK146" s="40"/>
      <c r="DL146" s="40"/>
      <c r="DM146" s="40"/>
      <c r="DN146" s="40"/>
      <c r="DO146" s="40"/>
      <c r="DP146" s="40"/>
      <c r="DQ146" s="40"/>
      <c r="DR146" s="40"/>
      <c r="DS146" s="40"/>
      <c r="DT146" s="40"/>
      <c r="DU146" s="40"/>
      <c r="DV146" s="40"/>
      <c r="DW146" s="40"/>
      <c r="DX146" s="40"/>
      <c r="DY146" s="40"/>
      <c r="DZ146" s="40"/>
      <c r="EA146" s="40"/>
      <c r="EB146" s="40"/>
      <c r="EC146" s="40"/>
      <c r="ED146" s="40"/>
      <c r="EE146" s="40"/>
      <c r="EF146" s="40"/>
      <c r="EG146" s="40"/>
      <c r="EH146" s="40"/>
      <c r="EI146" s="40"/>
      <c r="EJ146" s="40"/>
      <c r="EK146" s="40"/>
      <c r="EL146" s="40"/>
      <c r="EM146" s="40"/>
      <c r="EN146" s="40"/>
      <c r="EO146" s="40"/>
      <c r="EP146" s="40"/>
      <c r="EQ146" s="40"/>
      <c r="ER146" s="40"/>
      <c r="ES146" s="40"/>
      <c r="ET146" s="40"/>
      <c r="EU146" s="40"/>
      <c r="EV146" s="40"/>
      <c r="EW146" s="40"/>
      <c r="EX146" s="40"/>
      <c r="EY146" s="40"/>
      <c r="EZ146" s="40"/>
      <c r="FA146" s="40"/>
      <c r="FB146" s="40"/>
      <c r="FC146" s="40"/>
      <c r="FD146" s="40"/>
      <c r="FE146" s="40"/>
      <c r="FF146" s="40"/>
      <c r="FG146" s="40"/>
      <c r="FH146" s="40"/>
      <c r="FI146" s="40"/>
      <c r="FJ146" s="40"/>
      <c r="FK146" s="40"/>
      <c r="FL146" s="40"/>
      <c r="FM146" s="40"/>
      <c r="FN146" s="40"/>
      <c r="FO146" s="40"/>
      <c r="FP146" s="40"/>
      <c r="FQ146" s="40"/>
      <c r="FR146" s="40"/>
      <c r="FS146" s="40"/>
      <c r="FT146" s="40"/>
      <c r="FU146" s="40"/>
      <c r="FV146" s="40"/>
      <c r="FW146" s="40"/>
      <c r="FX146" s="40"/>
      <c r="FY146" s="40"/>
      <c r="FZ146" s="40"/>
      <c r="GA146" s="40"/>
      <c r="GB146" s="40"/>
      <c r="GC146" s="40"/>
      <c r="GD146" s="40"/>
      <c r="GE146" s="40"/>
      <c r="GF146" s="40"/>
      <c r="GG146" s="40"/>
      <c r="GH146" s="40"/>
      <c r="GI146" s="40"/>
      <c r="GJ146" s="40"/>
      <c r="GK146" s="40"/>
      <c r="GL146" s="40"/>
      <c r="GM146" s="40"/>
      <c r="GN146" s="40"/>
      <c r="GO146" s="40"/>
      <c r="GP146" s="40"/>
      <c r="GQ146" s="40"/>
      <c r="GR146" s="40"/>
      <c r="GS146" s="40"/>
      <c r="GT146" s="40"/>
      <c r="GU146" s="40"/>
      <c r="GV146" s="40"/>
      <c r="GW146" s="40"/>
      <c r="GX146" s="40"/>
      <c r="GY146" s="40"/>
      <c r="GZ146" s="40"/>
      <c r="HA146" s="40"/>
      <c r="HB146" s="40"/>
      <c r="HC146" s="40"/>
      <c r="HD146" s="40"/>
      <c r="HE146" s="40"/>
      <c r="HF146" s="40"/>
      <c r="HG146" s="40"/>
      <c r="HH146" s="40"/>
      <c r="HI146" s="40"/>
      <c r="HJ146" s="40"/>
      <c r="HK146" s="40"/>
      <c r="HL146" s="40"/>
      <c r="HM146" s="40"/>
      <c r="HN146" s="40"/>
      <c r="HO146" s="40"/>
      <c r="HP146" s="40"/>
      <c r="HQ146" s="40"/>
      <c r="HR146" s="40"/>
      <c r="HS146" s="40"/>
      <c r="HT146" s="40"/>
      <c r="HU146" s="40"/>
    </row>
    <row r="147" spans="1:229" s="41" customFormat="1" ht="28.8" customHeight="1">
      <c r="A147" s="124" t="s">
        <v>1683</v>
      </c>
      <c r="B147" s="80" t="s">
        <v>619</v>
      </c>
      <c r="C147" s="80" t="s">
        <v>624</v>
      </c>
      <c r="D147" s="80" t="s">
        <v>620</v>
      </c>
      <c r="E147" s="80" t="s">
        <v>621</v>
      </c>
      <c r="F147" s="80" t="s">
        <v>622</v>
      </c>
      <c r="G147" s="135" t="s">
        <v>623</v>
      </c>
      <c r="H147" s="81">
        <v>0.2</v>
      </c>
      <c r="I147" s="81"/>
      <c r="J147" s="79"/>
      <c r="K147" s="81"/>
      <c r="L147" s="79"/>
      <c r="M147" s="82" t="s">
        <v>881</v>
      </c>
      <c r="N147" s="82" t="s">
        <v>294</v>
      </c>
      <c r="O147" s="82" t="s">
        <v>317</v>
      </c>
      <c r="P147" s="142">
        <v>0.2</v>
      </c>
      <c r="Q147" s="40">
        <f>SUMIF(Data_P!A:A,CONCATENATE(A147,"_",R$1),Data_P!J:J)</f>
        <v>2279.6799999999998</v>
      </c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  <c r="BA147" s="40"/>
      <c r="BB147" s="40"/>
      <c r="BC147" s="40"/>
      <c r="BD147" s="40"/>
      <c r="BE147" s="40"/>
      <c r="BF147" s="40"/>
      <c r="BG147" s="40"/>
      <c r="BH147" s="40"/>
      <c r="BI147" s="40"/>
      <c r="BJ147" s="40"/>
      <c r="BK147" s="40"/>
      <c r="BL147" s="40"/>
      <c r="BM147" s="40"/>
      <c r="BN147" s="40"/>
      <c r="BO147" s="40"/>
      <c r="BP147" s="40"/>
      <c r="BQ147" s="40"/>
      <c r="BR147" s="40"/>
      <c r="BS147" s="40"/>
      <c r="BT147" s="40"/>
      <c r="BU147" s="40"/>
      <c r="BV147" s="40"/>
      <c r="BW147" s="40"/>
      <c r="BX147" s="40"/>
      <c r="BY147" s="40"/>
      <c r="BZ147" s="40"/>
      <c r="CA147" s="40"/>
      <c r="CB147" s="40"/>
      <c r="CC147" s="40"/>
      <c r="CD147" s="40"/>
      <c r="CE147" s="40"/>
      <c r="CF147" s="40"/>
      <c r="CG147" s="40"/>
      <c r="CH147" s="40"/>
      <c r="CI147" s="40"/>
      <c r="CJ147" s="40"/>
      <c r="CK147" s="40"/>
      <c r="CL147" s="40"/>
      <c r="CM147" s="40"/>
      <c r="CN147" s="40"/>
      <c r="CO147" s="40"/>
      <c r="CP147" s="40"/>
      <c r="CQ147" s="40"/>
      <c r="CR147" s="40"/>
      <c r="CS147" s="40"/>
      <c r="CT147" s="40"/>
      <c r="CU147" s="40"/>
      <c r="CV147" s="40"/>
      <c r="CW147" s="40"/>
      <c r="CX147" s="40"/>
      <c r="CY147" s="40"/>
      <c r="CZ147" s="40"/>
      <c r="DA147" s="40"/>
      <c r="DB147" s="40"/>
      <c r="DC147" s="40"/>
      <c r="DD147" s="40"/>
      <c r="DE147" s="40"/>
      <c r="DF147" s="40"/>
      <c r="DG147" s="40"/>
      <c r="DH147" s="40"/>
      <c r="DI147" s="40"/>
      <c r="DJ147" s="40"/>
      <c r="DK147" s="40"/>
      <c r="DL147" s="40"/>
      <c r="DM147" s="40"/>
      <c r="DN147" s="40"/>
      <c r="DO147" s="40"/>
      <c r="DP147" s="40"/>
      <c r="DQ147" s="40"/>
      <c r="DR147" s="40"/>
      <c r="DS147" s="40"/>
      <c r="DT147" s="40"/>
      <c r="DU147" s="40"/>
      <c r="DV147" s="40"/>
      <c r="DW147" s="40"/>
      <c r="DX147" s="40"/>
      <c r="DY147" s="40"/>
      <c r="DZ147" s="40"/>
      <c r="EA147" s="40"/>
      <c r="EB147" s="40"/>
      <c r="EC147" s="40"/>
      <c r="ED147" s="40"/>
      <c r="EE147" s="40"/>
      <c r="EF147" s="40"/>
      <c r="EG147" s="40"/>
      <c r="EH147" s="40"/>
      <c r="EI147" s="40"/>
      <c r="EJ147" s="40"/>
      <c r="EK147" s="40"/>
      <c r="EL147" s="40"/>
      <c r="EM147" s="40"/>
      <c r="EN147" s="40"/>
      <c r="EO147" s="40"/>
      <c r="EP147" s="40"/>
      <c r="EQ147" s="40"/>
      <c r="ER147" s="40"/>
      <c r="ES147" s="40"/>
      <c r="ET147" s="40"/>
      <c r="EU147" s="40"/>
      <c r="EV147" s="40"/>
      <c r="EW147" s="40"/>
      <c r="EX147" s="40"/>
      <c r="EY147" s="40"/>
      <c r="EZ147" s="40"/>
      <c r="FA147" s="40"/>
      <c r="FB147" s="40"/>
      <c r="FC147" s="40"/>
      <c r="FD147" s="40"/>
      <c r="FE147" s="40"/>
      <c r="FF147" s="40"/>
      <c r="FG147" s="40"/>
      <c r="FH147" s="40"/>
      <c r="FI147" s="40"/>
      <c r="FJ147" s="40"/>
      <c r="FK147" s="40"/>
      <c r="FL147" s="40"/>
      <c r="FM147" s="40"/>
      <c r="FN147" s="40"/>
      <c r="FO147" s="40"/>
      <c r="FP147" s="40"/>
      <c r="FQ147" s="40"/>
      <c r="FR147" s="40"/>
      <c r="FS147" s="40"/>
      <c r="FT147" s="40"/>
      <c r="FU147" s="40"/>
      <c r="FV147" s="40"/>
      <c r="FW147" s="40"/>
      <c r="FX147" s="40"/>
      <c r="FY147" s="40"/>
      <c r="FZ147" s="40"/>
      <c r="GA147" s="40"/>
      <c r="GB147" s="40"/>
      <c r="GC147" s="40"/>
      <c r="GD147" s="40"/>
      <c r="GE147" s="40"/>
      <c r="GF147" s="40"/>
      <c r="GG147" s="40"/>
      <c r="GH147" s="40"/>
      <c r="GI147" s="40"/>
      <c r="GJ147" s="40"/>
      <c r="GK147" s="40"/>
      <c r="GL147" s="40"/>
      <c r="GM147" s="40"/>
      <c r="GN147" s="40"/>
      <c r="GO147" s="40"/>
      <c r="GP147" s="40"/>
      <c r="GQ147" s="40"/>
      <c r="GR147" s="40"/>
      <c r="GS147" s="40"/>
      <c r="GT147" s="40"/>
      <c r="GU147" s="40"/>
      <c r="GV147" s="40"/>
      <c r="GW147" s="40"/>
      <c r="GX147" s="40"/>
      <c r="GY147" s="40"/>
      <c r="GZ147" s="40"/>
      <c r="HA147" s="40"/>
      <c r="HB147" s="40"/>
      <c r="HC147" s="40"/>
      <c r="HD147" s="40"/>
      <c r="HE147" s="40"/>
      <c r="HF147" s="40"/>
      <c r="HG147" s="40"/>
      <c r="HH147" s="40"/>
      <c r="HI147" s="40"/>
      <c r="HJ147" s="40"/>
      <c r="HK147" s="40"/>
      <c r="HL147" s="40"/>
      <c r="HM147" s="40"/>
      <c r="HN147" s="40"/>
      <c r="HO147" s="40"/>
      <c r="HP147" s="40"/>
      <c r="HQ147" s="40"/>
      <c r="HR147" s="40"/>
      <c r="HS147" s="40"/>
      <c r="HT147" s="40"/>
      <c r="HU147" s="40"/>
    </row>
    <row r="148" spans="1:229" s="41" customFormat="1" ht="28.8" customHeight="1">
      <c r="A148" s="124" t="s">
        <v>1275</v>
      </c>
      <c r="B148" s="80" t="s">
        <v>864</v>
      </c>
      <c r="C148" s="80"/>
      <c r="D148" s="80" t="s">
        <v>865</v>
      </c>
      <c r="E148" s="80" t="s">
        <v>866</v>
      </c>
      <c r="F148" s="80" t="s">
        <v>867</v>
      </c>
      <c r="G148" s="135" t="s">
        <v>868</v>
      </c>
      <c r="H148" s="81">
        <v>0.4</v>
      </c>
      <c r="I148" s="81">
        <v>-0.1</v>
      </c>
      <c r="J148" s="79" t="s">
        <v>399</v>
      </c>
      <c r="K148" s="81"/>
      <c r="L148" s="79"/>
      <c r="M148" s="82" t="s">
        <v>1433</v>
      </c>
      <c r="N148" s="82"/>
      <c r="O148" s="82" t="s">
        <v>316</v>
      </c>
      <c r="P148" s="142">
        <v>0.2</v>
      </c>
      <c r="Q148" s="40">
        <f>SUMIF(Data_P!A:A,CONCATENATE(A148,"_",R$1),Data_P!J:J)</f>
        <v>788.85</v>
      </c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  <c r="BA148" s="40"/>
      <c r="BB148" s="40"/>
      <c r="BC148" s="40"/>
      <c r="BD148" s="40"/>
      <c r="BE148" s="40"/>
      <c r="BF148" s="40"/>
      <c r="BG148" s="40"/>
      <c r="BH148" s="40"/>
      <c r="BI148" s="40"/>
      <c r="BJ148" s="40"/>
      <c r="BK148" s="40"/>
      <c r="BL148" s="40"/>
      <c r="BM148" s="40"/>
      <c r="BN148" s="40"/>
      <c r="BO148" s="40"/>
      <c r="BP148" s="40"/>
      <c r="BQ148" s="40"/>
      <c r="BR148" s="40"/>
      <c r="BS148" s="40"/>
      <c r="BT148" s="40"/>
      <c r="BU148" s="40"/>
      <c r="BV148" s="40"/>
      <c r="BW148" s="40"/>
      <c r="BX148" s="40"/>
      <c r="BY148" s="40"/>
      <c r="BZ148" s="40"/>
      <c r="CA148" s="40"/>
      <c r="CB148" s="40"/>
      <c r="CC148" s="40"/>
      <c r="CD148" s="40"/>
      <c r="CE148" s="40"/>
      <c r="CF148" s="40"/>
      <c r="CG148" s="40"/>
      <c r="CH148" s="40"/>
      <c r="CI148" s="40"/>
      <c r="CJ148" s="40"/>
      <c r="CK148" s="40"/>
      <c r="CL148" s="40"/>
      <c r="CM148" s="40"/>
      <c r="CN148" s="40"/>
      <c r="CO148" s="40"/>
      <c r="CP148" s="40"/>
      <c r="CQ148" s="40"/>
      <c r="CR148" s="40"/>
      <c r="CS148" s="40"/>
      <c r="CT148" s="40"/>
      <c r="CU148" s="40"/>
      <c r="CV148" s="40"/>
      <c r="CW148" s="40"/>
      <c r="CX148" s="40"/>
      <c r="CY148" s="40"/>
      <c r="CZ148" s="40"/>
      <c r="DA148" s="40"/>
      <c r="DB148" s="40"/>
      <c r="DC148" s="40"/>
      <c r="DD148" s="40"/>
      <c r="DE148" s="40"/>
      <c r="DF148" s="40"/>
      <c r="DG148" s="40"/>
      <c r="DH148" s="40"/>
      <c r="DI148" s="40"/>
      <c r="DJ148" s="40"/>
      <c r="DK148" s="40"/>
      <c r="DL148" s="40"/>
      <c r="DM148" s="40"/>
      <c r="DN148" s="40"/>
      <c r="DO148" s="40"/>
      <c r="DP148" s="40"/>
      <c r="DQ148" s="40"/>
      <c r="DR148" s="40"/>
      <c r="DS148" s="40"/>
      <c r="DT148" s="40"/>
      <c r="DU148" s="40"/>
      <c r="DV148" s="40"/>
      <c r="DW148" s="40"/>
      <c r="DX148" s="40"/>
      <c r="DY148" s="40"/>
      <c r="DZ148" s="40"/>
      <c r="EA148" s="40"/>
      <c r="EB148" s="40"/>
      <c r="EC148" s="40"/>
      <c r="ED148" s="40"/>
      <c r="EE148" s="40"/>
      <c r="EF148" s="40"/>
      <c r="EG148" s="40"/>
      <c r="EH148" s="40"/>
      <c r="EI148" s="40"/>
      <c r="EJ148" s="40"/>
      <c r="EK148" s="40"/>
      <c r="EL148" s="40"/>
      <c r="EM148" s="40"/>
      <c r="EN148" s="40"/>
      <c r="EO148" s="40"/>
      <c r="EP148" s="40"/>
      <c r="EQ148" s="40"/>
      <c r="ER148" s="40"/>
      <c r="ES148" s="40"/>
      <c r="ET148" s="40"/>
      <c r="EU148" s="40"/>
      <c r="EV148" s="40"/>
      <c r="EW148" s="40"/>
      <c r="EX148" s="40"/>
      <c r="EY148" s="40"/>
      <c r="EZ148" s="40"/>
      <c r="FA148" s="40"/>
      <c r="FB148" s="40"/>
      <c r="FC148" s="40"/>
      <c r="FD148" s="40"/>
      <c r="FE148" s="40"/>
      <c r="FF148" s="40"/>
      <c r="FG148" s="40"/>
      <c r="FH148" s="40"/>
      <c r="FI148" s="40"/>
      <c r="FJ148" s="40"/>
      <c r="FK148" s="40"/>
      <c r="FL148" s="40"/>
      <c r="FM148" s="40"/>
      <c r="FN148" s="40"/>
      <c r="FO148" s="40"/>
      <c r="FP148" s="40"/>
      <c r="FQ148" s="40"/>
      <c r="FR148" s="40"/>
      <c r="FS148" s="40"/>
      <c r="FT148" s="40"/>
      <c r="FU148" s="40"/>
      <c r="FV148" s="40"/>
      <c r="FW148" s="40"/>
      <c r="FX148" s="40"/>
      <c r="FY148" s="40"/>
      <c r="FZ148" s="40"/>
      <c r="GA148" s="40"/>
      <c r="GB148" s="40"/>
      <c r="GC148" s="40"/>
      <c r="GD148" s="40"/>
      <c r="GE148" s="40"/>
      <c r="GF148" s="40"/>
      <c r="GG148" s="40"/>
      <c r="GH148" s="40"/>
      <c r="GI148" s="40"/>
      <c r="GJ148" s="40"/>
      <c r="GK148" s="40"/>
      <c r="GL148" s="40"/>
      <c r="GM148" s="40"/>
      <c r="GN148" s="40"/>
      <c r="GO148" s="40"/>
      <c r="GP148" s="40"/>
      <c r="GQ148" s="40"/>
      <c r="GR148" s="40"/>
      <c r="GS148" s="40"/>
      <c r="GT148" s="40"/>
      <c r="GU148" s="40"/>
      <c r="GV148" s="40"/>
      <c r="GW148" s="40"/>
      <c r="GX148" s="40"/>
      <c r="GY148" s="40"/>
      <c r="GZ148" s="40"/>
      <c r="HA148" s="40"/>
      <c r="HB148" s="40"/>
      <c r="HC148" s="40"/>
      <c r="HD148" s="40"/>
      <c r="HE148" s="40"/>
      <c r="HF148" s="40"/>
      <c r="HG148" s="40"/>
      <c r="HH148" s="40"/>
      <c r="HI148" s="40"/>
      <c r="HJ148" s="40"/>
      <c r="HK148" s="40"/>
      <c r="HL148" s="40"/>
      <c r="HM148" s="40"/>
      <c r="HN148" s="40"/>
      <c r="HO148" s="40"/>
      <c r="HP148" s="40"/>
      <c r="HQ148" s="40"/>
      <c r="HR148" s="40"/>
      <c r="HS148" s="40"/>
      <c r="HT148" s="40"/>
      <c r="HU148" s="40"/>
    </row>
    <row r="149" spans="1:229" s="41" customFormat="1" ht="28.8" customHeight="1">
      <c r="A149" s="124" t="s">
        <v>401</v>
      </c>
      <c r="B149" s="80" t="s">
        <v>390</v>
      </c>
      <c r="C149" s="80"/>
      <c r="D149" s="80" t="s">
        <v>391</v>
      </c>
      <c r="E149" s="80" t="s">
        <v>392</v>
      </c>
      <c r="F149" s="80" t="s">
        <v>393</v>
      </c>
      <c r="G149" s="135" t="s">
        <v>394</v>
      </c>
      <c r="H149" s="81">
        <v>0.4</v>
      </c>
      <c r="I149" s="81">
        <v>-0.05</v>
      </c>
      <c r="J149" s="79" t="s">
        <v>399</v>
      </c>
      <c r="K149" s="81"/>
      <c r="L149" s="79"/>
      <c r="M149" s="82" t="s">
        <v>428</v>
      </c>
      <c r="N149" s="82" t="s">
        <v>429</v>
      </c>
      <c r="O149" s="82" t="s">
        <v>317</v>
      </c>
      <c r="P149" s="142">
        <v>0.2</v>
      </c>
      <c r="Q149" s="40">
        <f>SUMIF(Data_P!A:A,CONCATENATE(A149,"_",R$1),Data_P!J:J)</f>
        <v>2565.14</v>
      </c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  <c r="BA149" s="40"/>
      <c r="BB149" s="40"/>
      <c r="BC149" s="40"/>
      <c r="BD149" s="40"/>
      <c r="BE149" s="40"/>
      <c r="BF149" s="40"/>
      <c r="BG149" s="40"/>
      <c r="BH149" s="40"/>
      <c r="BI149" s="40"/>
      <c r="BJ149" s="40"/>
      <c r="BK149" s="40"/>
      <c r="BL149" s="40"/>
      <c r="BM149" s="40"/>
      <c r="BN149" s="40"/>
      <c r="BO149" s="40"/>
      <c r="BP149" s="40"/>
      <c r="BQ149" s="40"/>
      <c r="BR149" s="40"/>
      <c r="BS149" s="40"/>
      <c r="BT149" s="40"/>
      <c r="BU149" s="40"/>
      <c r="BV149" s="40"/>
      <c r="BW149" s="40"/>
      <c r="BX149" s="40"/>
      <c r="BY149" s="40"/>
      <c r="BZ149" s="40"/>
      <c r="CA149" s="40"/>
      <c r="CB149" s="40"/>
      <c r="CC149" s="40"/>
      <c r="CD149" s="40"/>
      <c r="CE149" s="40"/>
      <c r="CF149" s="40"/>
      <c r="CG149" s="40"/>
      <c r="CH149" s="40"/>
      <c r="CI149" s="40"/>
      <c r="CJ149" s="40"/>
      <c r="CK149" s="40"/>
      <c r="CL149" s="40"/>
      <c r="CM149" s="40"/>
      <c r="CN149" s="40"/>
      <c r="CO149" s="40"/>
      <c r="CP149" s="40"/>
      <c r="CQ149" s="40"/>
      <c r="CR149" s="40"/>
      <c r="CS149" s="40"/>
      <c r="CT149" s="40"/>
      <c r="CU149" s="40"/>
      <c r="CV149" s="40"/>
      <c r="CW149" s="40"/>
      <c r="CX149" s="40"/>
      <c r="CY149" s="40"/>
      <c r="CZ149" s="40"/>
      <c r="DA149" s="40"/>
      <c r="DB149" s="40"/>
      <c r="DC149" s="40"/>
      <c r="DD149" s="40"/>
      <c r="DE149" s="40"/>
      <c r="DF149" s="40"/>
      <c r="DG149" s="40"/>
      <c r="DH149" s="40"/>
      <c r="DI149" s="40"/>
      <c r="DJ149" s="40"/>
      <c r="DK149" s="40"/>
      <c r="DL149" s="40"/>
      <c r="DM149" s="40"/>
      <c r="DN149" s="40"/>
      <c r="DO149" s="40"/>
      <c r="DP149" s="40"/>
      <c r="DQ149" s="40"/>
      <c r="DR149" s="40"/>
      <c r="DS149" s="40"/>
      <c r="DT149" s="40"/>
      <c r="DU149" s="40"/>
      <c r="DV149" s="40"/>
      <c r="DW149" s="40"/>
      <c r="DX149" s="40"/>
      <c r="DY149" s="40"/>
      <c r="DZ149" s="40"/>
      <c r="EA149" s="40"/>
      <c r="EB149" s="40"/>
      <c r="EC149" s="40"/>
      <c r="ED149" s="40"/>
      <c r="EE149" s="40"/>
      <c r="EF149" s="40"/>
      <c r="EG149" s="40"/>
      <c r="EH149" s="40"/>
      <c r="EI149" s="40"/>
      <c r="EJ149" s="40"/>
      <c r="EK149" s="40"/>
      <c r="EL149" s="40"/>
      <c r="EM149" s="40"/>
      <c r="EN149" s="40"/>
      <c r="EO149" s="40"/>
      <c r="EP149" s="40"/>
      <c r="EQ149" s="40"/>
      <c r="ER149" s="40"/>
      <c r="ES149" s="40"/>
      <c r="ET149" s="40"/>
      <c r="EU149" s="40"/>
      <c r="EV149" s="40"/>
      <c r="EW149" s="40"/>
      <c r="EX149" s="40"/>
      <c r="EY149" s="40"/>
      <c r="EZ149" s="40"/>
      <c r="FA149" s="40"/>
      <c r="FB149" s="40"/>
      <c r="FC149" s="40"/>
      <c r="FD149" s="40"/>
      <c r="FE149" s="40"/>
      <c r="FF149" s="40"/>
      <c r="FG149" s="40"/>
      <c r="FH149" s="40"/>
      <c r="FI149" s="40"/>
      <c r="FJ149" s="40"/>
      <c r="FK149" s="40"/>
      <c r="FL149" s="40"/>
      <c r="FM149" s="40"/>
      <c r="FN149" s="40"/>
      <c r="FO149" s="40"/>
      <c r="FP149" s="40"/>
      <c r="FQ149" s="40"/>
      <c r="FR149" s="40"/>
      <c r="FS149" s="40"/>
      <c r="FT149" s="40"/>
      <c r="FU149" s="40"/>
      <c r="FV149" s="40"/>
      <c r="FW149" s="40"/>
      <c r="FX149" s="40"/>
      <c r="FY149" s="40"/>
      <c r="FZ149" s="40"/>
      <c r="GA149" s="40"/>
      <c r="GB149" s="40"/>
      <c r="GC149" s="40"/>
      <c r="GD149" s="40"/>
      <c r="GE149" s="40"/>
      <c r="GF149" s="40"/>
      <c r="GG149" s="40"/>
      <c r="GH149" s="40"/>
      <c r="GI149" s="40"/>
      <c r="GJ149" s="40"/>
      <c r="GK149" s="40"/>
      <c r="GL149" s="40"/>
      <c r="GM149" s="40"/>
      <c r="GN149" s="40"/>
      <c r="GO149" s="40"/>
      <c r="GP149" s="40"/>
      <c r="GQ149" s="40"/>
      <c r="GR149" s="40"/>
      <c r="GS149" s="40"/>
      <c r="GT149" s="40"/>
      <c r="GU149" s="40"/>
      <c r="GV149" s="40"/>
      <c r="GW149" s="40"/>
      <c r="GX149" s="40"/>
      <c r="GY149" s="40"/>
      <c r="GZ149" s="40"/>
      <c r="HA149" s="40"/>
      <c r="HB149" s="40"/>
      <c r="HC149" s="40"/>
      <c r="HD149" s="40"/>
      <c r="HE149" s="40"/>
      <c r="HF149" s="40"/>
      <c r="HG149" s="40"/>
      <c r="HH149" s="40"/>
      <c r="HI149" s="40"/>
      <c r="HJ149" s="40"/>
      <c r="HK149" s="40"/>
      <c r="HL149" s="40"/>
      <c r="HM149" s="40"/>
      <c r="HN149" s="40"/>
      <c r="HO149" s="40"/>
      <c r="HP149" s="40"/>
      <c r="HQ149" s="40"/>
      <c r="HR149" s="40"/>
      <c r="HS149" s="40"/>
      <c r="HT149" s="40"/>
      <c r="HU149" s="40"/>
    </row>
    <row r="150" spans="1:229" s="41" customFormat="1" ht="28.8" customHeight="1">
      <c r="A150" s="124" t="s">
        <v>2304</v>
      </c>
      <c r="B150" s="80" t="s">
        <v>2333</v>
      </c>
      <c r="C150" s="80"/>
      <c r="D150" s="80" t="s">
        <v>2336</v>
      </c>
      <c r="E150" s="80" t="s">
        <v>2337</v>
      </c>
      <c r="F150" s="80" t="s">
        <v>2334</v>
      </c>
      <c r="G150" s="135" t="s">
        <v>2335</v>
      </c>
      <c r="H150" s="81" t="s">
        <v>2338</v>
      </c>
      <c r="I150" s="81"/>
      <c r="J150" s="79" t="s">
        <v>2339</v>
      </c>
      <c r="K150" s="81"/>
      <c r="L150" s="79"/>
      <c r="M150" s="82"/>
      <c r="N150" s="82"/>
      <c r="O150" s="82" t="s">
        <v>317</v>
      </c>
      <c r="P150" s="142">
        <v>0.2</v>
      </c>
      <c r="Q150" s="40">
        <f>SUMIF(Data_P!A:A,CONCATENATE(A150,"_",R$1),Data_P!J:J)</f>
        <v>60.252400999999999</v>
      </c>
      <c r="R150" s="40"/>
      <c r="S150" s="40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  <c r="BA150" s="40"/>
      <c r="BB150" s="40"/>
      <c r="BC150" s="40"/>
      <c r="BD150" s="40"/>
      <c r="BE150" s="40"/>
      <c r="BF150" s="40"/>
      <c r="BG150" s="40"/>
      <c r="BH150" s="40"/>
      <c r="BI150" s="40"/>
      <c r="BJ150" s="40"/>
      <c r="BK150" s="40"/>
      <c r="BL150" s="40"/>
      <c r="BM150" s="40"/>
      <c r="BN150" s="40"/>
      <c r="BO150" s="40"/>
      <c r="BP150" s="40"/>
      <c r="BQ150" s="40"/>
      <c r="BR150" s="40"/>
      <c r="BS150" s="40"/>
      <c r="BT150" s="40"/>
      <c r="BU150" s="40"/>
      <c r="BV150" s="40"/>
      <c r="BW150" s="40"/>
      <c r="BX150" s="40"/>
      <c r="BY150" s="40"/>
      <c r="BZ150" s="40"/>
      <c r="CA150" s="40"/>
      <c r="CB150" s="40"/>
      <c r="CC150" s="40"/>
      <c r="CD150" s="40"/>
      <c r="CE150" s="40"/>
      <c r="CF150" s="40"/>
      <c r="CG150" s="40"/>
      <c r="CH150" s="40"/>
      <c r="CI150" s="40"/>
      <c r="CJ150" s="40"/>
      <c r="CK150" s="40"/>
      <c r="CL150" s="40"/>
      <c r="CM150" s="40"/>
      <c r="CN150" s="40"/>
      <c r="CO150" s="40"/>
      <c r="CP150" s="40"/>
      <c r="CQ150" s="40"/>
      <c r="CR150" s="40"/>
      <c r="CS150" s="40"/>
      <c r="CT150" s="40"/>
      <c r="CU150" s="40"/>
      <c r="CV150" s="40"/>
      <c r="CW150" s="40"/>
      <c r="CX150" s="40"/>
      <c r="CY150" s="40"/>
      <c r="CZ150" s="40"/>
      <c r="DA150" s="40"/>
      <c r="DB150" s="40"/>
      <c r="DC150" s="40"/>
      <c r="DD150" s="40"/>
      <c r="DE150" s="40"/>
      <c r="DF150" s="40"/>
      <c r="DG150" s="40"/>
      <c r="DH150" s="40"/>
      <c r="DI150" s="40"/>
      <c r="DJ150" s="40"/>
      <c r="DK150" s="40"/>
      <c r="DL150" s="40"/>
      <c r="DM150" s="40"/>
      <c r="DN150" s="40"/>
      <c r="DO150" s="40"/>
      <c r="DP150" s="40"/>
      <c r="DQ150" s="40"/>
      <c r="DR150" s="40"/>
      <c r="DS150" s="40"/>
      <c r="DT150" s="40"/>
      <c r="DU150" s="40"/>
      <c r="DV150" s="40"/>
      <c r="DW150" s="40"/>
      <c r="DX150" s="40"/>
      <c r="DY150" s="40"/>
      <c r="DZ150" s="40"/>
      <c r="EA150" s="40"/>
      <c r="EB150" s="40"/>
      <c r="EC150" s="40"/>
      <c r="ED150" s="40"/>
      <c r="EE150" s="40"/>
      <c r="EF150" s="40"/>
      <c r="EG150" s="40"/>
      <c r="EH150" s="40"/>
      <c r="EI150" s="40"/>
      <c r="EJ150" s="40"/>
      <c r="EK150" s="40"/>
      <c r="EL150" s="40"/>
      <c r="EM150" s="40"/>
      <c r="EN150" s="40"/>
      <c r="EO150" s="40"/>
      <c r="EP150" s="40"/>
      <c r="EQ150" s="40"/>
      <c r="ER150" s="40"/>
      <c r="ES150" s="40"/>
      <c r="ET150" s="40"/>
      <c r="EU150" s="40"/>
      <c r="EV150" s="40"/>
      <c r="EW150" s="40"/>
      <c r="EX150" s="40"/>
      <c r="EY150" s="40"/>
      <c r="EZ150" s="40"/>
      <c r="FA150" s="40"/>
      <c r="FB150" s="40"/>
      <c r="FC150" s="40"/>
      <c r="FD150" s="40"/>
      <c r="FE150" s="40"/>
      <c r="FF150" s="40"/>
      <c r="FG150" s="40"/>
      <c r="FH150" s="40"/>
      <c r="FI150" s="40"/>
      <c r="FJ150" s="40"/>
      <c r="FK150" s="40"/>
      <c r="FL150" s="40"/>
      <c r="FM150" s="40"/>
      <c r="FN150" s="40"/>
      <c r="FO150" s="40"/>
      <c r="FP150" s="40"/>
      <c r="FQ150" s="40"/>
      <c r="FR150" s="40"/>
      <c r="FS150" s="40"/>
      <c r="FT150" s="40"/>
      <c r="FU150" s="40"/>
      <c r="FV150" s="40"/>
      <c r="FW150" s="40"/>
      <c r="FX150" s="40"/>
      <c r="FY150" s="40"/>
      <c r="FZ150" s="40"/>
      <c r="GA150" s="40"/>
      <c r="GB150" s="40"/>
      <c r="GC150" s="40"/>
      <c r="GD150" s="40"/>
      <c r="GE150" s="40"/>
      <c r="GF150" s="40"/>
      <c r="GG150" s="40"/>
      <c r="GH150" s="40"/>
      <c r="GI150" s="40"/>
      <c r="GJ150" s="40"/>
      <c r="GK150" s="40"/>
      <c r="GL150" s="40"/>
      <c r="GM150" s="40"/>
      <c r="GN150" s="40"/>
      <c r="GO150" s="40"/>
      <c r="GP150" s="40"/>
      <c r="GQ150" s="40"/>
      <c r="GR150" s="40"/>
      <c r="GS150" s="40"/>
      <c r="GT150" s="40"/>
      <c r="GU150" s="40"/>
      <c r="GV150" s="40"/>
      <c r="GW150" s="40"/>
      <c r="GX150" s="40"/>
      <c r="GY150" s="40"/>
      <c r="GZ150" s="40"/>
      <c r="HA150" s="40"/>
      <c r="HB150" s="40"/>
      <c r="HC150" s="40"/>
      <c r="HD150" s="40"/>
      <c r="HE150" s="40"/>
      <c r="HF150" s="40"/>
      <c r="HG150" s="40"/>
      <c r="HH150" s="40"/>
      <c r="HI150" s="40"/>
      <c r="HJ150" s="40"/>
      <c r="HK150" s="40"/>
      <c r="HL150" s="40"/>
      <c r="HM150" s="40"/>
      <c r="HN150" s="40"/>
      <c r="HO150" s="40"/>
      <c r="HP150" s="40"/>
      <c r="HQ150" s="40"/>
      <c r="HR150" s="40"/>
      <c r="HS150" s="40"/>
      <c r="HT150" s="40"/>
      <c r="HU150" s="40"/>
    </row>
    <row r="151" spans="1:229" s="41" customFormat="1" ht="28.8" customHeight="1">
      <c r="A151" s="124" t="s">
        <v>2107</v>
      </c>
      <c r="B151" s="80" t="s">
        <v>340</v>
      </c>
      <c r="C151" s="80"/>
      <c r="D151" s="80" t="s">
        <v>341</v>
      </c>
      <c r="E151" s="80" t="s">
        <v>342</v>
      </c>
      <c r="F151" s="80" t="s">
        <v>343</v>
      </c>
      <c r="G151" s="135" t="s">
        <v>344</v>
      </c>
      <c r="H151" s="81">
        <v>0.5</v>
      </c>
      <c r="I151" s="81"/>
      <c r="J151" s="79"/>
      <c r="K151" s="81"/>
      <c r="L151" s="79"/>
      <c r="M151" s="82" t="s">
        <v>430</v>
      </c>
      <c r="N151" s="82" t="s">
        <v>431</v>
      </c>
      <c r="O151" s="82" t="s">
        <v>317</v>
      </c>
      <c r="P151" s="142">
        <v>0.2</v>
      </c>
      <c r="Q151" s="40">
        <f>SUMIF(Data_P!A:A,CONCATENATE(A151,"_",R$1),Data_P!J:J)</f>
        <v>58.23</v>
      </c>
      <c r="R151" s="40"/>
      <c r="S151" s="40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  <c r="BA151" s="40"/>
      <c r="BB151" s="40"/>
      <c r="BC151" s="40"/>
      <c r="BD151" s="40"/>
      <c r="BE151" s="40"/>
      <c r="BF151" s="40"/>
      <c r="BG151" s="40"/>
      <c r="BH151" s="40"/>
      <c r="BI151" s="40"/>
      <c r="BJ151" s="40"/>
      <c r="BK151" s="40"/>
      <c r="BL151" s="40"/>
      <c r="BM151" s="40"/>
      <c r="BN151" s="40"/>
      <c r="BO151" s="40"/>
      <c r="BP151" s="40"/>
      <c r="BQ151" s="40"/>
      <c r="BR151" s="40"/>
      <c r="BS151" s="40"/>
      <c r="BT151" s="40"/>
      <c r="BU151" s="40"/>
      <c r="BV151" s="40"/>
      <c r="BW151" s="40"/>
      <c r="BX151" s="40"/>
      <c r="BY151" s="40"/>
      <c r="BZ151" s="40"/>
      <c r="CA151" s="40"/>
      <c r="CB151" s="40"/>
      <c r="CC151" s="40"/>
      <c r="CD151" s="40"/>
      <c r="CE151" s="40"/>
      <c r="CF151" s="40"/>
      <c r="CG151" s="40"/>
      <c r="CH151" s="40"/>
      <c r="CI151" s="40"/>
      <c r="CJ151" s="40"/>
      <c r="CK151" s="40"/>
      <c r="CL151" s="40"/>
      <c r="CM151" s="40"/>
      <c r="CN151" s="40"/>
      <c r="CO151" s="40"/>
      <c r="CP151" s="40"/>
      <c r="CQ151" s="40"/>
      <c r="CR151" s="40"/>
      <c r="CS151" s="40"/>
      <c r="CT151" s="40"/>
      <c r="CU151" s="40"/>
      <c r="CV151" s="40"/>
      <c r="CW151" s="40"/>
      <c r="CX151" s="40"/>
      <c r="CY151" s="40"/>
      <c r="CZ151" s="40"/>
      <c r="DA151" s="40"/>
      <c r="DB151" s="40"/>
      <c r="DC151" s="40"/>
      <c r="DD151" s="40"/>
      <c r="DE151" s="40"/>
      <c r="DF151" s="40"/>
      <c r="DG151" s="40"/>
      <c r="DH151" s="40"/>
      <c r="DI151" s="40"/>
      <c r="DJ151" s="40"/>
      <c r="DK151" s="40"/>
      <c r="DL151" s="40"/>
      <c r="DM151" s="40"/>
      <c r="DN151" s="40"/>
      <c r="DO151" s="40"/>
      <c r="DP151" s="40"/>
      <c r="DQ151" s="40"/>
      <c r="DR151" s="40"/>
      <c r="DS151" s="40"/>
      <c r="DT151" s="40"/>
      <c r="DU151" s="40"/>
      <c r="DV151" s="40"/>
      <c r="DW151" s="40"/>
      <c r="DX151" s="40"/>
      <c r="DY151" s="40"/>
      <c r="DZ151" s="40"/>
      <c r="EA151" s="40"/>
      <c r="EB151" s="40"/>
      <c r="EC151" s="40"/>
      <c r="ED151" s="40"/>
      <c r="EE151" s="40"/>
      <c r="EF151" s="40"/>
      <c r="EG151" s="40"/>
      <c r="EH151" s="40"/>
      <c r="EI151" s="40"/>
      <c r="EJ151" s="40"/>
      <c r="EK151" s="40"/>
      <c r="EL151" s="40"/>
      <c r="EM151" s="40"/>
      <c r="EN151" s="40"/>
      <c r="EO151" s="40"/>
      <c r="EP151" s="40"/>
      <c r="EQ151" s="40"/>
      <c r="ER151" s="40"/>
      <c r="ES151" s="40"/>
      <c r="ET151" s="40"/>
      <c r="EU151" s="40"/>
      <c r="EV151" s="40"/>
      <c r="EW151" s="40"/>
      <c r="EX151" s="40"/>
      <c r="EY151" s="40"/>
      <c r="EZ151" s="40"/>
      <c r="FA151" s="40"/>
      <c r="FB151" s="40"/>
      <c r="FC151" s="40"/>
      <c r="FD151" s="40"/>
      <c r="FE151" s="40"/>
      <c r="FF151" s="40"/>
      <c r="FG151" s="40"/>
      <c r="FH151" s="40"/>
      <c r="FI151" s="40"/>
      <c r="FJ151" s="40"/>
      <c r="FK151" s="40"/>
      <c r="FL151" s="40"/>
      <c r="FM151" s="40"/>
      <c r="FN151" s="40"/>
      <c r="FO151" s="40"/>
      <c r="FP151" s="40"/>
      <c r="FQ151" s="40"/>
      <c r="FR151" s="40"/>
      <c r="FS151" s="40"/>
      <c r="FT151" s="40"/>
      <c r="FU151" s="40"/>
      <c r="FV151" s="40"/>
      <c r="FW151" s="40"/>
      <c r="FX151" s="40"/>
      <c r="FY151" s="40"/>
      <c r="FZ151" s="40"/>
      <c r="GA151" s="40"/>
      <c r="GB151" s="40"/>
      <c r="GC151" s="40"/>
      <c r="GD151" s="40"/>
      <c r="GE151" s="40"/>
      <c r="GF151" s="40"/>
      <c r="GG151" s="40"/>
      <c r="GH151" s="40"/>
      <c r="GI151" s="40"/>
      <c r="GJ151" s="40"/>
      <c r="GK151" s="40"/>
      <c r="GL151" s="40"/>
      <c r="GM151" s="40"/>
      <c r="GN151" s="40"/>
      <c r="GO151" s="40"/>
      <c r="GP151" s="40"/>
      <c r="GQ151" s="40"/>
      <c r="GR151" s="40"/>
      <c r="GS151" s="40"/>
      <c r="GT151" s="40"/>
      <c r="GU151" s="40"/>
      <c r="GV151" s="40"/>
      <c r="GW151" s="40"/>
      <c r="GX151" s="40"/>
      <c r="GY151" s="40"/>
      <c r="GZ151" s="40"/>
      <c r="HA151" s="40"/>
      <c r="HB151" s="40"/>
      <c r="HC151" s="40"/>
      <c r="HD151" s="40"/>
      <c r="HE151" s="40"/>
      <c r="HF151" s="40"/>
      <c r="HG151" s="40"/>
      <c r="HH151" s="40"/>
      <c r="HI151" s="40"/>
      <c r="HJ151" s="40"/>
      <c r="HK151" s="40"/>
      <c r="HL151" s="40"/>
      <c r="HM151" s="40"/>
      <c r="HN151" s="40"/>
      <c r="HO151" s="40"/>
      <c r="HP151" s="40"/>
      <c r="HQ151" s="40"/>
      <c r="HR151" s="40"/>
      <c r="HS151" s="40"/>
      <c r="HT151" s="40"/>
      <c r="HU151" s="40"/>
    </row>
    <row r="152" spans="1:229" s="41" customFormat="1" ht="28.8" customHeight="1">
      <c r="A152" s="124" t="s">
        <v>28</v>
      </c>
      <c r="B152" s="80" t="s">
        <v>212</v>
      </c>
      <c r="C152" s="80"/>
      <c r="D152" s="80" t="s">
        <v>213</v>
      </c>
      <c r="E152" s="80" t="s">
        <v>214</v>
      </c>
      <c r="F152" s="80" t="s">
        <v>2108</v>
      </c>
      <c r="G152" s="135" t="s">
        <v>2072</v>
      </c>
      <c r="H152" s="81">
        <v>0.5</v>
      </c>
      <c r="I152" s="81"/>
      <c r="J152" s="79"/>
      <c r="K152" s="81"/>
      <c r="L152" s="79"/>
      <c r="M152" s="82" t="s">
        <v>460</v>
      </c>
      <c r="N152" s="82" t="s">
        <v>240</v>
      </c>
      <c r="O152" s="82" t="s">
        <v>316</v>
      </c>
      <c r="P152" s="142">
        <v>0.2</v>
      </c>
      <c r="Q152" s="40">
        <f>SUMIF(Data_P!A:A,CONCATENATE(A152,"_",R$1),Data_P!J:J)</f>
        <v>90.6</v>
      </c>
      <c r="R152" s="40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  <c r="BA152" s="40"/>
      <c r="BB152" s="40"/>
      <c r="BC152" s="40"/>
      <c r="BD152" s="40"/>
      <c r="BE152" s="40"/>
      <c r="BF152" s="40"/>
      <c r="BG152" s="40"/>
      <c r="BH152" s="40"/>
      <c r="BI152" s="40"/>
      <c r="BJ152" s="40"/>
      <c r="BK152" s="40"/>
      <c r="BL152" s="40"/>
      <c r="BM152" s="40"/>
      <c r="BN152" s="40"/>
      <c r="BO152" s="40"/>
      <c r="BP152" s="40"/>
      <c r="BQ152" s="40"/>
      <c r="BR152" s="40"/>
      <c r="BS152" s="40"/>
      <c r="BT152" s="40"/>
      <c r="BU152" s="40"/>
      <c r="BV152" s="40"/>
      <c r="BW152" s="40"/>
      <c r="BX152" s="40"/>
      <c r="BY152" s="40"/>
      <c r="BZ152" s="40"/>
      <c r="CA152" s="40"/>
      <c r="CB152" s="40"/>
      <c r="CC152" s="40"/>
      <c r="CD152" s="40"/>
      <c r="CE152" s="40"/>
      <c r="CF152" s="40"/>
      <c r="CG152" s="40"/>
      <c r="CH152" s="40"/>
      <c r="CI152" s="40"/>
      <c r="CJ152" s="40"/>
      <c r="CK152" s="40"/>
      <c r="CL152" s="40"/>
      <c r="CM152" s="40"/>
      <c r="CN152" s="40"/>
      <c r="CO152" s="40"/>
      <c r="CP152" s="40"/>
      <c r="CQ152" s="40"/>
      <c r="CR152" s="40"/>
      <c r="CS152" s="40"/>
      <c r="CT152" s="40"/>
      <c r="CU152" s="40"/>
      <c r="CV152" s="40"/>
      <c r="CW152" s="40"/>
      <c r="CX152" s="40"/>
      <c r="CY152" s="40"/>
      <c r="CZ152" s="40"/>
      <c r="DA152" s="40"/>
      <c r="DB152" s="40"/>
      <c r="DC152" s="40"/>
      <c r="DD152" s="40"/>
      <c r="DE152" s="40"/>
      <c r="DF152" s="40"/>
      <c r="DG152" s="40"/>
      <c r="DH152" s="40"/>
      <c r="DI152" s="40"/>
      <c r="DJ152" s="40"/>
      <c r="DK152" s="40"/>
      <c r="DL152" s="40"/>
      <c r="DM152" s="40"/>
      <c r="DN152" s="40"/>
      <c r="DO152" s="40"/>
      <c r="DP152" s="40"/>
      <c r="DQ152" s="40"/>
      <c r="DR152" s="40"/>
      <c r="DS152" s="40"/>
      <c r="DT152" s="40"/>
      <c r="DU152" s="40"/>
      <c r="DV152" s="40"/>
      <c r="DW152" s="40"/>
      <c r="DX152" s="40"/>
      <c r="DY152" s="40"/>
      <c r="DZ152" s="40"/>
      <c r="EA152" s="40"/>
      <c r="EB152" s="40"/>
      <c r="EC152" s="40"/>
      <c r="ED152" s="40"/>
      <c r="EE152" s="40"/>
      <c r="EF152" s="40"/>
      <c r="EG152" s="40"/>
      <c r="EH152" s="40"/>
      <c r="EI152" s="40"/>
      <c r="EJ152" s="40"/>
      <c r="EK152" s="40"/>
      <c r="EL152" s="40"/>
      <c r="EM152" s="40"/>
      <c r="EN152" s="40"/>
      <c r="EO152" s="40"/>
      <c r="EP152" s="40"/>
      <c r="EQ152" s="40"/>
      <c r="ER152" s="40"/>
      <c r="ES152" s="40"/>
      <c r="ET152" s="40"/>
      <c r="EU152" s="40"/>
      <c r="EV152" s="40"/>
      <c r="EW152" s="40"/>
      <c r="EX152" s="40"/>
      <c r="EY152" s="40"/>
      <c r="EZ152" s="40"/>
      <c r="FA152" s="40"/>
      <c r="FB152" s="40"/>
      <c r="FC152" s="40"/>
      <c r="FD152" s="40"/>
      <c r="FE152" s="40"/>
      <c r="FF152" s="40"/>
      <c r="FG152" s="40"/>
      <c r="FH152" s="40"/>
      <c r="FI152" s="40"/>
      <c r="FJ152" s="40"/>
      <c r="FK152" s="40"/>
      <c r="FL152" s="40"/>
      <c r="FM152" s="40"/>
      <c r="FN152" s="40"/>
      <c r="FO152" s="40"/>
      <c r="FP152" s="40"/>
      <c r="FQ152" s="40"/>
      <c r="FR152" s="40"/>
      <c r="FS152" s="40"/>
      <c r="FT152" s="40"/>
      <c r="FU152" s="40"/>
      <c r="FV152" s="40"/>
      <c r="FW152" s="40"/>
      <c r="FX152" s="40"/>
      <c r="FY152" s="40"/>
      <c r="FZ152" s="40"/>
      <c r="GA152" s="40"/>
      <c r="GB152" s="40"/>
      <c r="GC152" s="40"/>
      <c r="GD152" s="40"/>
      <c r="GE152" s="40"/>
      <c r="GF152" s="40"/>
      <c r="GG152" s="40"/>
      <c r="GH152" s="40"/>
      <c r="GI152" s="40"/>
      <c r="GJ152" s="40"/>
      <c r="GK152" s="40"/>
      <c r="GL152" s="40"/>
      <c r="GM152" s="40"/>
      <c r="GN152" s="40"/>
      <c r="GO152" s="40"/>
      <c r="GP152" s="40"/>
      <c r="GQ152" s="40"/>
      <c r="GR152" s="40"/>
      <c r="GS152" s="40"/>
      <c r="GT152" s="40"/>
      <c r="GU152" s="40"/>
      <c r="GV152" s="40"/>
      <c r="GW152" s="40"/>
      <c r="GX152" s="40"/>
      <c r="GY152" s="40"/>
      <c r="GZ152" s="40"/>
      <c r="HA152" s="40"/>
      <c r="HB152" s="40"/>
      <c r="HC152" s="40"/>
      <c r="HD152" s="40"/>
      <c r="HE152" s="40"/>
      <c r="HF152" s="40"/>
      <c r="HG152" s="40"/>
      <c r="HH152" s="40"/>
      <c r="HI152" s="40"/>
      <c r="HJ152" s="40"/>
      <c r="HK152" s="40"/>
      <c r="HL152" s="40"/>
      <c r="HM152" s="40"/>
      <c r="HN152" s="40"/>
      <c r="HO152" s="40"/>
      <c r="HP152" s="40"/>
      <c r="HQ152" s="40"/>
      <c r="HR152" s="40"/>
      <c r="HS152" s="40"/>
      <c r="HT152" s="40"/>
      <c r="HU152" s="40"/>
    </row>
    <row r="153" spans="1:229" s="41" customFormat="1" ht="28.8" customHeight="1">
      <c r="A153" s="124" t="s">
        <v>1135</v>
      </c>
      <c r="B153" s="80" t="s">
        <v>1151</v>
      </c>
      <c r="C153" s="80"/>
      <c r="D153" s="80" t="s">
        <v>1154</v>
      </c>
      <c r="E153" s="80" t="s">
        <v>1152</v>
      </c>
      <c r="F153" s="80" t="s">
        <v>1153</v>
      </c>
      <c r="G153" s="135" t="s">
        <v>2109</v>
      </c>
      <c r="H153" s="81">
        <v>0.5</v>
      </c>
      <c r="I153" s="81">
        <v>-0.1</v>
      </c>
      <c r="J153" s="79" t="s">
        <v>399</v>
      </c>
      <c r="K153" s="81"/>
      <c r="L153" s="79"/>
      <c r="M153" s="82" t="s">
        <v>1661</v>
      </c>
      <c r="N153" s="82" t="s">
        <v>1662</v>
      </c>
      <c r="O153" s="82" t="s">
        <v>317</v>
      </c>
      <c r="P153" s="142">
        <v>0.2</v>
      </c>
      <c r="Q153" s="40">
        <f>SUMIF(Data_P!A:A,CONCATENATE(A153,"_",R$1),Data_P!J:J)</f>
        <v>1116.9000000000001</v>
      </c>
      <c r="R153" s="40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0"/>
      <c r="AK153" s="40"/>
      <c r="AL153" s="40"/>
      <c r="AM153" s="40"/>
      <c r="AN153" s="40"/>
      <c r="AO153" s="40"/>
      <c r="AP153" s="40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  <c r="BA153" s="40"/>
      <c r="BB153" s="40"/>
      <c r="BC153" s="40"/>
      <c r="BD153" s="40"/>
      <c r="BE153" s="40"/>
      <c r="BF153" s="40"/>
      <c r="BG153" s="40"/>
      <c r="BH153" s="40"/>
      <c r="BI153" s="40"/>
      <c r="BJ153" s="40"/>
      <c r="BK153" s="40"/>
      <c r="BL153" s="40"/>
      <c r="BM153" s="40"/>
      <c r="BN153" s="40"/>
      <c r="BO153" s="40"/>
      <c r="BP153" s="40"/>
      <c r="BQ153" s="40"/>
      <c r="BR153" s="40"/>
      <c r="BS153" s="40"/>
      <c r="BT153" s="40"/>
      <c r="BU153" s="40"/>
      <c r="BV153" s="40"/>
      <c r="BW153" s="40"/>
      <c r="BX153" s="40"/>
      <c r="BY153" s="40"/>
      <c r="BZ153" s="40"/>
      <c r="CA153" s="40"/>
      <c r="CB153" s="40"/>
      <c r="CC153" s="40"/>
      <c r="CD153" s="40"/>
      <c r="CE153" s="40"/>
      <c r="CF153" s="40"/>
      <c r="CG153" s="40"/>
      <c r="CH153" s="40"/>
      <c r="CI153" s="40"/>
      <c r="CJ153" s="40"/>
      <c r="CK153" s="40"/>
      <c r="CL153" s="40"/>
      <c r="CM153" s="40"/>
      <c r="CN153" s="40"/>
      <c r="CO153" s="40"/>
      <c r="CP153" s="40"/>
      <c r="CQ153" s="40"/>
      <c r="CR153" s="40"/>
      <c r="CS153" s="40"/>
      <c r="CT153" s="40"/>
      <c r="CU153" s="40"/>
      <c r="CV153" s="40"/>
      <c r="CW153" s="40"/>
      <c r="CX153" s="40"/>
      <c r="CY153" s="40"/>
      <c r="CZ153" s="40"/>
      <c r="DA153" s="40"/>
      <c r="DB153" s="40"/>
      <c r="DC153" s="40"/>
      <c r="DD153" s="40"/>
      <c r="DE153" s="40"/>
      <c r="DF153" s="40"/>
      <c r="DG153" s="40"/>
      <c r="DH153" s="40"/>
      <c r="DI153" s="40"/>
      <c r="DJ153" s="40"/>
      <c r="DK153" s="40"/>
      <c r="DL153" s="40"/>
      <c r="DM153" s="40"/>
      <c r="DN153" s="40"/>
      <c r="DO153" s="40"/>
      <c r="DP153" s="40"/>
      <c r="DQ153" s="40"/>
      <c r="DR153" s="40"/>
      <c r="DS153" s="40"/>
      <c r="DT153" s="40"/>
      <c r="DU153" s="40"/>
      <c r="DV153" s="40"/>
      <c r="DW153" s="40"/>
      <c r="DX153" s="40"/>
      <c r="DY153" s="40"/>
      <c r="DZ153" s="40"/>
      <c r="EA153" s="40"/>
      <c r="EB153" s="40"/>
      <c r="EC153" s="40"/>
      <c r="ED153" s="40"/>
      <c r="EE153" s="40"/>
      <c r="EF153" s="40"/>
      <c r="EG153" s="40"/>
      <c r="EH153" s="40"/>
      <c r="EI153" s="40"/>
      <c r="EJ153" s="40"/>
      <c r="EK153" s="40"/>
      <c r="EL153" s="40"/>
      <c r="EM153" s="40"/>
      <c r="EN153" s="40"/>
      <c r="EO153" s="40"/>
      <c r="EP153" s="40"/>
      <c r="EQ153" s="40"/>
      <c r="ER153" s="40"/>
      <c r="ES153" s="40"/>
      <c r="ET153" s="40"/>
      <c r="EU153" s="40"/>
      <c r="EV153" s="40"/>
      <c r="EW153" s="40"/>
      <c r="EX153" s="40"/>
      <c r="EY153" s="40"/>
      <c r="EZ153" s="40"/>
      <c r="FA153" s="40"/>
      <c r="FB153" s="40"/>
      <c r="FC153" s="40"/>
      <c r="FD153" s="40"/>
      <c r="FE153" s="40"/>
      <c r="FF153" s="40"/>
      <c r="FG153" s="40"/>
      <c r="FH153" s="40"/>
      <c r="FI153" s="40"/>
      <c r="FJ153" s="40"/>
      <c r="FK153" s="40"/>
      <c r="FL153" s="40"/>
      <c r="FM153" s="40"/>
      <c r="FN153" s="40"/>
      <c r="FO153" s="40"/>
      <c r="FP153" s="40"/>
      <c r="FQ153" s="40"/>
      <c r="FR153" s="40"/>
      <c r="FS153" s="40"/>
      <c r="FT153" s="40"/>
      <c r="FU153" s="40"/>
      <c r="FV153" s="40"/>
      <c r="FW153" s="40"/>
      <c r="FX153" s="40"/>
      <c r="FY153" s="40"/>
      <c r="FZ153" s="40"/>
      <c r="GA153" s="40"/>
      <c r="GB153" s="40"/>
      <c r="GC153" s="40"/>
      <c r="GD153" s="40"/>
      <c r="GE153" s="40"/>
      <c r="GF153" s="40"/>
      <c r="GG153" s="40"/>
      <c r="GH153" s="40"/>
      <c r="GI153" s="40"/>
      <c r="GJ153" s="40"/>
      <c r="GK153" s="40"/>
      <c r="GL153" s="40"/>
      <c r="GM153" s="40"/>
      <c r="GN153" s="40"/>
      <c r="GO153" s="40"/>
      <c r="GP153" s="40"/>
      <c r="GQ153" s="40"/>
      <c r="GR153" s="40"/>
      <c r="GS153" s="40"/>
      <c r="GT153" s="40"/>
      <c r="GU153" s="40"/>
      <c r="GV153" s="40"/>
      <c r="GW153" s="40"/>
      <c r="GX153" s="40"/>
      <c r="GY153" s="40"/>
      <c r="GZ153" s="40"/>
      <c r="HA153" s="40"/>
      <c r="HB153" s="40"/>
      <c r="HC153" s="40"/>
      <c r="HD153" s="40"/>
      <c r="HE153" s="40"/>
      <c r="HF153" s="40"/>
      <c r="HG153" s="40"/>
      <c r="HH153" s="40"/>
      <c r="HI153" s="40"/>
      <c r="HJ153" s="40"/>
      <c r="HK153" s="40"/>
      <c r="HL153" s="40"/>
      <c r="HM153" s="40"/>
      <c r="HN153" s="40"/>
      <c r="HO153" s="40"/>
      <c r="HP153" s="40"/>
      <c r="HQ153" s="40"/>
      <c r="HR153" s="40"/>
      <c r="HS153" s="40"/>
      <c r="HT153" s="40"/>
      <c r="HU153" s="40"/>
    </row>
    <row r="154" spans="1:229" s="41" customFormat="1" ht="28.8" customHeight="1">
      <c r="A154" s="124" t="s">
        <v>1419</v>
      </c>
      <c r="B154" s="80" t="s">
        <v>1471</v>
      </c>
      <c r="C154" s="80"/>
      <c r="D154" s="80" t="s">
        <v>1472</v>
      </c>
      <c r="E154" s="80" t="s">
        <v>1473</v>
      </c>
      <c r="F154" s="80" t="s">
        <v>2110</v>
      </c>
      <c r="G154" s="135" t="s">
        <v>2111</v>
      </c>
      <c r="H154" s="81">
        <v>0.3</v>
      </c>
      <c r="I154" s="81"/>
      <c r="J154" s="79"/>
      <c r="K154" s="81"/>
      <c r="L154" s="79"/>
      <c r="M154" s="82" t="s">
        <v>1663</v>
      </c>
      <c r="N154" s="82" t="s">
        <v>1391</v>
      </c>
      <c r="O154" s="82" t="s">
        <v>317</v>
      </c>
      <c r="P154" s="142">
        <v>0.2</v>
      </c>
      <c r="Q154" s="40">
        <f>SUMIF(Data_P!A:A,CONCATENATE(A154,"_",R$1),Data_P!J:J)</f>
        <v>71.83</v>
      </c>
      <c r="R154" s="40"/>
      <c r="S154" s="40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0"/>
      <c r="AK154" s="40"/>
      <c r="AL154" s="40"/>
      <c r="AM154" s="40"/>
      <c r="AN154" s="40"/>
      <c r="AO154" s="40"/>
      <c r="AP154" s="40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  <c r="BA154" s="40"/>
      <c r="BB154" s="40"/>
      <c r="BC154" s="40"/>
      <c r="BD154" s="40"/>
      <c r="BE154" s="40"/>
      <c r="BF154" s="40"/>
      <c r="BG154" s="40"/>
      <c r="BH154" s="40"/>
      <c r="BI154" s="40"/>
      <c r="BJ154" s="40"/>
      <c r="BK154" s="40"/>
      <c r="BL154" s="40"/>
      <c r="BM154" s="40"/>
      <c r="BN154" s="40"/>
      <c r="BO154" s="40"/>
      <c r="BP154" s="40"/>
      <c r="BQ154" s="40"/>
      <c r="BR154" s="40"/>
      <c r="BS154" s="40"/>
      <c r="BT154" s="40"/>
      <c r="BU154" s="40"/>
      <c r="BV154" s="40"/>
      <c r="BW154" s="40"/>
      <c r="BX154" s="40"/>
      <c r="BY154" s="40"/>
      <c r="BZ154" s="40"/>
      <c r="CA154" s="40"/>
      <c r="CB154" s="40"/>
      <c r="CC154" s="40"/>
      <c r="CD154" s="40"/>
      <c r="CE154" s="40"/>
      <c r="CF154" s="40"/>
      <c r="CG154" s="40"/>
      <c r="CH154" s="40"/>
      <c r="CI154" s="40"/>
      <c r="CJ154" s="40"/>
      <c r="CK154" s="40"/>
      <c r="CL154" s="40"/>
      <c r="CM154" s="40"/>
      <c r="CN154" s="40"/>
      <c r="CO154" s="40"/>
      <c r="CP154" s="40"/>
      <c r="CQ154" s="40"/>
      <c r="CR154" s="40"/>
      <c r="CS154" s="40"/>
      <c r="CT154" s="40"/>
      <c r="CU154" s="40"/>
      <c r="CV154" s="40"/>
      <c r="CW154" s="40"/>
      <c r="CX154" s="40"/>
      <c r="CY154" s="40"/>
      <c r="CZ154" s="40"/>
      <c r="DA154" s="40"/>
      <c r="DB154" s="40"/>
      <c r="DC154" s="40"/>
      <c r="DD154" s="40"/>
      <c r="DE154" s="40"/>
      <c r="DF154" s="40"/>
      <c r="DG154" s="40"/>
      <c r="DH154" s="40"/>
      <c r="DI154" s="40"/>
      <c r="DJ154" s="40"/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/>
      <c r="DV154" s="40"/>
      <c r="DW154" s="40"/>
      <c r="DX154" s="40"/>
      <c r="DY154" s="40"/>
      <c r="DZ154" s="40"/>
      <c r="EA154" s="40"/>
      <c r="EB154" s="40"/>
      <c r="EC154" s="40"/>
      <c r="ED154" s="40"/>
      <c r="EE154" s="40"/>
      <c r="EF154" s="40"/>
      <c r="EG154" s="40"/>
      <c r="EH154" s="40"/>
      <c r="EI154" s="40"/>
      <c r="EJ154" s="40"/>
      <c r="EK154" s="40"/>
      <c r="EL154" s="40"/>
      <c r="EM154" s="40"/>
      <c r="EN154" s="40"/>
      <c r="EO154" s="40"/>
      <c r="EP154" s="40"/>
      <c r="EQ154" s="40"/>
      <c r="ER154" s="40"/>
      <c r="ES154" s="40"/>
      <c r="ET154" s="40"/>
      <c r="EU154" s="40"/>
      <c r="EV154" s="40"/>
      <c r="EW154" s="40"/>
      <c r="EX154" s="40"/>
      <c r="EY154" s="40"/>
      <c r="EZ154" s="40"/>
      <c r="FA154" s="40"/>
      <c r="FB154" s="40"/>
      <c r="FC154" s="40"/>
      <c r="FD154" s="40"/>
      <c r="FE154" s="40"/>
      <c r="FF154" s="40"/>
      <c r="FG154" s="40"/>
      <c r="FH154" s="40"/>
      <c r="FI154" s="40"/>
      <c r="FJ154" s="40"/>
      <c r="FK154" s="40"/>
      <c r="FL154" s="40"/>
      <c r="FM154" s="40"/>
      <c r="FN154" s="40"/>
      <c r="FO154" s="40"/>
      <c r="FP154" s="40"/>
      <c r="FQ154" s="40"/>
      <c r="FR154" s="40"/>
      <c r="FS154" s="40"/>
      <c r="FT154" s="40"/>
      <c r="FU154" s="40"/>
      <c r="FV154" s="40"/>
      <c r="FW154" s="40"/>
      <c r="FX154" s="40"/>
      <c r="FY154" s="40"/>
      <c r="FZ154" s="40"/>
      <c r="GA154" s="40"/>
      <c r="GB154" s="40"/>
      <c r="GC154" s="40"/>
      <c r="GD154" s="40"/>
      <c r="GE154" s="40"/>
      <c r="GF154" s="40"/>
      <c r="GG154" s="40"/>
      <c r="GH154" s="40"/>
      <c r="GI154" s="40"/>
      <c r="GJ154" s="40"/>
      <c r="GK154" s="40"/>
      <c r="GL154" s="40"/>
      <c r="GM154" s="40"/>
      <c r="GN154" s="40"/>
      <c r="GO154" s="40"/>
      <c r="GP154" s="40"/>
      <c r="GQ154" s="40"/>
      <c r="GR154" s="40"/>
      <c r="GS154" s="40"/>
      <c r="GT154" s="40"/>
      <c r="GU154" s="40"/>
      <c r="GV154" s="40"/>
      <c r="GW154" s="40"/>
      <c r="GX154" s="40"/>
      <c r="GY154" s="40"/>
      <c r="GZ154" s="40"/>
      <c r="HA154" s="40"/>
      <c r="HB154" s="40"/>
      <c r="HC154" s="40"/>
      <c r="HD154" s="40"/>
      <c r="HE154" s="40"/>
      <c r="HF154" s="40"/>
      <c r="HG154" s="40"/>
      <c r="HH154" s="40"/>
      <c r="HI154" s="40"/>
      <c r="HJ154" s="40"/>
      <c r="HK154" s="40"/>
      <c r="HL154" s="40"/>
      <c r="HM154" s="40"/>
      <c r="HN154" s="40"/>
      <c r="HO154" s="40"/>
      <c r="HP154" s="40"/>
      <c r="HQ154" s="40"/>
      <c r="HR154" s="40"/>
      <c r="HS154" s="40"/>
      <c r="HT154" s="40"/>
      <c r="HU154" s="40"/>
    </row>
    <row r="155" spans="1:229" s="41" customFormat="1" ht="28.8" customHeight="1">
      <c r="A155" s="124" t="s">
        <v>1278</v>
      </c>
      <c r="B155" s="80" t="s">
        <v>906</v>
      </c>
      <c r="C155" s="80"/>
      <c r="D155" s="80" t="s">
        <v>907</v>
      </c>
      <c r="E155" s="80" t="s">
        <v>908</v>
      </c>
      <c r="F155" s="80" t="s">
        <v>909</v>
      </c>
      <c r="G155" s="135" t="s">
        <v>910</v>
      </c>
      <c r="H155" s="81">
        <v>0.4</v>
      </c>
      <c r="I155" s="81">
        <v>-0.05</v>
      </c>
      <c r="J155" s="79" t="s">
        <v>399</v>
      </c>
      <c r="K155" s="81">
        <v>-0.1</v>
      </c>
      <c r="L155" s="79" t="s">
        <v>905</v>
      </c>
      <c r="M155" s="82" t="s">
        <v>1434</v>
      </c>
      <c r="N155" s="82" t="s">
        <v>292</v>
      </c>
      <c r="O155" s="82" t="s">
        <v>316</v>
      </c>
      <c r="P155" s="142">
        <v>0.2</v>
      </c>
      <c r="Q155" s="40">
        <f>SUMIF(Data_P!A:A,CONCATENATE(A155,"_",R$1),Data_P!J:J)</f>
        <v>59.59</v>
      </c>
      <c r="R155" s="40"/>
      <c r="S155" s="40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0"/>
      <c r="AK155" s="40"/>
      <c r="AL155" s="40"/>
      <c r="AM155" s="40"/>
      <c r="AN155" s="40"/>
      <c r="AO155" s="40"/>
      <c r="AP155" s="40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  <c r="BA155" s="40"/>
      <c r="BB155" s="40"/>
      <c r="BC155" s="40"/>
      <c r="BD155" s="40"/>
      <c r="BE155" s="40"/>
      <c r="BF155" s="40"/>
      <c r="BG155" s="40"/>
      <c r="BH155" s="40"/>
      <c r="BI155" s="40"/>
      <c r="BJ155" s="40"/>
      <c r="BK155" s="40"/>
      <c r="BL155" s="40"/>
      <c r="BM155" s="40"/>
      <c r="BN155" s="40"/>
      <c r="BO155" s="40"/>
      <c r="BP155" s="40"/>
      <c r="BQ155" s="40"/>
      <c r="BR155" s="40"/>
      <c r="BS155" s="40"/>
      <c r="BT155" s="40"/>
      <c r="BU155" s="40"/>
      <c r="BV155" s="40"/>
      <c r="BW155" s="40"/>
      <c r="BX155" s="40"/>
      <c r="BY155" s="40"/>
      <c r="BZ155" s="40"/>
      <c r="CA155" s="40"/>
      <c r="CB155" s="40"/>
      <c r="CC155" s="40"/>
      <c r="CD155" s="40"/>
      <c r="CE155" s="40"/>
      <c r="CF155" s="40"/>
      <c r="CG155" s="40"/>
      <c r="CH155" s="40"/>
      <c r="CI155" s="40"/>
      <c r="CJ155" s="40"/>
      <c r="CK155" s="40"/>
      <c r="CL155" s="40"/>
      <c r="CM155" s="40"/>
      <c r="CN155" s="40"/>
      <c r="CO155" s="40"/>
      <c r="CP155" s="40"/>
      <c r="CQ155" s="40"/>
      <c r="CR155" s="40"/>
      <c r="CS155" s="40"/>
      <c r="CT155" s="40"/>
      <c r="CU155" s="40"/>
      <c r="CV155" s="40"/>
      <c r="CW155" s="40"/>
      <c r="CX155" s="40"/>
      <c r="CY155" s="40"/>
      <c r="CZ155" s="40"/>
      <c r="DA155" s="40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40"/>
      <c r="EA155" s="40"/>
      <c r="EB155" s="40"/>
      <c r="EC155" s="40"/>
      <c r="ED155" s="40"/>
      <c r="EE155" s="40"/>
      <c r="EF155" s="40"/>
      <c r="EG155" s="40"/>
      <c r="EH155" s="40"/>
      <c r="EI155" s="40"/>
      <c r="EJ155" s="40"/>
      <c r="EK155" s="40"/>
      <c r="EL155" s="40"/>
      <c r="EM155" s="40"/>
      <c r="EN155" s="40"/>
      <c r="EO155" s="40"/>
      <c r="EP155" s="40"/>
      <c r="EQ155" s="40"/>
      <c r="ER155" s="40"/>
      <c r="ES155" s="40"/>
      <c r="ET155" s="40"/>
      <c r="EU155" s="40"/>
      <c r="EV155" s="40"/>
      <c r="EW155" s="40"/>
      <c r="EX155" s="40"/>
      <c r="EY155" s="40"/>
      <c r="EZ155" s="40"/>
      <c r="FA155" s="40"/>
      <c r="FB155" s="40"/>
      <c r="FC155" s="40"/>
      <c r="FD155" s="40"/>
      <c r="FE155" s="40"/>
      <c r="FF155" s="40"/>
      <c r="FG155" s="40"/>
      <c r="FH155" s="40"/>
      <c r="FI155" s="40"/>
      <c r="FJ155" s="40"/>
      <c r="FK155" s="40"/>
      <c r="FL155" s="40"/>
      <c r="FM155" s="40"/>
      <c r="FN155" s="40"/>
      <c r="FO155" s="40"/>
      <c r="FP155" s="40"/>
      <c r="FQ155" s="40"/>
      <c r="FR155" s="40"/>
      <c r="FS155" s="40"/>
      <c r="FT155" s="40"/>
      <c r="FU155" s="40"/>
      <c r="FV155" s="40"/>
      <c r="FW155" s="40"/>
      <c r="FX155" s="40"/>
      <c r="FY155" s="40"/>
      <c r="FZ155" s="40"/>
      <c r="GA155" s="40"/>
      <c r="GB155" s="40"/>
      <c r="GC155" s="40"/>
      <c r="GD155" s="40"/>
      <c r="GE155" s="40"/>
      <c r="GF155" s="40"/>
      <c r="GG155" s="40"/>
      <c r="GH155" s="40"/>
      <c r="GI155" s="40"/>
      <c r="GJ155" s="40"/>
      <c r="GK155" s="40"/>
      <c r="GL155" s="40"/>
      <c r="GM155" s="40"/>
      <c r="GN155" s="40"/>
      <c r="GO155" s="40"/>
      <c r="GP155" s="40"/>
      <c r="GQ155" s="40"/>
      <c r="GR155" s="40"/>
      <c r="GS155" s="40"/>
      <c r="GT155" s="40"/>
      <c r="GU155" s="40"/>
      <c r="GV155" s="40"/>
      <c r="GW155" s="40"/>
      <c r="GX155" s="40"/>
      <c r="GY155" s="40"/>
      <c r="GZ155" s="40"/>
      <c r="HA155" s="40"/>
      <c r="HB155" s="40"/>
      <c r="HC155" s="40"/>
      <c r="HD155" s="40"/>
      <c r="HE155" s="40"/>
      <c r="HF155" s="40"/>
      <c r="HG155" s="40"/>
      <c r="HH155" s="40"/>
      <c r="HI155" s="40"/>
      <c r="HJ155" s="40"/>
      <c r="HK155" s="40"/>
      <c r="HL155" s="40"/>
      <c r="HM155" s="40"/>
      <c r="HN155" s="40"/>
      <c r="HO155" s="40"/>
      <c r="HP155" s="40"/>
      <c r="HQ155" s="40"/>
      <c r="HR155" s="40"/>
      <c r="HS155" s="40"/>
      <c r="HT155" s="40"/>
      <c r="HU155" s="40"/>
    </row>
    <row r="156" spans="1:229" s="41" customFormat="1" ht="28.8" customHeight="1">
      <c r="A156" s="124" t="s">
        <v>2113</v>
      </c>
      <c r="B156" s="80" t="s">
        <v>2036</v>
      </c>
      <c r="C156" s="80"/>
      <c r="D156" s="80" t="s">
        <v>2037</v>
      </c>
      <c r="E156" s="80" t="s">
        <v>2038</v>
      </c>
      <c r="F156" s="80" t="s">
        <v>2039</v>
      </c>
      <c r="G156" s="135" t="s">
        <v>2040</v>
      </c>
      <c r="H156" s="81">
        <v>0.3</v>
      </c>
      <c r="I156" s="81"/>
      <c r="J156" s="79"/>
      <c r="K156" s="81"/>
      <c r="L156" s="79"/>
      <c r="M156" s="82"/>
      <c r="N156" s="82"/>
      <c r="O156" s="82" t="s">
        <v>316</v>
      </c>
      <c r="P156" s="142">
        <v>0.2</v>
      </c>
      <c r="Q156" s="40">
        <f>SUMIF(Data_P!A:A,CONCATENATE(A156,"_",R$1),Data_P!J:J)</f>
        <v>3.08</v>
      </c>
      <c r="R156" s="40"/>
      <c r="S156" s="40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  <c r="BA156" s="40"/>
      <c r="BB156" s="40"/>
      <c r="BC156" s="40"/>
      <c r="BD156" s="40"/>
      <c r="BE156" s="40"/>
      <c r="BF156" s="40"/>
      <c r="BG156" s="40"/>
      <c r="BH156" s="40"/>
      <c r="BI156" s="40"/>
      <c r="BJ156" s="40"/>
      <c r="BK156" s="40"/>
      <c r="BL156" s="40"/>
      <c r="BM156" s="40"/>
      <c r="BN156" s="40"/>
      <c r="BO156" s="40"/>
      <c r="BP156" s="40"/>
      <c r="BQ156" s="40"/>
      <c r="BR156" s="40"/>
      <c r="BS156" s="40"/>
      <c r="BT156" s="40"/>
      <c r="BU156" s="40"/>
      <c r="BV156" s="40"/>
      <c r="BW156" s="40"/>
      <c r="BX156" s="40"/>
      <c r="BY156" s="40"/>
      <c r="BZ156" s="40"/>
      <c r="CA156" s="40"/>
      <c r="CB156" s="40"/>
      <c r="CC156" s="40"/>
      <c r="CD156" s="40"/>
      <c r="CE156" s="40"/>
      <c r="CF156" s="40"/>
      <c r="CG156" s="40"/>
      <c r="CH156" s="40"/>
      <c r="CI156" s="40"/>
      <c r="CJ156" s="40"/>
      <c r="CK156" s="40"/>
      <c r="CL156" s="40"/>
      <c r="CM156" s="40"/>
      <c r="CN156" s="40"/>
      <c r="CO156" s="40"/>
      <c r="CP156" s="40"/>
      <c r="CQ156" s="40"/>
      <c r="CR156" s="40"/>
      <c r="CS156" s="40"/>
      <c r="CT156" s="40"/>
      <c r="CU156" s="40"/>
      <c r="CV156" s="40"/>
      <c r="CW156" s="40"/>
      <c r="CX156" s="40"/>
      <c r="CY156" s="40"/>
      <c r="CZ156" s="40"/>
      <c r="DA156" s="40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40"/>
      <c r="EA156" s="40"/>
      <c r="EB156" s="40"/>
      <c r="EC156" s="40"/>
      <c r="ED156" s="40"/>
      <c r="EE156" s="40"/>
      <c r="EF156" s="40"/>
      <c r="EG156" s="40"/>
      <c r="EH156" s="40"/>
      <c r="EI156" s="40"/>
      <c r="EJ156" s="40"/>
      <c r="EK156" s="40"/>
      <c r="EL156" s="40"/>
      <c r="EM156" s="40"/>
      <c r="EN156" s="40"/>
      <c r="EO156" s="40"/>
      <c r="EP156" s="40"/>
      <c r="EQ156" s="40"/>
      <c r="ER156" s="40"/>
      <c r="ES156" s="40"/>
      <c r="ET156" s="40"/>
      <c r="EU156" s="40"/>
      <c r="EV156" s="40"/>
      <c r="EW156" s="40"/>
      <c r="EX156" s="40"/>
      <c r="EY156" s="40"/>
      <c r="EZ156" s="40"/>
      <c r="FA156" s="40"/>
      <c r="FB156" s="40"/>
      <c r="FC156" s="40"/>
      <c r="FD156" s="40"/>
      <c r="FE156" s="40"/>
      <c r="FF156" s="40"/>
      <c r="FG156" s="40"/>
      <c r="FH156" s="40"/>
      <c r="FI156" s="40"/>
      <c r="FJ156" s="40"/>
      <c r="FK156" s="40"/>
      <c r="FL156" s="40"/>
      <c r="FM156" s="40"/>
      <c r="FN156" s="40"/>
      <c r="FO156" s="40"/>
      <c r="FP156" s="40"/>
      <c r="FQ156" s="40"/>
      <c r="FR156" s="40"/>
      <c r="FS156" s="40"/>
      <c r="FT156" s="40"/>
      <c r="FU156" s="40"/>
      <c r="FV156" s="40"/>
      <c r="FW156" s="40"/>
      <c r="FX156" s="40"/>
      <c r="FY156" s="40"/>
      <c r="FZ156" s="40"/>
      <c r="GA156" s="40"/>
      <c r="GB156" s="40"/>
      <c r="GC156" s="40"/>
      <c r="GD156" s="40"/>
      <c r="GE156" s="40"/>
      <c r="GF156" s="40"/>
      <c r="GG156" s="40"/>
      <c r="GH156" s="40"/>
      <c r="GI156" s="40"/>
      <c r="GJ156" s="40"/>
      <c r="GK156" s="40"/>
      <c r="GL156" s="40"/>
      <c r="GM156" s="40"/>
      <c r="GN156" s="40"/>
      <c r="GO156" s="40"/>
      <c r="GP156" s="40"/>
      <c r="GQ156" s="40"/>
      <c r="GR156" s="40"/>
      <c r="GS156" s="40"/>
      <c r="GT156" s="40"/>
      <c r="GU156" s="40"/>
      <c r="GV156" s="40"/>
      <c r="GW156" s="40"/>
      <c r="GX156" s="40"/>
      <c r="GY156" s="40"/>
      <c r="GZ156" s="40"/>
      <c r="HA156" s="40"/>
      <c r="HB156" s="40"/>
      <c r="HC156" s="40"/>
      <c r="HD156" s="40"/>
      <c r="HE156" s="40"/>
      <c r="HF156" s="40"/>
      <c r="HG156" s="40"/>
      <c r="HH156" s="40"/>
      <c r="HI156" s="40"/>
      <c r="HJ156" s="40"/>
      <c r="HK156" s="40"/>
      <c r="HL156" s="40"/>
      <c r="HM156" s="40"/>
      <c r="HN156" s="40"/>
      <c r="HO156" s="40"/>
      <c r="HP156" s="40"/>
      <c r="HQ156" s="40"/>
      <c r="HR156" s="40"/>
      <c r="HS156" s="40"/>
      <c r="HT156" s="40"/>
      <c r="HU156" s="40"/>
    </row>
    <row r="157" spans="1:229" s="41" customFormat="1" ht="28.8" customHeight="1">
      <c r="A157" s="124" t="s">
        <v>2162</v>
      </c>
      <c r="B157" s="80" t="s">
        <v>1741</v>
      </c>
      <c r="C157" s="80"/>
      <c r="D157" s="80" t="s">
        <v>1742</v>
      </c>
      <c r="E157" s="80" t="s">
        <v>1743</v>
      </c>
      <c r="F157" s="80" t="s">
        <v>1744</v>
      </c>
      <c r="G157" s="135" t="s">
        <v>1745</v>
      </c>
      <c r="H157" s="81">
        <v>0.3</v>
      </c>
      <c r="I157" s="81"/>
      <c r="J157" s="79"/>
      <c r="K157" s="81"/>
      <c r="L157" s="79"/>
      <c r="M157" s="82" t="s">
        <v>1927</v>
      </c>
      <c r="N157" s="82" t="s">
        <v>294</v>
      </c>
      <c r="O157" s="82" t="s">
        <v>316</v>
      </c>
      <c r="P157" s="142">
        <v>0.2</v>
      </c>
      <c r="Q157" s="40">
        <f>SUMIF(Data_P!A:A,CONCATENATE(A157,"_",R$1),Data_P!J:J)</f>
        <v>437.67</v>
      </c>
      <c r="R157" s="40"/>
      <c r="S157" s="40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  <c r="BA157" s="40"/>
      <c r="BB157" s="40"/>
      <c r="BC157" s="40"/>
      <c r="BD157" s="40"/>
      <c r="BE157" s="40"/>
      <c r="BF157" s="40"/>
      <c r="BG157" s="40"/>
      <c r="BH157" s="40"/>
      <c r="BI157" s="40"/>
      <c r="BJ157" s="40"/>
      <c r="BK157" s="40"/>
      <c r="BL157" s="40"/>
      <c r="BM157" s="40"/>
      <c r="BN157" s="40"/>
      <c r="BO157" s="40"/>
      <c r="BP157" s="40"/>
      <c r="BQ157" s="40"/>
      <c r="BR157" s="40"/>
      <c r="BS157" s="40"/>
      <c r="BT157" s="40"/>
      <c r="BU157" s="40"/>
      <c r="BV157" s="40"/>
      <c r="BW157" s="40"/>
      <c r="BX157" s="40"/>
      <c r="BY157" s="40"/>
      <c r="BZ157" s="40"/>
      <c r="CA157" s="40"/>
      <c r="CB157" s="40"/>
      <c r="CC157" s="40"/>
      <c r="CD157" s="40"/>
      <c r="CE157" s="40"/>
      <c r="CF157" s="40"/>
      <c r="CG157" s="40"/>
      <c r="CH157" s="40"/>
      <c r="CI157" s="40"/>
      <c r="CJ157" s="40"/>
      <c r="CK157" s="40"/>
      <c r="CL157" s="40"/>
      <c r="CM157" s="40"/>
      <c r="CN157" s="40"/>
      <c r="CO157" s="40"/>
      <c r="CP157" s="40"/>
      <c r="CQ157" s="40"/>
      <c r="CR157" s="40"/>
      <c r="CS157" s="40"/>
      <c r="CT157" s="40"/>
      <c r="CU157" s="40"/>
      <c r="CV157" s="40"/>
      <c r="CW157" s="40"/>
      <c r="CX157" s="40"/>
      <c r="CY157" s="40"/>
      <c r="CZ157" s="40"/>
      <c r="DA157" s="40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40"/>
      <c r="EA157" s="40"/>
      <c r="EB157" s="40"/>
      <c r="EC157" s="40"/>
      <c r="ED157" s="40"/>
      <c r="EE157" s="40"/>
      <c r="EF157" s="40"/>
      <c r="EG157" s="40"/>
      <c r="EH157" s="40"/>
      <c r="EI157" s="40"/>
      <c r="EJ157" s="40"/>
      <c r="EK157" s="40"/>
      <c r="EL157" s="40"/>
      <c r="EM157" s="40"/>
      <c r="EN157" s="40"/>
      <c r="EO157" s="40"/>
      <c r="EP157" s="40"/>
      <c r="EQ157" s="40"/>
      <c r="ER157" s="40"/>
      <c r="ES157" s="40"/>
      <c r="ET157" s="40"/>
      <c r="EU157" s="40"/>
      <c r="EV157" s="40"/>
      <c r="EW157" s="40"/>
      <c r="EX157" s="40"/>
      <c r="EY157" s="40"/>
      <c r="EZ157" s="40"/>
      <c r="FA157" s="40"/>
      <c r="FB157" s="40"/>
      <c r="FC157" s="40"/>
      <c r="FD157" s="40"/>
      <c r="FE157" s="40"/>
      <c r="FF157" s="40"/>
      <c r="FG157" s="40"/>
      <c r="FH157" s="40"/>
      <c r="FI157" s="40"/>
      <c r="FJ157" s="40"/>
      <c r="FK157" s="40"/>
      <c r="FL157" s="40"/>
      <c r="FM157" s="40"/>
      <c r="FN157" s="40"/>
      <c r="FO157" s="40"/>
      <c r="FP157" s="40"/>
      <c r="FQ157" s="40"/>
      <c r="FR157" s="40"/>
      <c r="FS157" s="40"/>
      <c r="FT157" s="40"/>
      <c r="FU157" s="40"/>
      <c r="FV157" s="40"/>
      <c r="FW157" s="40"/>
      <c r="FX157" s="40"/>
      <c r="FY157" s="40"/>
      <c r="FZ157" s="40"/>
      <c r="GA157" s="40"/>
      <c r="GB157" s="40"/>
      <c r="GC157" s="40"/>
      <c r="GD157" s="40"/>
      <c r="GE157" s="40"/>
      <c r="GF157" s="40"/>
      <c r="GG157" s="40"/>
      <c r="GH157" s="40"/>
      <c r="GI157" s="40"/>
      <c r="GJ157" s="40"/>
      <c r="GK157" s="40"/>
      <c r="GL157" s="40"/>
      <c r="GM157" s="40"/>
      <c r="GN157" s="40"/>
      <c r="GO157" s="40"/>
      <c r="GP157" s="40"/>
      <c r="GQ157" s="40"/>
      <c r="GR157" s="40"/>
      <c r="GS157" s="40"/>
      <c r="GT157" s="40"/>
      <c r="GU157" s="40"/>
      <c r="GV157" s="40"/>
      <c r="GW157" s="40"/>
      <c r="GX157" s="40"/>
      <c r="GY157" s="40"/>
      <c r="GZ157" s="40"/>
      <c r="HA157" s="40"/>
      <c r="HB157" s="40"/>
      <c r="HC157" s="40"/>
      <c r="HD157" s="40"/>
      <c r="HE157" s="40"/>
      <c r="HF157" s="40"/>
      <c r="HG157" s="40"/>
      <c r="HH157" s="40"/>
      <c r="HI157" s="40"/>
      <c r="HJ157" s="40"/>
      <c r="HK157" s="40"/>
      <c r="HL157" s="40"/>
      <c r="HM157" s="40"/>
      <c r="HN157" s="40"/>
      <c r="HO157" s="40"/>
      <c r="HP157" s="40"/>
      <c r="HQ157" s="40"/>
      <c r="HR157" s="40"/>
      <c r="HS157" s="40"/>
      <c r="HT157" s="40"/>
      <c r="HU157" s="40"/>
    </row>
    <row r="158" spans="1:229" s="41" customFormat="1" ht="28.8" customHeight="1">
      <c r="A158" s="124" t="s">
        <v>2112</v>
      </c>
      <c r="B158" s="80" t="s">
        <v>162</v>
      </c>
      <c r="C158" s="80"/>
      <c r="D158" s="80" t="s">
        <v>163</v>
      </c>
      <c r="E158" s="80" t="s">
        <v>164</v>
      </c>
      <c r="F158" s="80" t="s">
        <v>135</v>
      </c>
      <c r="G158" s="135" t="s">
        <v>2029</v>
      </c>
      <c r="H158" s="81">
        <v>0.25</v>
      </c>
      <c r="I158" s="81"/>
      <c r="J158" s="79"/>
      <c r="K158" s="81"/>
      <c r="L158" s="79"/>
      <c r="M158" s="82" t="s">
        <v>1604</v>
      </c>
      <c r="N158" s="82" t="s">
        <v>240</v>
      </c>
      <c r="O158" s="82" t="s">
        <v>316</v>
      </c>
      <c r="P158" s="142">
        <v>0.2</v>
      </c>
      <c r="Q158" s="40">
        <f>SUMIF(Data_P!A:A,CONCATENATE(A158,"_",R$1),Data_P!J:J)</f>
        <v>374.89</v>
      </c>
      <c r="R158" s="40"/>
      <c r="S158" s="40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K158" s="40"/>
      <c r="AL158" s="40"/>
      <c r="AM158" s="40"/>
      <c r="AN158" s="40"/>
      <c r="AO158" s="40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  <c r="BA158" s="40"/>
      <c r="BB158" s="40"/>
      <c r="BC158" s="40"/>
      <c r="BD158" s="40"/>
      <c r="BE158" s="40"/>
      <c r="BF158" s="40"/>
      <c r="BG158" s="40"/>
      <c r="BH158" s="40"/>
      <c r="BI158" s="40"/>
      <c r="BJ158" s="40"/>
      <c r="BK158" s="40"/>
      <c r="BL158" s="40"/>
      <c r="BM158" s="40"/>
      <c r="BN158" s="40"/>
      <c r="BO158" s="40"/>
      <c r="BP158" s="40"/>
      <c r="BQ158" s="40"/>
      <c r="BR158" s="40"/>
      <c r="BS158" s="40"/>
      <c r="BT158" s="40"/>
      <c r="BU158" s="40"/>
      <c r="BV158" s="40"/>
      <c r="BW158" s="40"/>
      <c r="BX158" s="40"/>
      <c r="BY158" s="40"/>
      <c r="BZ158" s="40"/>
      <c r="CA158" s="40"/>
      <c r="CB158" s="40"/>
      <c r="CC158" s="40"/>
      <c r="CD158" s="40"/>
      <c r="CE158" s="40"/>
      <c r="CF158" s="40"/>
      <c r="CG158" s="40"/>
      <c r="CH158" s="40"/>
      <c r="CI158" s="40"/>
      <c r="CJ158" s="40"/>
      <c r="CK158" s="40"/>
      <c r="CL158" s="40"/>
      <c r="CM158" s="40"/>
      <c r="CN158" s="40"/>
      <c r="CO158" s="40"/>
      <c r="CP158" s="40"/>
      <c r="CQ158" s="40"/>
      <c r="CR158" s="40"/>
      <c r="CS158" s="40"/>
      <c r="CT158" s="40"/>
      <c r="CU158" s="40"/>
      <c r="CV158" s="40"/>
      <c r="CW158" s="40"/>
      <c r="CX158" s="40"/>
      <c r="CY158" s="40"/>
      <c r="CZ158" s="40"/>
      <c r="DA158" s="40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40"/>
      <c r="EA158" s="40"/>
      <c r="EB158" s="40"/>
      <c r="EC158" s="40"/>
      <c r="ED158" s="40"/>
      <c r="EE158" s="40"/>
      <c r="EF158" s="40"/>
      <c r="EG158" s="40"/>
      <c r="EH158" s="40"/>
      <c r="EI158" s="40"/>
      <c r="EJ158" s="40"/>
      <c r="EK158" s="40"/>
      <c r="EL158" s="40"/>
      <c r="EM158" s="40"/>
      <c r="EN158" s="40"/>
      <c r="EO158" s="40"/>
      <c r="EP158" s="40"/>
      <c r="EQ158" s="40"/>
      <c r="ER158" s="40"/>
      <c r="ES158" s="40"/>
      <c r="ET158" s="40"/>
      <c r="EU158" s="40"/>
      <c r="EV158" s="40"/>
      <c r="EW158" s="40"/>
      <c r="EX158" s="40"/>
      <c r="EY158" s="40"/>
      <c r="EZ158" s="40"/>
      <c r="FA158" s="40"/>
      <c r="FB158" s="40"/>
      <c r="FC158" s="40"/>
      <c r="FD158" s="40"/>
      <c r="FE158" s="40"/>
      <c r="FF158" s="40"/>
      <c r="FG158" s="40"/>
      <c r="FH158" s="40"/>
      <c r="FI158" s="40"/>
      <c r="FJ158" s="40"/>
      <c r="FK158" s="40"/>
      <c r="FL158" s="40"/>
      <c r="FM158" s="40"/>
      <c r="FN158" s="40"/>
      <c r="FO158" s="40"/>
      <c r="FP158" s="40"/>
      <c r="FQ158" s="40"/>
      <c r="FR158" s="40"/>
      <c r="FS158" s="40"/>
      <c r="FT158" s="40"/>
      <c r="FU158" s="40"/>
      <c r="FV158" s="40"/>
      <c r="FW158" s="40"/>
      <c r="FX158" s="40"/>
      <c r="FY158" s="40"/>
      <c r="FZ158" s="40"/>
      <c r="GA158" s="40"/>
      <c r="GB158" s="40"/>
      <c r="GC158" s="40"/>
      <c r="GD158" s="40"/>
      <c r="GE158" s="40"/>
      <c r="GF158" s="40"/>
      <c r="GG158" s="40"/>
      <c r="GH158" s="40"/>
      <c r="GI158" s="40"/>
      <c r="GJ158" s="40"/>
      <c r="GK158" s="40"/>
      <c r="GL158" s="40"/>
      <c r="GM158" s="40"/>
      <c r="GN158" s="40"/>
      <c r="GO158" s="40"/>
      <c r="GP158" s="40"/>
      <c r="GQ158" s="40"/>
      <c r="GR158" s="40"/>
      <c r="GS158" s="40"/>
      <c r="GT158" s="40"/>
      <c r="GU158" s="40"/>
      <c r="GV158" s="40"/>
      <c r="GW158" s="40"/>
      <c r="GX158" s="40"/>
      <c r="GY158" s="40"/>
      <c r="GZ158" s="40"/>
      <c r="HA158" s="40"/>
      <c r="HB158" s="40"/>
      <c r="HC158" s="40"/>
      <c r="HD158" s="40"/>
      <c r="HE158" s="40"/>
      <c r="HF158" s="40"/>
      <c r="HG158" s="40"/>
      <c r="HH158" s="40"/>
      <c r="HI158" s="40"/>
      <c r="HJ158" s="40"/>
      <c r="HK158" s="40"/>
      <c r="HL158" s="40"/>
      <c r="HM158" s="40"/>
      <c r="HN158" s="40"/>
      <c r="HO158" s="40"/>
      <c r="HP158" s="40"/>
      <c r="HQ158" s="40"/>
      <c r="HR158" s="40"/>
      <c r="HS158" s="40"/>
      <c r="HT158" s="40"/>
      <c r="HU158" s="40"/>
    </row>
    <row r="159" spans="1:229" s="41" customFormat="1" ht="28.8" customHeight="1">
      <c r="A159" s="124" t="s">
        <v>232</v>
      </c>
      <c r="B159" s="80" t="s">
        <v>133</v>
      </c>
      <c r="C159" s="80"/>
      <c r="D159" s="80" t="s">
        <v>181</v>
      </c>
      <c r="E159" s="80" t="s">
        <v>134</v>
      </c>
      <c r="F159" s="80" t="s">
        <v>136</v>
      </c>
      <c r="G159" s="135" t="s">
        <v>137</v>
      </c>
      <c r="H159" s="81">
        <v>0.25</v>
      </c>
      <c r="I159" s="81"/>
      <c r="J159" s="79"/>
      <c r="K159" s="81"/>
      <c r="L159" s="79"/>
      <c r="M159" s="82"/>
      <c r="N159" s="82"/>
      <c r="O159" s="82" t="s">
        <v>2272</v>
      </c>
      <c r="P159" s="142">
        <v>0.2</v>
      </c>
      <c r="Q159" s="40">
        <f>SUMIF(Data_P!A:A,CONCATENATE(A159,"_",R$1),Data_P!J:J)</f>
        <v>2.35</v>
      </c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  <c r="BK159" s="40"/>
      <c r="BL159" s="40"/>
      <c r="BM159" s="40"/>
      <c r="BN159" s="40"/>
      <c r="BO159" s="40"/>
      <c r="BP159" s="40"/>
      <c r="BQ159" s="40"/>
      <c r="BR159" s="40"/>
      <c r="BS159" s="40"/>
      <c r="BT159" s="40"/>
      <c r="BU159" s="40"/>
      <c r="BV159" s="40"/>
      <c r="BW159" s="40"/>
      <c r="BX159" s="40"/>
      <c r="BY159" s="40"/>
      <c r="BZ159" s="40"/>
      <c r="CA159" s="40"/>
      <c r="CB159" s="40"/>
      <c r="CC159" s="40"/>
      <c r="CD159" s="40"/>
      <c r="CE159" s="40"/>
      <c r="CF159" s="40"/>
      <c r="CG159" s="40"/>
      <c r="CH159" s="40"/>
      <c r="CI159" s="40"/>
      <c r="CJ159" s="40"/>
      <c r="CK159" s="40"/>
      <c r="CL159" s="40"/>
      <c r="CM159" s="40"/>
      <c r="CN159" s="40"/>
      <c r="CO159" s="40"/>
      <c r="CP159" s="40"/>
      <c r="CQ159" s="40"/>
      <c r="CR159" s="40"/>
      <c r="CS159" s="40"/>
      <c r="CT159" s="40"/>
      <c r="CU159" s="40"/>
      <c r="CV159" s="40"/>
      <c r="CW159" s="40"/>
      <c r="CX159" s="40"/>
      <c r="CY159" s="40"/>
      <c r="CZ159" s="40"/>
      <c r="DA159" s="40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0"/>
      <c r="EA159" s="40"/>
      <c r="EB159" s="40"/>
      <c r="EC159" s="40"/>
      <c r="ED159" s="40"/>
      <c r="EE159" s="40"/>
      <c r="EF159" s="40"/>
      <c r="EG159" s="40"/>
      <c r="EH159" s="40"/>
      <c r="EI159" s="40"/>
      <c r="EJ159" s="40"/>
      <c r="EK159" s="40"/>
      <c r="EL159" s="40"/>
      <c r="EM159" s="40"/>
      <c r="EN159" s="40"/>
      <c r="EO159" s="40"/>
      <c r="EP159" s="40"/>
      <c r="EQ159" s="40"/>
      <c r="ER159" s="40"/>
      <c r="ES159" s="40"/>
      <c r="ET159" s="40"/>
      <c r="EU159" s="40"/>
      <c r="EV159" s="40"/>
      <c r="EW159" s="40"/>
      <c r="EX159" s="40"/>
      <c r="EY159" s="40"/>
      <c r="EZ159" s="40"/>
      <c r="FA159" s="40"/>
      <c r="FB159" s="40"/>
      <c r="FC159" s="40"/>
      <c r="FD159" s="40"/>
      <c r="FE159" s="40"/>
      <c r="FF159" s="40"/>
      <c r="FG159" s="40"/>
      <c r="FH159" s="40"/>
      <c r="FI159" s="40"/>
      <c r="FJ159" s="40"/>
      <c r="FK159" s="40"/>
      <c r="FL159" s="40"/>
      <c r="FM159" s="40"/>
      <c r="FN159" s="40"/>
      <c r="FO159" s="40"/>
      <c r="FP159" s="40"/>
      <c r="FQ159" s="40"/>
      <c r="FR159" s="40"/>
      <c r="FS159" s="40"/>
      <c r="FT159" s="40"/>
      <c r="FU159" s="40"/>
      <c r="FV159" s="40"/>
      <c r="FW159" s="40"/>
      <c r="FX159" s="40"/>
      <c r="FY159" s="40"/>
      <c r="FZ159" s="40"/>
      <c r="GA159" s="40"/>
      <c r="GB159" s="40"/>
      <c r="GC159" s="40"/>
      <c r="GD159" s="40"/>
      <c r="GE159" s="40"/>
      <c r="GF159" s="40"/>
      <c r="GG159" s="40"/>
      <c r="GH159" s="40"/>
      <c r="GI159" s="40"/>
      <c r="GJ159" s="40"/>
      <c r="GK159" s="40"/>
      <c r="GL159" s="40"/>
      <c r="GM159" s="40"/>
      <c r="GN159" s="40"/>
      <c r="GO159" s="40"/>
      <c r="GP159" s="40"/>
      <c r="GQ159" s="40"/>
      <c r="GR159" s="40"/>
      <c r="GS159" s="40"/>
      <c r="GT159" s="40"/>
      <c r="GU159" s="40"/>
      <c r="GV159" s="40"/>
      <c r="GW159" s="40"/>
      <c r="GX159" s="40"/>
      <c r="GY159" s="40"/>
      <c r="GZ159" s="40"/>
      <c r="HA159" s="40"/>
      <c r="HB159" s="40"/>
      <c r="HC159" s="40"/>
      <c r="HD159" s="40"/>
      <c r="HE159" s="40"/>
      <c r="HF159" s="40"/>
      <c r="HG159" s="40"/>
      <c r="HH159" s="40"/>
      <c r="HI159" s="40"/>
      <c r="HJ159" s="40"/>
      <c r="HK159" s="40"/>
      <c r="HL159" s="40"/>
      <c r="HM159" s="40"/>
      <c r="HN159" s="40"/>
      <c r="HO159" s="40"/>
      <c r="HP159" s="40"/>
      <c r="HQ159" s="40"/>
      <c r="HR159" s="40"/>
      <c r="HS159" s="40"/>
      <c r="HT159" s="40"/>
      <c r="HU159" s="40"/>
    </row>
    <row r="160" spans="1:229" s="41" customFormat="1" ht="28.8" customHeight="1">
      <c r="A160" s="124" t="s">
        <v>2114</v>
      </c>
      <c r="B160" s="80" t="s">
        <v>1641</v>
      </c>
      <c r="C160" s="80"/>
      <c r="D160" s="80" t="s">
        <v>1642</v>
      </c>
      <c r="E160" s="80" t="s">
        <v>1643</v>
      </c>
      <c r="F160" s="80" t="s">
        <v>1644</v>
      </c>
      <c r="G160" s="135" t="s">
        <v>1645</v>
      </c>
      <c r="H160" s="81">
        <v>0.35</v>
      </c>
      <c r="I160" s="81">
        <v>-0.05</v>
      </c>
      <c r="J160" s="79" t="s">
        <v>399</v>
      </c>
      <c r="K160" s="81"/>
      <c r="L160" s="79"/>
      <c r="M160" s="82"/>
      <c r="N160" s="82"/>
      <c r="O160" s="82" t="s">
        <v>316</v>
      </c>
      <c r="P160" s="142">
        <v>0.2</v>
      </c>
      <c r="Q160" s="40">
        <f>SUMIF(Data_P!A:A,CONCATENATE(A160,"_",R$1),Data_P!J:J)</f>
        <v>32.5</v>
      </c>
      <c r="R160" s="40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  <c r="BA160" s="40"/>
      <c r="BB160" s="40"/>
      <c r="BC160" s="40"/>
      <c r="BD160" s="40"/>
      <c r="BE160" s="40"/>
      <c r="BF160" s="40"/>
      <c r="BG160" s="40"/>
      <c r="BH160" s="40"/>
      <c r="BI160" s="40"/>
      <c r="BJ160" s="40"/>
      <c r="BK160" s="40"/>
      <c r="BL160" s="40"/>
      <c r="BM160" s="40"/>
      <c r="BN160" s="40"/>
      <c r="BO160" s="40"/>
      <c r="BP160" s="40"/>
      <c r="BQ160" s="40"/>
      <c r="BR160" s="40"/>
      <c r="BS160" s="40"/>
      <c r="BT160" s="40"/>
      <c r="BU160" s="40"/>
      <c r="BV160" s="40"/>
      <c r="BW160" s="40"/>
      <c r="BX160" s="40"/>
      <c r="BY160" s="40"/>
      <c r="BZ160" s="40"/>
      <c r="CA160" s="40"/>
      <c r="CB160" s="40"/>
      <c r="CC160" s="40"/>
      <c r="CD160" s="40"/>
      <c r="CE160" s="40"/>
      <c r="CF160" s="40"/>
      <c r="CG160" s="40"/>
      <c r="CH160" s="40"/>
      <c r="CI160" s="40"/>
      <c r="CJ160" s="40"/>
      <c r="CK160" s="40"/>
      <c r="CL160" s="40"/>
      <c r="CM160" s="40"/>
      <c r="CN160" s="40"/>
      <c r="CO160" s="40"/>
      <c r="CP160" s="40"/>
      <c r="CQ160" s="40"/>
      <c r="CR160" s="40"/>
      <c r="CS160" s="40"/>
      <c r="CT160" s="40"/>
      <c r="CU160" s="40"/>
      <c r="CV160" s="40"/>
      <c r="CW160" s="40"/>
      <c r="CX160" s="40"/>
      <c r="CY160" s="40"/>
      <c r="CZ160" s="40"/>
      <c r="DA160" s="40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40"/>
      <c r="EA160" s="40"/>
      <c r="EB160" s="40"/>
      <c r="EC160" s="40"/>
      <c r="ED160" s="40"/>
      <c r="EE160" s="40"/>
      <c r="EF160" s="40"/>
      <c r="EG160" s="40"/>
      <c r="EH160" s="40"/>
      <c r="EI160" s="40"/>
      <c r="EJ160" s="40"/>
      <c r="EK160" s="40"/>
      <c r="EL160" s="40"/>
      <c r="EM160" s="40"/>
      <c r="EN160" s="40"/>
      <c r="EO160" s="40"/>
      <c r="EP160" s="40"/>
      <c r="EQ160" s="40"/>
      <c r="ER160" s="40"/>
      <c r="ES160" s="40"/>
      <c r="ET160" s="40"/>
      <c r="EU160" s="40"/>
      <c r="EV160" s="40"/>
      <c r="EW160" s="40"/>
      <c r="EX160" s="40"/>
      <c r="EY160" s="40"/>
      <c r="EZ160" s="40"/>
      <c r="FA160" s="40"/>
      <c r="FB160" s="40"/>
      <c r="FC160" s="40"/>
      <c r="FD160" s="40"/>
      <c r="FE160" s="40"/>
      <c r="FF160" s="40"/>
      <c r="FG160" s="40"/>
      <c r="FH160" s="40"/>
      <c r="FI160" s="40"/>
      <c r="FJ160" s="40"/>
      <c r="FK160" s="40"/>
      <c r="FL160" s="40"/>
      <c r="FM160" s="40"/>
      <c r="FN160" s="40"/>
      <c r="FO160" s="40"/>
      <c r="FP160" s="40"/>
      <c r="FQ160" s="40"/>
      <c r="FR160" s="40"/>
      <c r="FS160" s="40"/>
      <c r="FT160" s="40"/>
      <c r="FU160" s="40"/>
      <c r="FV160" s="40"/>
      <c r="FW160" s="40"/>
      <c r="FX160" s="40"/>
      <c r="FY160" s="40"/>
      <c r="FZ160" s="40"/>
      <c r="GA160" s="40"/>
      <c r="GB160" s="40"/>
      <c r="GC160" s="40"/>
      <c r="GD160" s="40"/>
      <c r="GE160" s="40"/>
      <c r="GF160" s="40"/>
      <c r="GG160" s="40"/>
      <c r="GH160" s="40"/>
      <c r="GI160" s="40"/>
      <c r="GJ160" s="40"/>
      <c r="GK160" s="40"/>
      <c r="GL160" s="40"/>
      <c r="GM160" s="40"/>
      <c r="GN160" s="40"/>
      <c r="GO160" s="40"/>
      <c r="GP160" s="40"/>
      <c r="GQ160" s="40"/>
      <c r="GR160" s="40"/>
      <c r="GS160" s="40"/>
      <c r="GT160" s="40"/>
      <c r="GU160" s="40"/>
      <c r="GV160" s="40"/>
      <c r="GW160" s="40"/>
      <c r="GX160" s="40"/>
      <c r="GY160" s="40"/>
      <c r="GZ160" s="40"/>
      <c r="HA160" s="40"/>
      <c r="HB160" s="40"/>
      <c r="HC160" s="40"/>
      <c r="HD160" s="40"/>
      <c r="HE160" s="40"/>
      <c r="HF160" s="40"/>
      <c r="HG160" s="40"/>
      <c r="HH160" s="40"/>
      <c r="HI160" s="40"/>
      <c r="HJ160" s="40"/>
      <c r="HK160" s="40"/>
      <c r="HL160" s="40"/>
      <c r="HM160" s="40"/>
      <c r="HN160" s="40"/>
      <c r="HO160" s="40"/>
      <c r="HP160" s="40"/>
      <c r="HQ160" s="40"/>
      <c r="HR160" s="40"/>
      <c r="HS160" s="40"/>
      <c r="HT160" s="40"/>
      <c r="HU160" s="40"/>
    </row>
    <row r="161" spans="1:229" s="41" customFormat="1" ht="28.8" customHeight="1">
      <c r="A161" s="124" t="s">
        <v>2115</v>
      </c>
      <c r="B161" s="80" t="s">
        <v>1636</v>
      </c>
      <c r="C161" s="80"/>
      <c r="D161" s="80" t="s">
        <v>1637</v>
      </c>
      <c r="E161" s="80" t="s">
        <v>1638</v>
      </c>
      <c r="F161" s="80" t="s">
        <v>1639</v>
      </c>
      <c r="G161" s="135" t="s">
        <v>1640</v>
      </c>
      <c r="H161" s="81">
        <v>0.35</v>
      </c>
      <c r="I161" s="81">
        <v>-0.05</v>
      </c>
      <c r="J161" s="79" t="s">
        <v>399</v>
      </c>
      <c r="K161" s="81"/>
      <c r="L161" s="79"/>
      <c r="M161" s="82" t="s">
        <v>1664</v>
      </c>
      <c r="N161" s="82" t="s">
        <v>1665</v>
      </c>
      <c r="O161" s="82" t="s">
        <v>316</v>
      </c>
      <c r="P161" s="142">
        <v>0.2</v>
      </c>
      <c r="Q161" s="40">
        <f>SUMIF(Data_P!A:A,CONCATENATE(A161,"_",R$1),Data_P!J:J)</f>
        <v>248.1</v>
      </c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  <c r="BA161" s="40"/>
      <c r="BB161" s="40"/>
      <c r="BC161" s="40"/>
      <c r="BD161" s="40"/>
      <c r="BE161" s="40"/>
      <c r="BF161" s="40"/>
      <c r="BG161" s="40"/>
      <c r="BH161" s="40"/>
      <c r="BI161" s="40"/>
      <c r="BJ161" s="40"/>
      <c r="BK161" s="40"/>
      <c r="BL161" s="40"/>
      <c r="BM161" s="40"/>
      <c r="BN161" s="40"/>
      <c r="BO161" s="40"/>
      <c r="BP161" s="40"/>
      <c r="BQ161" s="40"/>
      <c r="BR161" s="40"/>
      <c r="BS161" s="40"/>
      <c r="BT161" s="40"/>
      <c r="BU161" s="40"/>
      <c r="BV161" s="40"/>
      <c r="BW161" s="40"/>
      <c r="BX161" s="40"/>
      <c r="BY161" s="40"/>
      <c r="BZ161" s="40"/>
      <c r="CA161" s="40"/>
      <c r="CB161" s="40"/>
      <c r="CC161" s="40"/>
      <c r="CD161" s="40"/>
      <c r="CE161" s="40"/>
      <c r="CF161" s="40"/>
      <c r="CG161" s="40"/>
      <c r="CH161" s="40"/>
      <c r="CI161" s="40"/>
      <c r="CJ161" s="40"/>
      <c r="CK161" s="40"/>
      <c r="CL161" s="40"/>
      <c r="CM161" s="40"/>
      <c r="CN161" s="40"/>
      <c r="CO161" s="40"/>
      <c r="CP161" s="40"/>
      <c r="CQ161" s="40"/>
      <c r="CR161" s="40"/>
      <c r="CS161" s="40"/>
      <c r="CT161" s="40"/>
      <c r="CU161" s="40"/>
      <c r="CV161" s="40"/>
      <c r="CW161" s="40"/>
      <c r="CX161" s="40"/>
      <c r="CY161" s="40"/>
      <c r="CZ161" s="40"/>
      <c r="DA161" s="40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40"/>
      <c r="EA161" s="40"/>
      <c r="EB161" s="40"/>
      <c r="EC161" s="40"/>
      <c r="ED161" s="40"/>
      <c r="EE161" s="40"/>
      <c r="EF161" s="40"/>
      <c r="EG161" s="40"/>
      <c r="EH161" s="40"/>
      <c r="EI161" s="40"/>
      <c r="EJ161" s="40"/>
      <c r="EK161" s="40"/>
      <c r="EL161" s="40"/>
      <c r="EM161" s="40"/>
      <c r="EN161" s="40"/>
      <c r="EO161" s="40"/>
      <c r="EP161" s="40"/>
      <c r="EQ161" s="40"/>
      <c r="ER161" s="40"/>
      <c r="ES161" s="40"/>
      <c r="ET161" s="40"/>
      <c r="EU161" s="40"/>
      <c r="EV161" s="40"/>
      <c r="EW161" s="40"/>
      <c r="EX161" s="40"/>
      <c r="EY161" s="40"/>
      <c r="EZ161" s="40"/>
      <c r="FA161" s="40"/>
      <c r="FB161" s="40"/>
      <c r="FC161" s="40"/>
      <c r="FD161" s="40"/>
      <c r="FE161" s="40"/>
      <c r="FF161" s="40"/>
      <c r="FG161" s="40"/>
      <c r="FH161" s="40"/>
      <c r="FI161" s="40"/>
      <c r="FJ161" s="40"/>
      <c r="FK161" s="40"/>
      <c r="FL161" s="40"/>
      <c r="FM161" s="40"/>
      <c r="FN161" s="40"/>
      <c r="FO161" s="40"/>
      <c r="FP161" s="40"/>
      <c r="FQ161" s="40"/>
      <c r="FR161" s="40"/>
      <c r="FS161" s="40"/>
      <c r="FT161" s="40"/>
      <c r="FU161" s="40"/>
      <c r="FV161" s="40"/>
      <c r="FW161" s="40"/>
      <c r="FX161" s="40"/>
      <c r="FY161" s="40"/>
      <c r="FZ161" s="40"/>
      <c r="GA161" s="40"/>
      <c r="GB161" s="40"/>
      <c r="GC161" s="40"/>
      <c r="GD161" s="40"/>
      <c r="GE161" s="40"/>
      <c r="GF161" s="40"/>
      <c r="GG161" s="40"/>
      <c r="GH161" s="40"/>
      <c r="GI161" s="40"/>
      <c r="GJ161" s="40"/>
      <c r="GK161" s="40"/>
      <c r="GL161" s="40"/>
      <c r="GM161" s="40"/>
      <c r="GN161" s="40"/>
      <c r="GO161" s="40"/>
      <c r="GP161" s="40"/>
      <c r="GQ161" s="40"/>
      <c r="GR161" s="40"/>
      <c r="GS161" s="40"/>
      <c r="GT161" s="40"/>
      <c r="GU161" s="40"/>
      <c r="GV161" s="40"/>
      <c r="GW161" s="40"/>
      <c r="GX161" s="40"/>
      <c r="GY161" s="40"/>
      <c r="GZ161" s="40"/>
      <c r="HA161" s="40"/>
      <c r="HB161" s="40"/>
      <c r="HC161" s="40"/>
      <c r="HD161" s="40"/>
      <c r="HE161" s="40"/>
      <c r="HF161" s="40"/>
      <c r="HG161" s="40"/>
      <c r="HH161" s="40"/>
      <c r="HI161" s="40"/>
      <c r="HJ161" s="40"/>
      <c r="HK161" s="40"/>
      <c r="HL161" s="40"/>
      <c r="HM161" s="40"/>
      <c r="HN161" s="40"/>
      <c r="HO161" s="40"/>
      <c r="HP161" s="40"/>
      <c r="HQ161" s="40"/>
      <c r="HR161" s="40"/>
      <c r="HS161" s="40"/>
      <c r="HT161" s="40"/>
      <c r="HU161" s="40"/>
    </row>
    <row r="162" spans="1:229" s="41" customFormat="1" ht="28.8" customHeight="1">
      <c r="A162" s="124" t="s">
        <v>351</v>
      </c>
      <c r="B162" s="80" t="s">
        <v>361</v>
      </c>
      <c r="C162" s="80"/>
      <c r="D162" s="80" t="s">
        <v>363</v>
      </c>
      <c r="E162" s="80" t="s">
        <v>357</v>
      </c>
      <c r="F162" s="80" t="s">
        <v>1888</v>
      </c>
      <c r="G162" s="135" t="s">
        <v>367</v>
      </c>
      <c r="H162" s="81">
        <v>0.5</v>
      </c>
      <c r="I162" s="81">
        <v>-0.1</v>
      </c>
      <c r="J162" s="79" t="s">
        <v>399</v>
      </c>
      <c r="K162" s="81"/>
      <c r="L162" s="79"/>
      <c r="M162" s="82" t="s">
        <v>453</v>
      </c>
      <c r="N162" s="82" t="s">
        <v>294</v>
      </c>
      <c r="O162" s="82" t="s">
        <v>316</v>
      </c>
      <c r="P162" s="142">
        <v>0.2</v>
      </c>
      <c r="Q162" s="40">
        <f>SUMIF(Data_P!A:A,CONCATENATE(A162,"_",R$1),Data_P!J:J)</f>
        <v>226.9</v>
      </c>
      <c r="R162" s="40"/>
      <c r="S162" s="40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0"/>
      <c r="AK162" s="40"/>
      <c r="AL162" s="40"/>
      <c r="AM162" s="40"/>
      <c r="AN162" s="40"/>
      <c r="AO162" s="40"/>
      <c r="AP162" s="40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  <c r="BA162" s="40"/>
      <c r="BB162" s="40"/>
      <c r="BC162" s="40"/>
      <c r="BD162" s="40"/>
      <c r="BE162" s="40"/>
      <c r="BF162" s="40"/>
      <c r="BG162" s="40"/>
      <c r="BH162" s="40"/>
      <c r="BI162" s="40"/>
      <c r="BJ162" s="40"/>
      <c r="BK162" s="40"/>
      <c r="BL162" s="40"/>
      <c r="BM162" s="40"/>
      <c r="BN162" s="40"/>
      <c r="BO162" s="40"/>
      <c r="BP162" s="40"/>
      <c r="BQ162" s="40"/>
      <c r="BR162" s="40"/>
      <c r="BS162" s="40"/>
      <c r="BT162" s="40"/>
      <c r="BU162" s="40"/>
      <c r="BV162" s="40"/>
      <c r="BW162" s="40"/>
      <c r="BX162" s="40"/>
      <c r="BY162" s="40"/>
      <c r="BZ162" s="40"/>
      <c r="CA162" s="40"/>
      <c r="CB162" s="40"/>
      <c r="CC162" s="40"/>
      <c r="CD162" s="40"/>
      <c r="CE162" s="40"/>
      <c r="CF162" s="40"/>
      <c r="CG162" s="40"/>
      <c r="CH162" s="40"/>
      <c r="CI162" s="40"/>
      <c r="CJ162" s="40"/>
      <c r="CK162" s="40"/>
      <c r="CL162" s="40"/>
      <c r="CM162" s="40"/>
      <c r="CN162" s="40"/>
      <c r="CO162" s="40"/>
      <c r="CP162" s="40"/>
      <c r="CQ162" s="40"/>
      <c r="CR162" s="40"/>
      <c r="CS162" s="40"/>
      <c r="CT162" s="40"/>
      <c r="CU162" s="40"/>
      <c r="CV162" s="40"/>
      <c r="CW162" s="40"/>
      <c r="CX162" s="40"/>
      <c r="CY162" s="40"/>
      <c r="CZ162" s="40"/>
      <c r="DA162" s="40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40"/>
      <c r="EA162" s="40"/>
      <c r="EB162" s="40"/>
      <c r="EC162" s="40"/>
      <c r="ED162" s="40"/>
      <c r="EE162" s="40"/>
      <c r="EF162" s="40"/>
      <c r="EG162" s="40"/>
      <c r="EH162" s="40"/>
      <c r="EI162" s="40"/>
      <c r="EJ162" s="40"/>
      <c r="EK162" s="40"/>
      <c r="EL162" s="40"/>
      <c r="EM162" s="40"/>
      <c r="EN162" s="40"/>
      <c r="EO162" s="40"/>
      <c r="EP162" s="40"/>
      <c r="EQ162" s="40"/>
      <c r="ER162" s="40"/>
      <c r="ES162" s="40"/>
      <c r="ET162" s="40"/>
      <c r="EU162" s="40"/>
      <c r="EV162" s="40"/>
      <c r="EW162" s="40"/>
      <c r="EX162" s="40"/>
      <c r="EY162" s="40"/>
      <c r="EZ162" s="40"/>
      <c r="FA162" s="40"/>
      <c r="FB162" s="40"/>
      <c r="FC162" s="40"/>
      <c r="FD162" s="40"/>
      <c r="FE162" s="40"/>
      <c r="FF162" s="40"/>
      <c r="FG162" s="40"/>
      <c r="FH162" s="40"/>
      <c r="FI162" s="40"/>
      <c r="FJ162" s="40"/>
      <c r="FK162" s="40"/>
      <c r="FL162" s="40"/>
      <c r="FM162" s="40"/>
      <c r="FN162" s="40"/>
      <c r="FO162" s="40"/>
      <c r="FP162" s="40"/>
      <c r="FQ162" s="40"/>
      <c r="FR162" s="40"/>
      <c r="FS162" s="40"/>
      <c r="FT162" s="40"/>
      <c r="FU162" s="40"/>
      <c r="FV162" s="40"/>
      <c r="FW162" s="40"/>
      <c r="FX162" s="40"/>
      <c r="FY162" s="40"/>
      <c r="FZ162" s="40"/>
      <c r="GA162" s="40"/>
      <c r="GB162" s="40"/>
      <c r="GC162" s="40"/>
      <c r="GD162" s="40"/>
      <c r="GE162" s="40"/>
      <c r="GF162" s="40"/>
      <c r="GG162" s="40"/>
      <c r="GH162" s="40"/>
      <c r="GI162" s="40"/>
      <c r="GJ162" s="40"/>
      <c r="GK162" s="40"/>
      <c r="GL162" s="40"/>
      <c r="GM162" s="40"/>
      <c r="GN162" s="40"/>
      <c r="GO162" s="40"/>
      <c r="GP162" s="40"/>
      <c r="GQ162" s="40"/>
      <c r="GR162" s="40"/>
      <c r="GS162" s="40"/>
      <c r="GT162" s="40"/>
      <c r="GU162" s="40"/>
      <c r="GV162" s="40"/>
      <c r="GW162" s="40"/>
      <c r="GX162" s="40"/>
      <c r="GY162" s="40"/>
      <c r="GZ162" s="40"/>
      <c r="HA162" s="40"/>
      <c r="HB162" s="40"/>
      <c r="HC162" s="40"/>
      <c r="HD162" s="40"/>
      <c r="HE162" s="40"/>
      <c r="HF162" s="40"/>
      <c r="HG162" s="40"/>
      <c r="HH162" s="40"/>
      <c r="HI162" s="40"/>
      <c r="HJ162" s="40"/>
      <c r="HK162" s="40"/>
      <c r="HL162" s="40"/>
      <c r="HM162" s="40"/>
      <c r="HN162" s="40"/>
      <c r="HO162" s="40"/>
      <c r="HP162" s="40"/>
      <c r="HQ162" s="40"/>
      <c r="HR162" s="40"/>
      <c r="HS162" s="40"/>
      <c r="HT162" s="40"/>
      <c r="HU162" s="40"/>
    </row>
    <row r="163" spans="1:229" s="41" customFormat="1" ht="28.8" customHeight="1">
      <c r="A163" s="124" t="s">
        <v>1687</v>
      </c>
      <c r="B163" s="80" t="s">
        <v>1491</v>
      </c>
      <c r="C163" s="80"/>
      <c r="D163" s="80" t="s">
        <v>1492</v>
      </c>
      <c r="E163" s="80" t="s">
        <v>1493</v>
      </c>
      <c r="F163" s="80" t="s">
        <v>1494</v>
      </c>
      <c r="G163" s="135" t="s">
        <v>1495</v>
      </c>
      <c r="H163" s="81">
        <v>0.35</v>
      </c>
      <c r="I163" s="81">
        <v>-0.05</v>
      </c>
      <c r="J163" s="79" t="s">
        <v>399</v>
      </c>
      <c r="K163" s="81"/>
      <c r="L163" s="79"/>
      <c r="M163" s="82" t="s">
        <v>1554</v>
      </c>
      <c r="N163" s="82" t="s">
        <v>1555</v>
      </c>
      <c r="O163" s="82" t="s">
        <v>316</v>
      </c>
      <c r="P163" s="142">
        <v>0.2</v>
      </c>
      <c r="Q163" s="40">
        <f>SUMIF(Data_P!A:A,CONCATENATE(A163,"_",R$1),Data_P!J:J)</f>
        <v>575.19000000000005</v>
      </c>
      <c r="R163" s="40"/>
      <c r="S163" s="40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0"/>
      <c r="AK163" s="40"/>
      <c r="AL163" s="40"/>
      <c r="AM163" s="40"/>
      <c r="AN163" s="40"/>
      <c r="AO163" s="40"/>
      <c r="AP163" s="40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  <c r="BA163" s="40"/>
      <c r="BB163" s="40"/>
      <c r="BC163" s="40"/>
      <c r="BD163" s="40"/>
      <c r="BE163" s="40"/>
      <c r="BF163" s="40"/>
      <c r="BG163" s="40"/>
      <c r="BH163" s="40"/>
      <c r="BI163" s="40"/>
      <c r="BJ163" s="40"/>
      <c r="BK163" s="40"/>
      <c r="BL163" s="40"/>
      <c r="BM163" s="40"/>
      <c r="BN163" s="40"/>
      <c r="BO163" s="40"/>
      <c r="BP163" s="40"/>
      <c r="BQ163" s="40"/>
      <c r="BR163" s="40"/>
      <c r="BS163" s="40"/>
      <c r="BT163" s="40"/>
      <c r="BU163" s="40"/>
      <c r="BV163" s="40"/>
      <c r="BW163" s="40"/>
      <c r="BX163" s="40"/>
      <c r="BY163" s="40"/>
      <c r="BZ163" s="40"/>
      <c r="CA163" s="40"/>
      <c r="CB163" s="40"/>
      <c r="CC163" s="40"/>
      <c r="CD163" s="40"/>
      <c r="CE163" s="40"/>
      <c r="CF163" s="40"/>
      <c r="CG163" s="40"/>
      <c r="CH163" s="40"/>
      <c r="CI163" s="40"/>
      <c r="CJ163" s="40"/>
      <c r="CK163" s="40"/>
      <c r="CL163" s="40"/>
      <c r="CM163" s="40"/>
      <c r="CN163" s="40"/>
      <c r="CO163" s="40"/>
      <c r="CP163" s="40"/>
      <c r="CQ163" s="40"/>
      <c r="CR163" s="40"/>
      <c r="CS163" s="40"/>
      <c r="CT163" s="40"/>
      <c r="CU163" s="40"/>
      <c r="CV163" s="40"/>
      <c r="CW163" s="40"/>
      <c r="CX163" s="40"/>
      <c r="CY163" s="40"/>
      <c r="CZ163" s="40"/>
      <c r="DA163" s="40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40"/>
      <c r="EA163" s="40"/>
      <c r="EB163" s="40"/>
      <c r="EC163" s="40"/>
      <c r="ED163" s="40"/>
      <c r="EE163" s="40"/>
      <c r="EF163" s="40"/>
      <c r="EG163" s="40"/>
      <c r="EH163" s="40"/>
      <c r="EI163" s="40"/>
      <c r="EJ163" s="40"/>
      <c r="EK163" s="40"/>
      <c r="EL163" s="40"/>
      <c r="EM163" s="40"/>
      <c r="EN163" s="40"/>
      <c r="EO163" s="40"/>
      <c r="EP163" s="40"/>
      <c r="EQ163" s="40"/>
      <c r="ER163" s="40"/>
      <c r="ES163" s="40"/>
      <c r="ET163" s="40"/>
      <c r="EU163" s="40"/>
      <c r="EV163" s="40"/>
      <c r="EW163" s="40"/>
      <c r="EX163" s="40"/>
      <c r="EY163" s="40"/>
      <c r="EZ163" s="40"/>
      <c r="FA163" s="40"/>
      <c r="FB163" s="40"/>
      <c r="FC163" s="40"/>
      <c r="FD163" s="40"/>
      <c r="FE163" s="40"/>
      <c r="FF163" s="40"/>
      <c r="FG163" s="40"/>
      <c r="FH163" s="40"/>
      <c r="FI163" s="40"/>
      <c r="FJ163" s="40"/>
      <c r="FK163" s="40"/>
      <c r="FL163" s="40"/>
      <c r="FM163" s="40"/>
      <c r="FN163" s="40"/>
      <c r="FO163" s="40"/>
      <c r="FP163" s="40"/>
      <c r="FQ163" s="40"/>
      <c r="FR163" s="40"/>
      <c r="FS163" s="40"/>
      <c r="FT163" s="40"/>
      <c r="FU163" s="40"/>
      <c r="FV163" s="40"/>
      <c r="FW163" s="40"/>
      <c r="FX163" s="40"/>
      <c r="FY163" s="40"/>
      <c r="FZ163" s="40"/>
      <c r="GA163" s="40"/>
      <c r="GB163" s="40"/>
      <c r="GC163" s="40"/>
      <c r="GD163" s="40"/>
      <c r="GE163" s="40"/>
      <c r="GF163" s="40"/>
      <c r="GG163" s="40"/>
      <c r="GH163" s="40"/>
      <c r="GI163" s="40"/>
      <c r="GJ163" s="40"/>
      <c r="GK163" s="40"/>
      <c r="GL163" s="40"/>
      <c r="GM163" s="40"/>
      <c r="GN163" s="40"/>
      <c r="GO163" s="40"/>
      <c r="GP163" s="40"/>
      <c r="GQ163" s="40"/>
      <c r="GR163" s="40"/>
      <c r="GS163" s="40"/>
      <c r="GT163" s="40"/>
      <c r="GU163" s="40"/>
      <c r="GV163" s="40"/>
      <c r="GW163" s="40"/>
      <c r="GX163" s="40"/>
      <c r="GY163" s="40"/>
      <c r="GZ163" s="40"/>
      <c r="HA163" s="40"/>
      <c r="HB163" s="40"/>
      <c r="HC163" s="40"/>
      <c r="HD163" s="40"/>
      <c r="HE163" s="40"/>
      <c r="HF163" s="40"/>
      <c r="HG163" s="40"/>
      <c r="HH163" s="40"/>
      <c r="HI163" s="40"/>
      <c r="HJ163" s="40"/>
      <c r="HK163" s="40"/>
      <c r="HL163" s="40"/>
      <c r="HM163" s="40"/>
      <c r="HN163" s="40"/>
      <c r="HO163" s="40"/>
      <c r="HP163" s="40"/>
      <c r="HQ163" s="40"/>
      <c r="HR163" s="40"/>
      <c r="HS163" s="40"/>
      <c r="HT163" s="40"/>
      <c r="HU163" s="40"/>
    </row>
    <row r="164" spans="1:229" s="41" customFormat="1" ht="28.8" customHeight="1">
      <c r="A164" s="124" t="s">
        <v>1688</v>
      </c>
      <c r="B164" s="80" t="s">
        <v>360</v>
      </c>
      <c r="C164" s="80"/>
      <c r="D164" s="80" t="s">
        <v>362</v>
      </c>
      <c r="E164" s="80" t="s">
        <v>364</v>
      </c>
      <c r="F164" s="80" t="s">
        <v>365</v>
      </c>
      <c r="G164" s="135" t="s">
        <v>366</v>
      </c>
      <c r="H164" s="81">
        <v>0.5</v>
      </c>
      <c r="I164" s="81">
        <v>-0.1</v>
      </c>
      <c r="J164" s="79" t="s">
        <v>399</v>
      </c>
      <c r="K164" s="81"/>
      <c r="L164" s="79"/>
      <c r="M164" s="82" t="s">
        <v>384</v>
      </c>
      <c r="N164" s="82" t="s">
        <v>294</v>
      </c>
      <c r="O164" s="82" t="s">
        <v>316</v>
      </c>
      <c r="P164" s="142">
        <v>0.2</v>
      </c>
      <c r="Q164" s="40">
        <f>SUMIF(Data_P!A:A,CONCATENATE(A164,"_",R$1),Data_P!J:J)</f>
        <v>73.33</v>
      </c>
      <c r="R164" s="40"/>
      <c r="S164" s="40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0"/>
      <c r="AK164" s="40"/>
      <c r="AL164" s="40"/>
      <c r="AM164" s="40"/>
      <c r="AN164" s="40"/>
      <c r="AO164" s="40"/>
      <c r="AP164" s="40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  <c r="BA164" s="40"/>
      <c r="BB164" s="40"/>
      <c r="BC164" s="40"/>
      <c r="BD164" s="40"/>
      <c r="BE164" s="40"/>
      <c r="BF164" s="40"/>
      <c r="BG164" s="40"/>
      <c r="BH164" s="40"/>
      <c r="BI164" s="40"/>
      <c r="BJ164" s="40"/>
      <c r="BK164" s="40"/>
      <c r="BL164" s="40"/>
      <c r="BM164" s="40"/>
      <c r="BN164" s="40"/>
      <c r="BO164" s="40"/>
      <c r="BP164" s="40"/>
      <c r="BQ164" s="40"/>
      <c r="BR164" s="40"/>
      <c r="BS164" s="40"/>
      <c r="BT164" s="40"/>
      <c r="BU164" s="40"/>
      <c r="BV164" s="40"/>
      <c r="BW164" s="40"/>
      <c r="BX164" s="40"/>
      <c r="BY164" s="40"/>
      <c r="BZ164" s="40"/>
      <c r="CA164" s="40"/>
      <c r="CB164" s="40"/>
      <c r="CC164" s="40"/>
      <c r="CD164" s="40"/>
      <c r="CE164" s="40"/>
      <c r="CF164" s="40"/>
      <c r="CG164" s="40"/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40"/>
      <c r="CZ164" s="40"/>
      <c r="DA164" s="40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40"/>
      <c r="EA164" s="40"/>
      <c r="EB164" s="40"/>
      <c r="EC164" s="40"/>
      <c r="ED164" s="40"/>
      <c r="EE164" s="40"/>
      <c r="EF164" s="40"/>
      <c r="EG164" s="40"/>
      <c r="EH164" s="40"/>
      <c r="EI164" s="40"/>
      <c r="EJ164" s="40"/>
      <c r="EK164" s="40"/>
      <c r="EL164" s="40"/>
      <c r="EM164" s="40"/>
      <c r="EN164" s="40"/>
      <c r="EO164" s="40"/>
      <c r="EP164" s="40"/>
      <c r="EQ164" s="40"/>
      <c r="ER164" s="40"/>
      <c r="ES164" s="40"/>
      <c r="ET164" s="40"/>
      <c r="EU164" s="40"/>
      <c r="EV164" s="40"/>
      <c r="EW164" s="40"/>
      <c r="EX164" s="40"/>
      <c r="EY164" s="40"/>
      <c r="EZ164" s="40"/>
      <c r="FA164" s="40"/>
      <c r="FB164" s="40"/>
      <c r="FC164" s="40"/>
      <c r="FD164" s="40"/>
      <c r="FE164" s="40"/>
      <c r="FF164" s="40"/>
      <c r="FG164" s="40"/>
      <c r="FH164" s="40"/>
      <c r="FI164" s="40"/>
      <c r="FJ164" s="40"/>
      <c r="FK164" s="40"/>
      <c r="FL164" s="40"/>
      <c r="FM164" s="40"/>
      <c r="FN164" s="40"/>
      <c r="FO164" s="40"/>
      <c r="FP164" s="40"/>
      <c r="FQ164" s="40"/>
      <c r="FR164" s="40"/>
      <c r="FS164" s="40"/>
      <c r="FT164" s="40"/>
      <c r="FU164" s="40"/>
      <c r="FV164" s="40"/>
      <c r="FW164" s="40"/>
      <c r="FX164" s="40"/>
      <c r="FY164" s="40"/>
      <c r="FZ164" s="40"/>
      <c r="GA164" s="40"/>
      <c r="GB164" s="40"/>
      <c r="GC164" s="40"/>
      <c r="GD164" s="40"/>
      <c r="GE164" s="40"/>
      <c r="GF164" s="40"/>
      <c r="GG164" s="40"/>
      <c r="GH164" s="40"/>
      <c r="GI164" s="40"/>
      <c r="GJ164" s="40"/>
      <c r="GK164" s="40"/>
      <c r="GL164" s="40"/>
      <c r="GM164" s="40"/>
      <c r="GN164" s="40"/>
      <c r="GO164" s="40"/>
      <c r="GP164" s="40"/>
      <c r="GQ164" s="40"/>
      <c r="GR164" s="40"/>
      <c r="GS164" s="40"/>
      <c r="GT164" s="40"/>
      <c r="GU164" s="40"/>
      <c r="GV164" s="40"/>
      <c r="GW164" s="40"/>
      <c r="GX164" s="40"/>
      <c r="GY164" s="40"/>
      <c r="GZ164" s="40"/>
      <c r="HA164" s="40"/>
      <c r="HB164" s="40"/>
      <c r="HC164" s="40"/>
      <c r="HD164" s="40"/>
      <c r="HE164" s="40"/>
      <c r="HF164" s="40"/>
      <c r="HG164" s="40"/>
      <c r="HH164" s="40"/>
      <c r="HI164" s="40"/>
      <c r="HJ164" s="40"/>
      <c r="HK164" s="40"/>
      <c r="HL164" s="40"/>
      <c r="HM164" s="40"/>
      <c r="HN164" s="40"/>
      <c r="HO164" s="40"/>
      <c r="HP164" s="40"/>
      <c r="HQ164" s="40"/>
      <c r="HR164" s="40"/>
      <c r="HS164" s="40"/>
      <c r="HT164" s="40"/>
      <c r="HU164" s="40"/>
    </row>
    <row r="165" spans="1:229" s="41" customFormat="1" ht="28.8" customHeight="1">
      <c r="A165" s="124" t="s">
        <v>1689</v>
      </c>
      <c r="B165" s="80" t="s">
        <v>1646</v>
      </c>
      <c r="C165" s="80"/>
      <c r="D165" s="80" t="s">
        <v>1647</v>
      </c>
      <c r="E165" s="80" t="s">
        <v>1648</v>
      </c>
      <c r="F165" s="80" t="s">
        <v>365</v>
      </c>
      <c r="G165" s="135" t="s">
        <v>366</v>
      </c>
      <c r="H165" s="81">
        <v>0.35</v>
      </c>
      <c r="I165" s="81">
        <v>-0.05</v>
      </c>
      <c r="J165" s="79" t="s">
        <v>399</v>
      </c>
      <c r="K165" s="81"/>
      <c r="L165" s="79"/>
      <c r="M165" s="82" t="s">
        <v>1666</v>
      </c>
      <c r="N165" s="82" t="s">
        <v>863</v>
      </c>
      <c r="O165" s="82" t="s">
        <v>316</v>
      </c>
      <c r="P165" s="142">
        <v>0.2</v>
      </c>
      <c r="Q165" s="40">
        <f>SUMIF(Data_P!A:A,CONCATENATE(A165,"_",R$1),Data_P!J:J)</f>
        <v>99.64</v>
      </c>
      <c r="R165" s="40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  <c r="BA165" s="40"/>
      <c r="BB165" s="40"/>
      <c r="BC165" s="40"/>
      <c r="BD165" s="40"/>
      <c r="BE165" s="40"/>
      <c r="BF165" s="40"/>
      <c r="BG165" s="40"/>
      <c r="BH165" s="40"/>
      <c r="BI165" s="40"/>
      <c r="BJ165" s="40"/>
      <c r="BK165" s="40"/>
      <c r="BL165" s="40"/>
      <c r="BM165" s="40"/>
      <c r="BN165" s="40"/>
      <c r="BO165" s="40"/>
      <c r="BP165" s="40"/>
      <c r="BQ165" s="40"/>
      <c r="BR165" s="40"/>
      <c r="BS165" s="40"/>
      <c r="BT165" s="40"/>
      <c r="BU165" s="40"/>
      <c r="BV165" s="40"/>
      <c r="BW165" s="40"/>
      <c r="BX165" s="40"/>
      <c r="BY165" s="40"/>
      <c r="BZ165" s="40"/>
      <c r="CA165" s="40"/>
      <c r="CB165" s="40"/>
      <c r="CC165" s="40"/>
      <c r="CD165" s="40"/>
      <c r="CE165" s="40"/>
      <c r="CF165" s="40"/>
      <c r="CG165" s="40"/>
      <c r="CH165" s="40"/>
      <c r="CI165" s="40"/>
      <c r="CJ165" s="40"/>
      <c r="CK165" s="40"/>
      <c r="CL165" s="40"/>
      <c r="CM165" s="40"/>
      <c r="CN165" s="40"/>
      <c r="CO165" s="40"/>
      <c r="CP165" s="40"/>
      <c r="CQ165" s="40"/>
      <c r="CR165" s="40"/>
      <c r="CS165" s="40"/>
      <c r="CT165" s="40"/>
      <c r="CU165" s="40"/>
      <c r="CV165" s="40"/>
      <c r="CW165" s="40"/>
      <c r="CX165" s="40"/>
      <c r="CY165" s="40"/>
      <c r="CZ165" s="40"/>
      <c r="DA165" s="40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40"/>
      <c r="EA165" s="40"/>
      <c r="EB165" s="40"/>
      <c r="EC165" s="40"/>
      <c r="ED165" s="40"/>
      <c r="EE165" s="40"/>
      <c r="EF165" s="40"/>
      <c r="EG165" s="40"/>
      <c r="EH165" s="40"/>
      <c r="EI165" s="40"/>
      <c r="EJ165" s="40"/>
      <c r="EK165" s="40"/>
      <c r="EL165" s="40"/>
      <c r="EM165" s="40"/>
      <c r="EN165" s="40"/>
      <c r="EO165" s="40"/>
      <c r="EP165" s="40"/>
      <c r="EQ165" s="40"/>
      <c r="ER165" s="40"/>
      <c r="ES165" s="40"/>
      <c r="ET165" s="40"/>
      <c r="EU165" s="40"/>
      <c r="EV165" s="40"/>
      <c r="EW165" s="40"/>
      <c r="EX165" s="40"/>
      <c r="EY165" s="40"/>
      <c r="EZ165" s="40"/>
      <c r="FA165" s="40"/>
      <c r="FB165" s="40"/>
      <c r="FC165" s="40"/>
      <c r="FD165" s="40"/>
      <c r="FE165" s="40"/>
      <c r="FF165" s="40"/>
      <c r="FG165" s="40"/>
      <c r="FH165" s="40"/>
      <c r="FI165" s="40"/>
      <c r="FJ165" s="40"/>
      <c r="FK165" s="40"/>
      <c r="FL165" s="40"/>
      <c r="FM165" s="40"/>
      <c r="FN165" s="40"/>
      <c r="FO165" s="40"/>
      <c r="FP165" s="40"/>
      <c r="FQ165" s="40"/>
      <c r="FR165" s="40"/>
      <c r="FS165" s="40"/>
      <c r="FT165" s="40"/>
      <c r="FU165" s="40"/>
      <c r="FV165" s="40"/>
      <c r="FW165" s="40"/>
      <c r="FX165" s="40"/>
      <c r="FY165" s="40"/>
      <c r="FZ165" s="40"/>
      <c r="GA165" s="40"/>
      <c r="GB165" s="40"/>
      <c r="GC165" s="40"/>
      <c r="GD165" s="40"/>
      <c r="GE165" s="40"/>
      <c r="GF165" s="40"/>
      <c r="GG165" s="40"/>
      <c r="GH165" s="40"/>
      <c r="GI165" s="40"/>
      <c r="GJ165" s="40"/>
      <c r="GK165" s="40"/>
      <c r="GL165" s="40"/>
      <c r="GM165" s="40"/>
      <c r="GN165" s="40"/>
      <c r="GO165" s="40"/>
      <c r="GP165" s="40"/>
      <c r="GQ165" s="40"/>
      <c r="GR165" s="40"/>
      <c r="GS165" s="40"/>
      <c r="GT165" s="40"/>
      <c r="GU165" s="40"/>
      <c r="GV165" s="40"/>
      <c r="GW165" s="40"/>
      <c r="GX165" s="40"/>
      <c r="GY165" s="40"/>
      <c r="GZ165" s="40"/>
      <c r="HA165" s="40"/>
      <c r="HB165" s="40"/>
      <c r="HC165" s="40"/>
      <c r="HD165" s="40"/>
      <c r="HE165" s="40"/>
      <c r="HF165" s="40"/>
      <c r="HG165" s="40"/>
      <c r="HH165" s="40"/>
      <c r="HI165" s="40"/>
      <c r="HJ165" s="40"/>
      <c r="HK165" s="40"/>
      <c r="HL165" s="40"/>
      <c r="HM165" s="40"/>
      <c r="HN165" s="40"/>
      <c r="HO165" s="40"/>
      <c r="HP165" s="40"/>
      <c r="HQ165" s="40"/>
      <c r="HR165" s="40"/>
      <c r="HS165" s="40"/>
      <c r="HT165" s="40"/>
      <c r="HU165" s="40"/>
    </row>
    <row r="166" spans="1:229" s="41" customFormat="1" ht="28.8" customHeight="1">
      <c r="A166" s="124" t="s">
        <v>2116</v>
      </c>
      <c r="B166" s="80" t="s">
        <v>528</v>
      </c>
      <c r="C166" s="80"/>
      <c r="D166" s="80" t="s">
        <v>529</v>
      </c>
      <c r="E166" s="80" t="s">
        <v>530</v>
      </c>
      <c r="F166" s="80" t="s">
        <v>2186</v>
      </c>
      <c r="G166" s="135" t="s">
        <v>531</v>
      </c>
      <c r="H166" s="81">
        <v>0.4</v>
      </c>
      <c r="I166" s="81">
        <v>-0.1</v>
      </c>
      <c r="J166" s="79" t="s">
        <v>399</v>
      </c>
      <c r="K166" s="81"/>
      <c r="L166" s="79"/>
      <c r="M166" s="82" t="s">
        <v>599</v>
      </c>
      <c r="N166" s="82" t="s">
        <v>550</v>
      </c>
      <c r="O166" s="82" t="s">
        <v>316</v>
      </c>
      <c r="P166" s="142">
        <v>0.2</v>
      </c>
      <c r="Q166" s="40">
        <f>SUMIF(Data_P!A:A,CONCATENATE(A166,"_",R$1),Data_P!J:J)</f>
        <v>232.42</v>
      </c>
      <c r="R166" s="40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0"/>
      <c r="AK166" s="40"/>
      <c r="AL166" s="40"/>
      <c r="AM166" s="40"/>
      <c r="AN166" s="40"/>
      <c r="AO166" s="40"/>
      <c r="AP166" s="40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  <c r="BA166" s="40"/>
      <c r="BB166" s="40"/>
      <c r="BC166" s="40"/>
      <c r="BD166" s="40"/>
      <c r="BE166" s="40"/>
      <c r="BF166" s="40"/>
      <c r="BG166" s="40"/>
      <c r="BH166" s="40"/>
      <c r="BI166" s="40"/>
      <c r="BJ166" s="40"/>
      <c r="BK166" s="40"/>
      <c r="BL166" s="40"/>
      <c r="BM166" s="40"/>
      <c r="BN166" s="40"/>
      <c r="BO166" s="40"/>
      <c r="BP166" s="40"/>
      <c r="BQ166" s="40"/>
      <c r="BR166" s="40"/>
      <c r="BS166" s="40"/>
      <c r="BT166" s="40"/>
      <c r="BU166" s="40"/>
      <c r="BV166" s="40"/>
      <c r="BW166" s="40"/>
      <c r="BX166" s="40"/>
      <c r="BY166" s="40"/>
      <c r="BZ166" s="40"/>
      <c r="CA166" s="40"/>
      <c r="CB166" s="40"/>
      <c r="CC166" s="40"/>
      <c r="CD166" s="40"/>
      <c r="CE166" s="40"/>
      <c r="CF166" s="40"/>
      <c r="CG166" s="40"/>
      <c r="CH166" s="40"/>
      <c r="CI166" s="40"/>
      <c r="CJ166" s="40"/>
      <c r="CK166" s="40"/>
      <c r="CL166" s="40"/>
      <c r="CM166" s="40"/>
      <c r="CN166" s="40"/>
      <c r="CO166" s="40"/>
      <c r="CP166" s="40"/>
      <c r="CQ166" s="40"/>
      <c r="CR166" s="40"/>
      <c r="CS166" s="40"/>
      <c r="CT166" s="40"/>
      <c r="CU166" s="40"/>
      <c r="CV166" s="40"/>
      <c r="CW166" s="40"/>
      <c r="CX166" s="40"/>
      <c r="CY166" s="40"/>
      <c r="CZ166" s="40"/>
      <c r="DA166" s="40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40"/>
      <c r="EA166" s="40"/>
      <c r="EB166" s="40"/>
      <c r="EC166" s="40"/>
      <c r="ED166" s="40"/>
      <c r="EE166" s="40"/>
      <c r="EF166" s="40"/>
      <c r="EG166" s="40"/>
      <c r="EH166" s="40"/>
      <c r="EI166" s="40"/>
      <c r="EJ166" s="40"/>
      <c r="EK166" s="40"/>
      <c r="EL166" s="40"/>
      <c r="EM166" s="40"/>
      <c r="EN166" s="40"/>
      <c r="EO166" s="40"/>
      <c r="EP166" s="40"/>
      <c r="EQ166" s="40"/>
      <c r="ER166" s="40"/>
      <c r="ES166" s="40"/>
      <c r="ET166" s="40"/>
      <c r="EU166" s="40"/>
      <c r="EV166" s="40"/>
      <c r="EW166" s="40"/>
      <c r="EX166" s="40"/>
      <c r="EY166" s="40"/>
      <c r="EZ166" s="40"/>
      <c r="FA166" s="40"/>
      <c r="FB166" s="40"/>
      <c r="FC166" s="40"/>
      <c r="FD166" s="40"/>
      <c r="FE166" s="40"/>
      <c r="FF166" s="40"/>
      <c r="FG166" s="40"/>
      <c r="FH166" s="40"/>
      <c r="FI166" s="40"/>
      <c r="FJ166" s="40"/>
      <c r="FK166" s="40"/>
      <c r="FL166" s="40"/>
      <c r="FM166" s="40"/>
      <c r="FN166" s="40"/>
      <c r="FO166" s="40"/>
      <c r="FP166" s="40"/>
      <c r="FQ166" s="40"/>
      <c r="FR166" s="40"/>
      <c r="FS166" s="40"/>
      <c r="FT166" s="40"/>
      <c r="FU166" s="40"/>
      <c r="FV166" s="40"/>
      <c r="FW166" s="40"/>
      <c r="FX166" s="40"/>
      <c r="FY166" s="40"/>
      <c r="FZ166" s="40"/>
      <c r="GA166" s="40"/>
      <c r="GB166" s="40"/>
      <c r="GC166" s="40"/>
      <c r="GD166" s="40"/>
      <c r="GE166" s="40"/>
      <c r="GF166" s="40"/>
      <c r="GG166" s="40"/>
      <c r="GH166" s="40"/>
      <c r="GI166" s="40"/>
      <c r="GJ166" s="40"/>
      <c r="GK166" s="40"/>
      <c r="GL166" s="40"/>
      <c r="GM166" s="40"/>
      <c r="GN166" s="40"/>
      <c r="GO166" s="40"/>
      <c r="GP166" s="40"/>
      <c r="GQ166" s="40"/>
      <c r="GR166" s="40"/>
      <c r="GS166" s="40"/>
      <c r="GT166" s="40"/>
      <c r="GU166" s="40"/>
      <c r="GV166" s="40"/>
      <c r="GW166" s="40"/>
      <c r="GX166" s="40"/>
      <c r="GY166" s="40"/>
      <c r="GZ166" s="40"/>
      <c r="HA166" s="40"/>
      <c r="HB166" s="40"/>
      <c r="HC166" s="40"/>
      <c r="HD166" s="40"/>
      <c r="HE166" s="40"/>
      <c r="HF166" s="40"/>
      <c r="HG166" s="40"/>
      <c r="HH166" s="40"/>
      <c r="HI166" s="40"/>
      <c r="HJ166" s="40"/>
      <c r="HK166" s="40"/>
      <c r="HL166" s="40"/>
      <c r="HM166" s="40"/>
      <c r="HN166" s="40"/>
      <c r="HO166" s="40"/>
      <c r="HP166" s="40"/>
      <c r="HQ166" s="40"/>
      <c r="HR166" s="40"/>
      <c r="HS166" s="40"/>
      <c r="HT166" s="40"/>
      <c r="HU166" s="40"/>
    </row>
    <row r="167" spans="1:229" s="41" customFormat="1" ht="28.8" customHeight="1">
      <c r="A167" s="124" t="s">
        <v>2117</v>
      </c>
      <c r="B167" s="80" t="s">
        <v>1212</v>
      </c>
      <c r="C167" s="80"/>
      <c r="D167" s="80" t="s">
        <v>1323</v>
      </c>
      <c r="E167" s="80" t="s">
        <v>1324</v>
      </c>
      <c r="F167" s="80" t="s">
        <v>1846</v>
      </c>
      <c r="G167" s="135" t="s">
        <v>1847</v>
      </c>
      <c r="H167" s="81">
        <v>0.4</v>
      </c>
      <c r="I167" s="81">
        <v>-0.05</v>
      </c>
      <c r="J167" s="79" t="s">
        <v>399</v>
      </c>
      <c r="K167" s="81"/>
      <c r="L167" s="79"/>
      <c r="M167" s="82" t="s">
        <v>1839</v>
      </c>
      <c r="N167" s="82" t="s">
        <v>1840</v>
      </c>
      <c r="O167" s="82" t="s">
        <v>316</v>
      </c>
      <c r="P167" s="142">
        <v>0.2</v>
      </c>
      <c r="Q167" s="40">
        <f>SUMIF(Data_P!A:A,CONCATENATE(A167,"_",R$1),Data_P!J:J)</f>
        <v>323.04000000000002</v>
      </c>
      <c r="R167" s="40"/>
      <c r="S167" s="40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0"/>
      <c r="AK167" s="40"/>
      <c r="AL167" s="40"/>
      <c r="AM167" s="40"/>
      <c r="AN167" s="40"/>
      <c r="AO167" s="40"/>
      <c r="AP167" s="40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  <c r="BA167" s="40"/>
      <c r="BB167" s="40"/>
      <c r="BC167" s="40"/>
      <c r="BD167" s="40"/>
      <c r="BE167" s="40"/>
      <c r="BF167" s="40"/>
      <c r="BG167" s="40"/>
      <c r="BH167" s="40"/>
      <c r="BI167" s="40"/>
      <c r="BJ167" s="40"/>
      <c r="BK167" s="40"/>
      <c r="BL167" s="40"/>
      <c r="BM167" s="40"/>
      <c r="BN167" s="40"/>
      <c r="BO167" s="40"/>
      <c r="BP167" s="40"/>
      <c r="BQ167" s="40"/>
      <c r="BR167" s="40"/>
      <c r="BS167" s="40"/>
      <c r="BT167" s="40"/>
      <c r="BU167" s="40"/>
      <c r="BV167" s="40"/>
      <c r="BW167" s="40"/>
      <c r="BX167" s="40"/>
      <c r="BY167" s="40"/>
      <c r="BZ167" s="40"/>
      <c r="CA167" s="40"/>
      <c r="CB167" s="40"/>
      <c r="CC167" s="40"/>
      <c r="CD167" s="40"/>
      <c r="CE167" s="40"/>
      <c r="CF167" s="40"/>
      <c r="CG167" s="40"/>
      <c r="CH167" s="40"/>
      <c r="CI167" s="40"/>
      <c r="CJ167" s="40"/>
      <c r="CK167" s="40"/>
      <c r="CL167" s="40"/>
      <c r="CM167" s="40"/>
      <c r="CN167" s="40"/>
      <c r="CO167" s="40"/>
      <c r="CP167" s="40"/>
      <c r="CQ167" s="40"/>
      <c r="CR167" s="40"/>
      <c r="CS167" s="40"/>
      <c r="CT167" s="40"/>
      <c r="CU167" s="40"/>
      <c r="CV167" s="40"/>
      <c r="CW167" s="40"/>
      <c r="CX167" s="40"/>
      <c r="CY167" s="40"/>
      <c r="CZ167" s="40"/>
      <c r="DA167" s="40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40"/>
      <c r="EA167" s="40"/>
      <c r="EB167" s="40"/>
      <c r="EC167" s="40"/>
      <c r="ED167" s="40"/>
      <c r="EE167" s="40"/>
      <c r="EF167" s="40"/>
      <c r="EG167" s="40"/>
      <c r="EH167" s="40"/>
      <c r="EI167" s="40"/>
      <c r="EJ167" s="40"/>
      <c r="EK167" s="40"/>
      <c r="EL167" s="40"/>
      <c r="EM167" s="40"/>
      <c r="EN167" s="40"/>
      <c r="EO167" s="40"/>
      <c r="EP167" s="40"/>
      <c r="EQ167" s="40"/>
      <c r="ER167" s="40"/>
      <c r="ES167" s="40"/>
      <c r="ET167" s="40"/>
      <c r="EU167" s="40"/>
      <c r="EV167" s="40"/>
      <c r="EW167" s="40"/>
      <c r="EX167" s="40"/>
      <c r="EY167" s="40"/>
      <c r="EZ167" s="40"/>
      <c r="FA167" s="40"/>
      <c r="FB167" s="40"/>
      <c r="FC167" s="40"/>
      <c r="FD167" s="40"/>
      <c r="FE167" s="40"/>
      <c r="FF167" s="40"/>
      <c r="FG167" s="40"/>
      <c r="FH167" s="40"/>
      <c r="FI167" s="40"/>
      <c r="FJ167" s="40"/>
      <c r="FK167" s="40"/>
      <c r="FL167" s="40"/>
      <c r="FM167" s="40"/>
      <c r="FN167" s="40"/>
      <c r="FO167" s="40"/>
      <c r="FP167" s="40"/>
      <c r="FQ167" s="40"/>
      <c r="FR167" s="40"/>
      <c r="FS167" s="40"/>
      <c r="FT167" s="40"/>
      <c r="FU167" s="40"/>
      <c r="FV167" s="40"/>
      <c r="FW167" s="40"/>
      <c r="FX167" s="40"/>
      <c r="FY167" s="40"/>
      <c r="FZ167" s="40"/>
      <c r="GA167" s="40"/>
      <c r="GB167" s="40"/>
      <c r="GC167" s="40"/>
      <c r="GD167" s="40"/>
      <c r="GE167" s="40"/>
      <c r="GF167" s="40"/>
      <c r="GG167" s="40"/>
      <c r="GH167" s="40"/>
      <c r="GI167" s="40"/>
      <c r="GJ167" s="40"/>
      <c r="GK167" s="40"/>
      <c r="GL167" s="40"/>
      <c r="GM167" s="40"/>
      <c r="GN167" s="40"/>
      <c r="GO167" s="40"/>
      <c r="GP167" s="40"/>
      <c r="GQ167" s="40"/>
      <c r="GR167" s="40"/>
      <c r="GS167" s="40"/>
      <c r="GT167" s="40"/>
      <c r="GU167" s="40"/>
      <c r="GV167" s="40"/>
      <c r="GW167" s="40"/>
      <c r="GX167" s="40"/>
      <c r="GY167" s="40"/>
      <c r="GZ167" s="40"/>
      <c r="HA167" s="40"/>
      <c r="HB167" s="40"/>
      <c r="HC167" s="40"/>
      <c r="HD167" s="40"/>
      <c r="HE167" s="40"/>
      <c r="HF167" s="40"/>
      <c r="HG167" s="40"/>
      <c r="HH167" s="40"/>
      <c r="HI167" s="40"/>
      <c r="HJ167" s="40"/>
      <c r="HK167" s="40"/>
      <c r="HL167" s="40"/>
      <c r="HM167" s="40"/>
      <c r="HN167" s="40"/>
      <c r="HO167" s="40"/>
      <c r="HP167" s="40"/>
      <c r="HQ167" s="40"/>
      <c r="HR167" s="40"/>
      <c r="HS167" s="40"/>
      <c r="HT167" s="40"/>
      <c r="HU167" s="40"/>
    </row>
    <row r="168" spans="1:229" s="41" customFormat="1" ht="28.8" customHeight="1">
      <c r="A168" s="124" t="s">
        <v>474</v>
      </c>
      <c r="B168" s="80" t="s">
        <v>500</v>
      </c>
      <c r="C168" s="80" t="s">
        <v>505</v>
      </c>
      <c r="D168" s="80" t="s">
        <v>501</v>
      </c>
      <c r="E168" s="80" t="s">
        <v>502</v>
      </c>
      <c r="F168" s="80" t="s">
        <v>503</v>
      </c>
      <c r="G168" s="135" t="s">
        <v>504</v>
      </c>
      <c r="H168" s="81">
        <v>0.4</v>
      </c>
      <c r="I168" s="81">
        <v>-0.05</v>
      </c>
      <c r="J168" s="79" t="s">
        <v>399</v>
      </c>
      <c r="K168" s="81"/>
      <c r="L168" s="79"/>
      <c r="M168" s="82" t="s">
        <v>519</v>
      </c>
      <c r="N168" s="82" t="s">
        <v>262</v>
      </c>
      <c r="O168" s="82" t="s">
        <v>317</v>
      </c>
      <c r="P168" s="142">
        <v>0.2</v>
      </c>
      <c r="Q168" s="40">
        <f>SUMIF(Data_P!A:A,CONCATENATE(A168,"_",R$1),Data_P!J:J)</f>
        <v>3227.87</v>
      </c>
      <c r="R168" s="40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  <c r="BA168" s="40"/>
      <c r="BB168" s="40"/>
      <c r="BC168" s="40"/>
      <c r="BD168" s="40"/>
      <c r="BE168" s="40"/>
      <c r="BF168" s="40"/>
      <c r="BG168" s="40"/>
      <c r="BH168" s="40"/>
      <c r="BI168" s="40"/>
      <c r="BJ168" s="40"/>
      <c r="BK168" s="40"/>
      <c r="BL168" s="40"/>
      <c r="BM168" s="40"/>
      <c r="BN168" s="40"/>
      <c r="BO168" s="40"/>
      <c r="BP168" s="40"/>
      <c r="BQ168" s="40"/>
      <c r="BR168" s="40"/>
      <c r="BS168" s="40"/>
      <c r="BT168" s="40"/>
      <c r="BU168" s="40"/>
      <c r="BV168" s="40"/>
      <c r="BW168" s="40"/>
      <c r="BX168" s="40"/>
      <c r="BY168" s="40"/>
      <c r="BZ168" s="40"/>
      <c r="CA168" s="40"/>
      <c r="CB168" s="40"/>
      <c r="CC168" s="40"/>
      <c r="CD168" s="40"/>
      <c r="CE168" s="40"/>
      <c r="CF168" s="40"/>
      <c r="CG168" s="40"/>
      <c r="CH168" s="40"/>
      <c r="CI168" s="40"/>
      <c r="CJ168" s="40"/>
      <c r="CK168" s="40"/>
      <c r="CL168" s="40"/>
      <c r="CM168" s="40"/>
      <c r="CN168" s="40"/>
      <c r="CO168" s="40"/>
      <c r="CP168" s="40"/>
      <c r="CQ168" s="40"/>
      <c r="CR168" s="40"/>
      <c r="CS168" s="40"/>
      <c r="CT168" s="40"/>
      <c r="CU168" s="40"/>
      <c r="CV168" s="40"/>
      <c r="CW168" s="40"/>
      <c r="CX168" s="40"/>
      <c r="CY168" s="40"/>
      <c r="CZ168" s="40"/>
      <c r="DA168" s="40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40"/>
      <c r="EA168" s="40"/>
      <c r="EB168" s="40"/>
      <c r="EC168" s="40"/>
      <c r="ED168" s="40"/>
      <c r="EE168" s="40"/>
      <c r="EF168" s="40"/>
      <c r="EG168" s="40"/>
      <c r="EH168" s="40"/>
      <c r="EI168" s="40"/>
      <c r="EJ168" s="40"/>
      <c r="EK168" s="40"/>
      <c r="EL168" s="40"/>
      <c r="EM168" s="40"/>
      <c r="EN168" s="40"/>
      <c r="EO168" s="40"/>
      <c r="EP168" s="40"/>
      <c r="EQ168" s="40"/>
      <c r="ER168" s="40"/>
      <c r="ES168" s="40"/>
      <c r="ET168" s="40"/>
      <c r="EU168" s="40"/>
      <c r="EV168" s="40"/>
      <c r="EW168" s="40"/>
      <c r="EX168" s="40"/>
      <c r="EY168" s="40"/>
      <c r="EZ168" s="40"/>
      <c r="FA168" s="40"/>
      <c r="FB168" s="40"/>
      <c r="FC168" s="40"/>
      <c r="FD168" s="40"/>
      <c r="FE168" s="40"/>
      <c r="FF168" s="40"/>
      <c r="FG168" s="40"/>
      <c r="FH168" s="40"/>
      <c r="FI168" s="40"/>
      <c r="FJ168" s="40"/>
      <c r="FK168" s="40"/>
      <c r="FL168" s="40"/>
      <c r="FM168" s="40"/>
      <c r="FN168" s="40"/>
      <c r="FO168" s="40"/>
      <c r="FP168" s="40"/>
      <c r="FQ168" s="40"/>
      <c r="FR168" s="40"/>
      <c r="FS168" s="40"/>
      <c r="FT168" s="40"/>
      <c r="FU168" s="40"/>
      <c r="FV168" s="40"/>
      <c r="FW168" s="40"/>
      <c r="FX168" s="40"/>
      <c r="FY168" s="40"/>
      <c r="FZ168" s="40"/>
      <c r="GA168" s="40"/>
      <c r="GB168" s="40"/>
      <c r="GC168" s="40"/>
      <c r="GD168" s="40"/>
      <c r="GE168" s="40"/>
      <c r="GF168" s="40"/>
      <c r="GG168" s="40"/>
      <c r="GH168" s="40"/>
      <c r="GI168" s="40"/>
      <c r="GJ168" s="40"/>
      <c r="GK168" s="40"/>
      <c r="GL168" s="40"/>
      <c r="GM168" s="40"/>
      <c r="GN168" s="40"/>
      <c r="GO168" s="40"/>
      <c r="GP168" s="40"/>
      <c r="GQ168" s="40"/>
      <c r="GR168" s="40"/>
      <c r="GS168" s="40"/>
      <c r="GT168" s="40"/>
      <c r="GU168" s="40"/>
      <c r="GV168" s="40"/>
      <c r="GW168" s="40"/>
      <c r="GX168" s="40"/>
      <c r="GY168" s="40"/>
      <c r="GZ168" s="40"/>
      <c r="HA168" s="40"/>
      <c r="HB168" s="40"/>
      <c r="HC168" s="40"/>
      <c r="HD168" s="40"/>
      <c r="HE168" s="40"/>
      <c r="HF168" s="40"/>
      <c r="HG168" s="40"/>
      <c r="HH168" s="40"/>
      <c r="HI168" s="40"/>
      <c r="HJ168" s="40"/>
      <c r="HK168" s="40"/>
      <c r="HL168" s="40"/>
      <c r="HM168" s="40"/>
      <c r="HN168" s="40"/>
      <c r="HO168" s="40"/>
      <c r="HP168" s="40"/>
      <c r="HQ168" s="40"/>
      <c r="HR168" s="40"/>
      <c r="HS168" s="40"/>
      <c r="HT168" s="40"/>
      <c r="HU168" s="40"/>
    </row>
    <row r="169" spans="1:229" s="41" customFormat="1" ht="28.8" customHeight="1">
      <c r="A169" s="124" t="s">
        <v>474</v>
      </c>
      <c r="B169" s="80" t="s">
        <v>500</v>
      </c>
      <c r="C169" s="80" t="s">
        <v>2367</v>
      </c>
      <c r="D169" s="80" t="s">
        <v>501</v>
      </c>
      <c r="E169" s="80" t="s">
        <v>502</v>
      </c>
      <c r="F169" s="135" t="s">
        <v>503</v>
      </c>
      <c r="G169" s="81" t="s">
        <v>504</v>
      </c>
      <c r="H169" s="81">
        <v>0.4</v>
      </c>
      <c r="I169" s="81">
        <v>-0.05</v>
      </c>
      <c r="J169" s="79" t="s">
        <v>399</v>
      </c>
      <c r="K169" s="81"/>
      <c r="L169" s="79"/>
      <c r="M169" s="82" t="s">
        <v>519</v>
      </c>
      <c r="N169" s="82" t="s">
        <v>262</v>
      </c>
      <c r="O169" s="82" t="s">
        <v>317</v>
      </c>
      <c r="P169" s="142">
        <v>0.2</v>
      </c>
      <c r="Q169" s="40">
        <f>SUMIF(Data_P!A:A,CONCATENATE(A169,"_",R$1),Data_P!J:J)</f>
        <v>3227.87</v>
      </c>
      <c r="R169" s="40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0"/>
      <c r="AK169" s="40"/>
      <c r="AL169" s="40"/>
      <c r="AM169" s="40"/>
      <c r="AN169" s="40"/>
      <c r="AO169" s="40"/>
      <c r="AP169" s="40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  <c r="BA169" s="40"/>
      <c r="BB169" s="40"/>
      <c r="BC169" s="40"/>
      <c r="BD169" s="40"/>
      <c r="BE169" s="40"/>
      <c r="BF169" s="40"/>
      <c r="BG169" s="40"/>
      <c r="BH169" s="40"/>
      <c r="BI169" s="40"/>
      <c r="BJ169" s="40"/>
      <c r="BK169" s="40"/>
      <c r="BL169" s="40"/>
      <c r="BM169" s="40"/>
      <c r="BN169" s="40"/>
      <c r="BO169" s="40"/>
      <c r="BP169" s="40"/>
      <c r="BQ169" s="40"/>
      <c r="BR169" s="40"/>
      <c r="BS169" s="40"/>
      <c r="BT169" s="40"/>
      <c r="BU169" s="40"/>
      <c r="BV169" s="40"/>
      <c r="BW169" s="40"/>
      <c r="BX169" s="40"/>
      <c r="BY169" s="40"/>
      <c r="BZ169" s="40"/>
      <c r="CA169" s="40"/>
      <c r="CB169" s="40"/>
      <c r="CC169" s="40"/>
      <c r="CD169" s="40"/>
      <c r="CE169" s="40"/>
      <c r="CF169" s="40"/>
      <c r="CG169" s="40"/>
      <c r="CH169" s="40"/>
      <c r="CI169" s="40"/>
      <c r="CJ169" s="40"/>
      <c r="CK169" s="40"/>
      <c r="CL169" s="40"/>
      <c r="CM169" s="40"/>
      <c r="CN169" s="40"/>
      <c r="CO169" s="40"/>
      <c r="CP169" s="40"/>
      <c r="CQ169" s="40"/>
      <c r="CR169" s="40"/>
      <c r="CS169" s="40"/>
      <c r="CT169" s="40"/>
      <c r="CU169" s="40"/>
      <c r="CV169" s="40"/>
      <c r="CW169" s="40"/>
      <c r="CX169" s="40"/>
      <c r="CY169" s="40"/>
      <c r="CZ169" s="40"/>
      <c r="DA169" s="40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/>
      <c r="DX169" s="40"/>
      <c r="DY169" s="40"/>
      <c r="DZ169" s="40"/>
      <c r="EA169" s="40"/>
      <c r="EB169" s="40"/>
      <c r="EC169" s="40"/>
      <c r="ED169" s="40"/>
      <c r="EE169" s="40"/>
      <c r="EF169" s="40"/>
      <c r="EG169" s="40"/>
      <c r="EH169" s="40"/>
      <c r="EI169" s="40"/>
      <c r="EJ169" s="40"/>
      <c r="EK169" s="40"/>
      <c r="EL169" s="40"/>
      <c r="EM169" s="40"/>
      <c r="EN169" s="40"/>
      <c r="EO169" s="40"/>
      <c r="EP169" s="40"/>
      <c r="EQ169" s="40"/>
      <c r="ER169" s="40"/>
      <c r="ES169" s="40"/>
      <c r="ET169" s="40"/>
      <c r="EU169" s="40"/>
      <c r="EV169" s="40"/>
      <c r="EW169" s="40"/>
      <c r="EX169" s="40"/>
      <c r="EY169" s="40"/>
      <c r="EZ169" s="40"/>
      <c r="FA169" s="40"/>
      <c r="FB169" s="40"/>
      <c r="FC169" s="40"/>
      <c r="FD169" s="40"/>
      <c r="FE169" s="40"/>
      <c r="FF169" s="40"/>
      <c r="FG169" s="40"/>
      <c r="FH169" s="40"/>
      <c r="FI169" s="40"/>
      <c r="FJ169" s="40"/>
      <c r="FK169" s="40"/>
      <c r="FL169" s="40"/>
      <c r="FM169" s="40"/>
      <c r="FN169" s="40"/>
      <c r="FO169" s="40"/>
      <c r="FP169" s="40"/>
      <c r="FQ169" s="40"/>
      <c r="FR169" s="40"/>
      <c r="FS169" s="40"/>
      <c r="FT169" s="40"/>
      <c r="FU169" s="40"/>
      <c r="FV169" s="40"/>
      <c r="FW169" s="40"/>
      <c r="FX169" s="40"/>
      <c r="FY169" s="40"/>
      <c r="FZ169" s="40"/>
      <c r="GA169" s="40"/>
      <c r="GB169" s="40"/>
      <c r="GC169" s="40"/>
      <c r="GD169" s="40"/>
      <c r="GE169" s="40"/>
      <c r="GF169" s="40"/>
      <c r="GG169" s="40"/>
      <c r="GH169" s="40"/>
      <c r="GI169" s="40"/>
      <c r="GJ169" s="40"/>
      <c r="GK169" s="40"/>
      <c r="GL169" s="40"/>
      <c r="GM169" s="40"/>
      <c r="GN169" s="40"/>
      <c r="GO169" s="40"/>
      <c r="GP169" s="40"/>
      <c r="GQ169" s="40"/>
      <c r="GR169" s="40"/>
      <c r="GS169" s="40"/>
      <c r="GT169" s="40"/>
      <c r="GU169" s="40"/>
      <c r="GV169" s="40"/>
      <c r="GW169" s="40"/>
      <c r="GX169" s="40"/>
      <c r="GY169" s="40"/>
      <c r="GZ169" s="40"/>
      <c r="HA169" s="40"/>
      <c r="HB169" s="40"/>
      <c r="HC169" s="40"/>
      <c r="HD169" s="40"/>
      <c r="HE169" s="40"/>
      <c r="HF169" s="40"/>
      <c r="HG169" s="40"/>
      <c r="HH169" s="40"/>
      <c r="HI169" s="40"/>
      <c r="HJ169" s="40"/>
      <c r="HK169" s="40"/>
      <c r="HL169" s="40"/>
      <c r="HM169" s="40"/>
      <c r="HN169" s="40"/>
      <c r="HO169" s="40"/>
      <c r="HP169" s="40"/>
      <c r="HQ169" s="40"/>
      <c r="HR169" s="40"/>
      <c r="HS169" s="40"/>
      <c r="HT169" s="40"/>
      <c r="HU169" s="40"/>
    </row>
    <row r="170" spans="1:229" s="41" customFormat="1" ht="28.8" customHeight="1">
      <c r="A170" s="124" t="s">
        <v>1156</v>
      </c>
      <c r="B170" s="80" t="s">
        <v>1157</v>
      </c>
      <c r="C170" s="80"/>
      <c r="D170" s="80" t="s">
        <v>1158</v>
      </c>
      <c r="E170" s="80" t="s">
        <v>1162</v>
      </c>
      <c r="F170" s="80" t="s">
        <v>1159</v>
      </c>
      <c r="G170" s="135" t="s">
        <v>1160</v>
      </c>
      <c r="H170" s="81">
        <v>0.25</v>
      </c>
      <c r="I170" s="81">
        <v>-2.5000000000000001E-2</v>
      </c>
      <c r="J170" s="79" t="s">
        <v>1161</v>
      </c>
      <c r="K170" s="81"/>
      <c r="L170" s="79"/>
      <c r="M170" s="82" t="s">
        <v>1435</v>
      </c>
      <c r="N170" s="82" t="s">
        <v>240</v>
      </c>
      <c r="O170" s="82" t="s">
        <v>316</v>
      </c>
      <c r="P170" s="142">
        <v>0.2</v>
      </c>
      <c r="Q170" s="40">
        <f>SUMIF(Data_P!A:A,CONCATENATE(A170,"_",R$1),Data_P!J:J)</f>
        <v>3398.38</v>
      </c>
      <c r="R170" s="40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  <c r="BA170" s="40"/>
      <c r="BB170" s="40"/>
      <c r="BC170" s="40"/>
      <c r="BD170" s="40"/>
      <c r="BE170" s="40"/>
      <c r="BF170" s="40"/>
      <c r="BG170" s="40"/>
      <c r="BH170" s="40"/>
      <c r="BI170" s="40"/>
      <c r="BJ170" s="40"/>
      <c r="BK170" s="40"/>
      <c r="BL170" s="40"/>
      <c r="BM170" s="40"/>
      <c r="BN170" s="40"/>
      <c r="BO170" s="40"/>
      <c r="BP170" s="40"/>
      <c r="BQ170" s="40"/>
      <c r="BR170" s="40"/>
      <c r="BS170" s="40"/>
      <c r="BT170" s="40"/>
      <c r="BU170" s="40"/>
      <c r="BV170" s="40"/>
      <c r="BW170" s="40"/>
      <c r="BX170" s="40"/>
      <c r="BY170" s="40"/>
      <c r="BZ170" s="40"/>
      <c r="CA170" s="40"/>
      <c r="CB170" s="40"/>
      <c r="CC170" s="40"/>
      <c r="CD170" s="40"/>
      <c r="CE170" s="40"/>
      <c r="CF170" s="40"/>
      <c r="CG170" s="40"/>
      <c r="CH170" s="40"/>
      <c r="CI170" s="40"/>
      <c r="CJ170" s="40"/>
      <c r="CK170" s="40"/>
      <c r="CL170" s="40"/>
      <c r="CM170" s="40"/>
      <c r="CN170" s="40"/>
      <c r="CO170" s="40"/>
      <c r="CP170" s="40"/>
      <c r="CQ170" s="40"/>
      <c r="CR170" s="40"/>
      <c r="CS170" s="40"/>
      <c r="CT170" s="40"/>
      <c r="CU170" s="40"/>
      <c r="CV170" s="40"/>
      <c r="CW170" s="40"/>
      <c r="CX170" s="40"/>
      <c r="CY170" s="40"/>
      <c r="CZ170" s="40"/>
      <c r="DA170" s="40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40"/>
      <c r="EA170" s="40"/>
      <c r="EB170" s="40"/>
      <c r="EC170" s="40"/>
      <c r="ED170" s="40"/>
      <c r="EE170" s="40"/>
      <c r="EF170" s="40"/>
      <c r="EG170" s="40"/>
      <c r="EH170" s="40"/>
      <c r="EI170" s="40"/>
      <c r="EJ170" s="40"/>
      <c r="EK170" s="40"/>
      <c r="EL170" s="40"/>
      <c r="EM170" s="40"/>
      <c r="EN170" s="40"/>
      <c r="EO170" s="40"/>
      <c r="EP170" s="40"/>
      <c r="EQ170" s="40"/>
      <c r="ER170" s="40"/>
      <c r="ES170" s="40"/>
      <c r="ET170" s="40"/>
      <c r="EU170" s="40"/>
      <c r="EV170" s="40"/>
      <c r="EW170" s="40"/>
      <c r="EX170" s="40"/>
      <c r="EY170" s="40"/>
      <c r="EZ170" s="40"/>
      <c r="FA170" s="40"/>
      <c r="FB170" s="40"/>
      <c r="FC170" s="40"/>
      <c r="FD170" s="40"/>
      <c r="FE170" s="40"/>
      <c r="FF170" s="40"/>
      <c r="FG170" s="40"/>
      <c r="FH170" s="40"/>
      <c r="FI170" s="40"/>
      <c r="FJ170" s="40"/>
      <c r="FK170" s="40"/>
      <c r="FL170" s="40"/>
      <c r="FM170" s="40"/>
      <c r="FN170" s="40"/>
      <c r="FO170" s="40"/>
      <c r="FP170" s="40"/>
      <c r="FQ170" s="40"/>
      <c r="FR170" s="40"/>
      <c r="FS170" s="40"/>
      <c r="FT170" s="40"/>
      <c r="FU170" s="40"/>
      <c r="FV170" s="40"/>
      <c r="FW170" s="40"/>
      <c r="FX170" s="40"/>
      <c r="FY170" s="40"/>
      <c r="FZ170" s="40"/>
      <c r="GA170" s="40"/>
      <c r="GB170" s="40"/>
      <c r="GC170" s="40"/>
      <c r="GD170" s="40"/>
      <c r="GE170" s="40"/>
      <c r="GF170" s="40"/>
      <c r="GG170" s="40"/>
      <c r="GH170" s="40"/>
      <c r="GI170" s="40"/>
      <c r="GJ170" s="40"/>
      <c r="GK170" s="40"/>
      <c r="GL170" s="40"/>
      <c r="GM170" s="40"/>
      <c r="GN170" s="40"/>
      <c r="GO170" s="40"/>
      <c r="GP170" s="40"/>
      <c r="GQ170" s="40"/>
      <c r="GR170" s="40"/>
      <c r="GS170" s="40"/>
      <c r="GT170" s="40"/>
      <c r="GU170" s="40"/>
      <c r="GV170" s="40"/>
      <c r="GW170" s="40"/>
      <c r="GX170" s="40"/>
      <c r="GY170" s="40"/>
      <c r="GZ170" s="40"/>
      <c r="HA170" s="40"/>
      <c r="HB170" s="40"/>
      <c r="HC170" s="40"/>
      <c r="HD170" s="40"/>
      <c r="HE170" s="40"/>
      <c r="HF170" s="40"/>
      <c r="HG170" s="40"/>
      <c r="HH170" s="40"/>
      <c r="HI170" s="40"/>
      <c r="HJ170" s="40"/>
      <c r="HK170" s="40"/>
      <c r="HL170" s="40"/>
      <c r="HM170" s="40"/>
      <c r="HN170" s="40"/>
      <c r="HO170" s="40"/>
      <c r="HP170" s="40"/>
      <c r="HQ170" s="40"/>
      <c r="HR170" s="40"/>
      <c r="HS170" s="40"/>
      <c r="HT170" s="40"/>
      <c r="HU170" s="40"/>
    </row>
    <row r="171" spans="1:229" s="41" customFormat="1" ht="28.8" customHeight="1">
      <c r="A171" s="124" t="s">
        <v>303</v>
      </c>
      <c r="B171" s="80" t="s">
        <v>331</v>
      </c>
      <c r="C171" s="80" t="s">
        <v>370</v>
      </c>
      <c r="D171" s="80" t="s">
        <v>368</v>
      </c>
      <c r="E171" s="80" t="s">
        <v>369</v>
      </c>
      <c r="F171" s="80" t="s">
        <v>332</v>
      </c>
      <c r="G171" s="135" t="s">
        <v>2030</v>
      </c>
      <c r="H171" s="81">
        <v>0.5</v>
      </c>
      <c r="I171" s="81"/>
      <c r="J171" s="79"/>
      <c r="K171" s="81"/>
      <c r="L171" s="79"/>
      <c r="M171" s="82" t="s">
        <v>538</v>
      </c>
      <c r="N171" s="82" t="s">
        <v>539</v>
      </c>
      <c r="O171" s="82" t="s">
        <v>316</v>
      </c>
      <c r="P171" s="142">
        <v>0.2</v>
      </c>
      <c r="Q171" s="40">
        <f>SUMIF(Data_P!A:A,CONCATENATE(A171,"_",R$1),Data_P!J:J)</f>
        <v>-4.5</v>
      </c>
      <c r="R171" s="40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K171" s="40"/>
      <c r="AL171" s="40"/>
      <c r="AM171" s="40"/>
      <c r="AN171" s="40"/>
      <c r="AO171" s="40"/>
      <c r="AP171" s="40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  <c r="BA171" s="40"/>
      <c r="BB171" s="40"/>
      <c r="BC171" s="40"/>
      <c r="BD171" s="40"/>
      <c r="BE171" s="40"/>
      <c r="BF171" s="40"/>
      <c r="BG171" s="40"/>
      <c r="BH171" s="40"/>
      <c r="BI171" s="40"/>
      <c r="BJ171" s="40"/>
      <c r="BK171" s="40"/>
      <c r="BL171" s="40"/>
      <c r="BM171" s="40"/>
      <c r="BN171" s="40"/>
      <c r="BO171" s="40"/>
      <c r="BP171" s="40"/>
      <c r="BQ171" s="40"/>
      <c r="BR171" s="40"/>
      <c r="BS171" s="40"/>
      <c r="BT171" s="40"/>
      <c r="BU171" s="40"/>
      <c r="BV171" s="40"/>
      <c r="BW171" s="40"/>
      <c r="BX171" s="40"/>
      <c r="BY171" s="40"/>
      <c r="BZ171" s="40"/>
      <c r="CA171" s="40"/>
      <c r="CB171" s="40"/>
      <c r="CC171" s="40"/>
      <c r="CD171" s="40"/>
      <c r="CE171" s="40"/>
      <c r="CF171" s="40"/>
      <c r="CG171" s="40"/>
      <c r="CH171" s="40"/>
      <c r="CI171" s="40"/>
      <c r="CJ171" s="40"/>
      <c r="CK171" s="40"/>
      <c r="CL171" s="40"/>
      <c r="CM171" s="40"/>
      <c r="CN171" s="40"/>
      <c r="CO171" s="40"/>
      <c r="CP171" s="40"/>
      <c r="CQ171" s="40"/>
      <c r="CR171" s="40"/>
      <c r="CS171" s="40"/>
      <c r="CT171" s="40"/>
      <c r="CU171" s="40"/>
      <c r="CV171" s="40"/>
      <c r="CW171" s="40"/>
      <c r="CX171" s="40"/>
      <c r="CY171" s="40"/>
      <c r="CZ171" s="40"/>
      <c r="DA171" s="40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40"/>
      <c r="EA171" s="40"/>
      <c r="EB171" s="40"/>
      <c r="EC171" s="40"/>
      <c r="ED171" s="40"/>
      <c r="EE171" s="40"/>
      <c r="EF171" s="40"/>
      <c r="EG171" s="40"/>
      <c r="EH171" s="40"/>
      <c r="EI171" s="40"/>
      <c r="EJ171" s="40"/>
      <c r="EK171" s="40"/>
      <c r="EL171" s="40"/>
      <c r="EM171" s="40"/>
      <c r="EN171" s="40"/>
      <c r="EO171" s="40"/>
      <c r="EP171" s="40"/>
      <c r="EQ171" s="40"/>
      <c r="ER171" s="40"/>
      <c r="ES171" s="40"/>
      <c r="ET171" s="40"/>
      <c r="EU171" s="40"/>
      <c r="EV171" s="40"/>
      <c r="EW171" s="40"/>
      <c r="EX171" s="40"/>
      <c r="EY171" s="40"/>
      <c r="EZ171" s="40"/>
      <c r="FA171" s="40"/>
      <c r="FB171" s="40"/>
      <c r="FC171" s="40"/>
      <c r="FD171" s="40"/>
      <c r="FE171" s="40"/>
      <c r="FF171" s="40"/>
      <c r="FG171" s="40"/>
      <c r="FH171" s="40"/>
      <c r="FI171" s="40"/>
      <c r="FJ171" s="40"/>
      <c r="FK171" s="40"/>
      <c r="FL171" s="40"/>
      <c r="FM171" s="40"/>
      <c r="FN171" s="40"/>
      <c r="FO171" s="40"/>
      <c r="FP171" s="40"/>
      <c r="FQ171" s="40"/>
      <c r="FR171" s="40"/>
      <c r="FS171" s="40"/>
      <c r="FT171" s="40"/>
      <c r="FU171" s="40"/>
      <c r="FV171" s="40"/>
      <c r="FW171" s="40"/>
      <c r="FX171" s="40"/>
      <c r="FY171" s="40"/>
      <c r="FZ171" s="40"/>
      <c r="GA171" s="40"/>
      <c r="GB171" s="40"/>
      <c r="GC171" s="40"/>
      <c r="GD171" s="40"/>
      <c r="GE171" s="40"/>
      <c r="GF171" s="40"/>
      <c r="GG171" s="40"/>
      <c r="GH171" s="40"/>
      <c r="GI171" s="40"/>
      <c r="GJ171" s="40"/>
      <c r="GK171" s="40"/>
      <c r="GL171" s="40"/>
      <c r="GM171" s="40"/>
      <c r="GN171" s="40"/>
      <c r="GO171" s="40"/>
      <c r="GP171" s="40"/>
      <c r="GQ171" s="40"/>
      <c r="GR171" s="40"/>
      <c r="GS171" s="40"/>
      <c r="GT171" s="40"/>
      <c r="GU171" s="40"/>
      <c r="GV171" s="40"/>
      <c r="GW171" s="40"/>
      <c r="GX171" s="40"/>
      <c r="GY171" s="40"/>
      <c r="GZ171" s="40"/>
      <c r="HA171" s="40"/>
      <c r="HB171" s="40"/>
      <c r="HC171" s="40"/>
      <c r="HD171" s="40"/>
      <c r="HE171" s="40"/>
      <c r="HF171" s="40"/>
      <c r="HG171" s="40"/>
      <c r="HH171" s="40"/>
      <c r="HI171" s="40"/>
      <c r="HJ171" s="40"/>
      <c r="HK171" s="40"/>
      <c r="HL171" s="40"/>
      <c r="HM171" s="40"/>
      <c r="HN171" s="40"/>
      <c r="HO171" s="40"/>
      <c r="HP171" s="40"/>
      <c r="HQ171" s="40"/>
      <c r="HR171" s="40"/>
      <c r="HS171" s="40"/>
      <c r="HT171" s="40"/>
      <c r="HU171" s="40"/>
    </row>
    <row r="172" spans="1:229" s="41" customFormat="1" ht="28.8" customHeight="1">
      <c r="A172" s="124" t="s">
        <v>446</v>
      </c>
      <c r="B172" s="80" t="s">
        <v>447</v>
      </c>
      <c r="C172" s="80"/>
      <c r="D172" s="80" t="s">
        <v>448</v>
      </c>
      <c r="E172" s="80" t="s">
        <v>16</v>
      </c>
      <c r="F172" s="80" t="s">
        <v>449</v>
      </c>
      <c r="G172" s="135" t="s">
        <v>450</v>
      </c>
      <c r="H172" s="81">
        <v>0.4</v>
      </c>
      <c r="I172" s="81"/>
      <c r="J172" s="79"/>
      <c r="K172" s="81"/>
      <c r="L172" s="79"/>
      <c r="M172" s="82" t="s">
        <v>458</v>
      </c>
      <c r="N172" s="82" t="s">
        <v>240</v>
      </c>
      <c r="O172" s="82" t="s">
        <v>316</v>
      </c>
      <c r="P172" s="142">
        <v>0.2</v>
      </c>
      <c r="Q172" s="40">
        <f>SUMIF(Data_P!A:A,CONCATENATE(A172,"_",R$1),Data_P!J:J)</f>
        <v>714.34</v>
      </c>
      <c r="R172" s="40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0"/>
      <c r="AK172" s="40"/>
      <c r="AL172" s="40"/>
      <c r="AM172" s="40"/>
      <c r="AN172" s="40"/>
      <c r="AO172" s="40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  <c r="BA172" s="40"/>
      <c r="BB172" s="40"/>
      <c r="BC172" s="40"/>
      <c r="BD172" s="40"/>
      <c r="BE172" s="40"/>
      <c r="BF172" s="40"/>
      <c r="BG172" s="40"/>
      <c r="BH172" s="40"/>
      <c r="BI172" s="40"/>
      <c r="BJ172" s="40"/>
      <c r="BK172" s="40"/>
      <c r="BL172" s="40"/>
      <c r="BM172" s="40"/>
      <c r="BN172" s="40"/>
      <c r="BO172" s="40"/>
      <c r="BP172" s="40"/>
      <c r="BQ172" s="40"/>
      <c r="BR172" s="40"/>
      <c r="BS172" s="40"/>
      <c r="BT172" s="40"/>
      <c r="BU172" s="40"/>
      <c r="BV172" s="40"/>
      <c r="BW172" s="40"/>
      <c r="BX172" s="40"/>
      <c r="BY172" s="40"/>
      <c r="BZ172" s="40"/>
      <c r="CA172" s="40"/>
      <c r="CB172" s="40"/>
      <c r="CC172" s="40"/>
      <c r="CD172" s="40"/>
      <c r="CE172" s="40"/>
      <c r="CF172" s="40"/>
      <c r="CG172" s="40"/>
      <c r="CH172" s="40"/>
      <c r="CI172" s="40"/>
      <c r="CJ172" s="40"/>
      <c r="CK172" s="40"/>
      <c r="CL172" s="40"/>
      <c r="CM172" s="40"/>
      <c r="CN172" s="40"/>
      <c r="CO172" s="40"/>
      <c r="CP172" s="40"/>
      <c r="CQ172" s="40"/>
      <c r="CR172" s="40"/>
      <c r="CS172" s="40"/>
      <c r="CT172" s="40"/>
      <c r="CU172" s="40"/>
      <c r="CV172" s="40"/>
      <c r="CW172" s="40"/>
      <c r="CX172" s="40"/>
      <c r="CY172" s="40"/>
      <c r="CZ172" s="40"/>
      <c r="DA172" s="40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40"/>
      <c r="EA172" s="40"/>
      <c r="EB172" s="40"/>
      <c r="EC172" s="40"/>
      <c r="ED172" s="40"/>
      <c r="EE172" s="40"/>
      <c r="EF172" s="40"/>
      <c r="EG172" s="40"/>
      <c r="EH172" s="40"/>
      <c r="EI172" s="40"/>
      <c r="EJ172" s="40"/>
      <c r="EK172" s="40"/>
      <c r="EL172" s="40"/>
      <c r="EM172" s="40"/>
      <c r="EN172" s="40"/>
      <c r="EO172" s="40"/>
      <c r="EP172" s="40"/>
      <c r="EQ172" s="40"/>
      <c r="ER172" s="40"/>
      <c r="ES172" s="40"/>
      <c r="ET172" s="40"/>
      <c r="EU172" s="40"/>
      <c r="EV172" s="40"/>
      <c r="EW172" s="40"/>
      <c r="EX172" s="40"/>
      <c r="EY172" s="40"/>
      <c r="EZ172" s="40"/>
      <c r="FA172" s="40"/>
      <c r="FB172" s="40"/>
      <c r="FC172" s="40"/>
      <c r="FD172" s="40"/>
      <c r="FE172" s="40"/>
      <c r="FF172" s="40"/>
      <c r="FG172" s="40"/>
      <c r="FH172" s="40"/>
      <c r="FI172" s="40"/>
      <c r="FJ172" s="40"/>
      <c r="FK172" s="40"/>
      <c r="FL172" s="40"/>
      <c r="FM172" s="40"/>
      <c r="FN172" s="40"/>
      <c r="FO172" s="40"/>
      <c r="FP172" s="40"/>
      <c r="FQ172" s="40"/>
      <c r="FR172" s="40"/>
      <c r="FS172" s="40"/>
      <c r="FT172" s="40"/>
      <c r="FU172" s="40"/>
      <c r="FV172" s="40"/>
      <c r="FW172" s="40"/>
      <c r="FX172" s="40"/>
      <c r="FY172" s="40"/>
      <c r="FZ172" s="40"/>
      <c r="GA172" s="40"/>
      <c r="GB172" s="40"/>
      <c r="GC172" s="40"/>
      <c r="GD172" s="40"/>
      <c r="GE172" s="40"/>
      <c r="GF172" s="40"/>
      <c r="GG172" s="40"/>
      <c r="GH172" s="40"/>
      <c r="GI172" s="40"/>
      <c r="GJ172" s="40"/>
      <c r="GK172" s="40"/>
      <c r="GL172" s="40"/>
      <c r="GM172" s="40"/>
      <c r="GN172" s="40"/>
      <c r="GO172" s="40"/>
      <c r="GP172" s="40"/>
      <c r="GQ172" s="40"/>
      <c r="GR172" s="40"/>
      <c r="GS172" s="40"/>
      <c r="GT172" s="40"/>
      <c r="GU172" s="40"/>
      <c r="GV172" s="40"/>
      <c r="GW172" s="40"/>
      <c r="GX172" s="40"/>
      <c r="GY172" s="40"/>
      <c r="GZ172" s="40"/>
      <c r="HA172" s="40"/>
      <c r="HB172" s="40"/>
      <c r="HC172" s="40"/>
      <c r="HD172" s="40"/>
      <c r="HE172" s="40"/>
      <c r="HF172" s="40"/>
      <c r="HG172" s="40"/>
      <c r="HH172" s="40"/>
      <c r="HI172" s="40"/>
      <c r="HJ172" s="40"/>
      <c r="HK172" s="40"/>
      <c r="HL172" s="40"/>
      <c r="HM172" s="40"/>
      <c r="HN172" s="40"/>
      <c r="HO172" s="40"/>
      <c r="HP172" s="40"/>
      <c r="HQ172" s="40"/>
      <c r="HR172" s="40"/>
      <c r="HS172" s="40"/>
      <c r="HT172" s="40"/>
      <c r="HU172" s="40"/>
    </row>
    <row r="173" spans="1:229" s="41" customFormat="1" ht="28.8" customHeight="1">
      <c r="A173" s="124" t="s">
        <v>1829</v>
      </c>
      <c r="B173" s="80" t="s">
        <v>1862</v>
      </c>
      <c r="C173" s="80"/>
      <c r="D173" s="80" t="s">
        <v>1863</v>
      </c>
      <c r="E173" s="80" t="s">
        <v>357</v>
      </c>
      <c r="F173" s="80" t="s">
        <v>1864</v>
      </c>
      <c r="G173" s="135" t="s">
        <v>1865</v>
      </c>
      <c r="H173" s="81">
        <v>0.2</v>
      </c>
      <c r="I173" s="81"/>
      <c r="J173" s="79"/>
      <c r="K173" s="81"/>
      <c r="L173" s="79"/>
      <c r="M173" s="82" t="s">
        <v>1930</v>
      </c>
      <c r="N173" s="82" t="s">
        <v>897</v>
      </c>
      <c r="O173" s="82" t="s">
        <v>316</v>
      </c>
      <c r="P173" s="142">
        <v>0.2</v>
      </c>
      <c r="Q173" s="40">
        <f>SUMIF(Data_P!A:A,CONCATENATE(A173,"_",R$1),Data_P!J:J)</f>
        <v>264</v>
      </c>
      <c r="R173" s="40"/>
      <c r="S173" s="40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  <c r="BA173" s="40"/>
      <c r="BB173" s="40"/>
      <c r="BC173" s="40"/>
      <c r="BD173" s="40"/>
      <c r="BE173" s="40"/>
      <c r="BF173" s="40"/>
      <c r="BG173" s="40"/>
      <c r="BH173" s="40"/>
      <c r="BI173" s="40"/>
      <c r="BJ173" s="40"/>
      <c r="BK173" s="40"/>
      <c r="BL173" s="40"/>
      <c r="BM173" s="40"/>
      <c r="BN173" s="40"/>
      <c r="BO173" s="40"/>
      <c r="BP173" s="40"/>
      <c r="BQ173" s="40"/>
      <c r="BR173" s="40"/>
      <c r="BS173" s="40"/>
      <c r="BT173" s="40"/>
      <c r="BU173" s="40"/>
      <c r="BV173" s="40"/>
      <c r="BW173" s="40"/>
      <c r="BX173" s="40"/>
      <c r="BY173" s="40"/>
      <c r="BZ173" s="40"/>
      <c r="CA173" s="40"/>
      <c r="CB173" s="40"/>
      <c r="CC173" s="40"/>
      <c r="CD173" s="40"/>
      <c r="CE173" s="40"/>
      <c r="CF173" s="40"/>
      <c r="CG173" s="40"/>
      <c r="CH173" s="40"/>
      <c r="CI173" s="40"/>
      <c r="CJ173" s="40"/>
      <c r="CK173" s="40"/>
      <c r="CL173" s="40"/>
      <c r="CM173" s="40"/>
      <c r="CN173" s="40"/>
      <c r="CO173" s="40"/>
      <c r="CP173" s="40"/>
      <c r="CQ173" s="40"/>
      <c r="CR173" s="40"/>
      <c r="CS173" s="40"/>
      <c r="CT173" s="40"/>
      <c r="CU173" s="40"/>
      <c r="CV173" s="40"/>
      <c r="CW173" s="40"/>
      <c r="CX173" s="40"/>
      <c r="CY173" s="40"/>
      <c r="CZ173" s="40"/>
      <c r="DA173" s="40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40"/>
      <c r="EA173" s="40"/>
      <c r="EB173" s="40"/>
      <c r="EC173" s="40"/>
      <c r="ED173" s="40"/>
      <c r="EE173" s="40"/>
      <c r="EF173" s="40"/>
      <c r="EG173" s="40"/>
      <c r="EH173" s="40"/>
      <c r="EI173" s="40"/>
      <c r="EJ173" s="40"/>
      <c r="EK173" s="40"/>
      <c r="EL173" s="40"/>
      <c r="EM173" s="40"/>
      <c r="EN173" s="40"/>
      <c r="EO173" s="40"/>
      <c r="EP173" s="40"/>
      <c r="EQ173" s="40"/>
      <c r="ER173" s="40"/>
      <c r="ES173" s="40"/>
      <c r="ET173" s="40"/>
      <c r="EU173" s="40"/>
      <c r="EV173" s="40"/>
      <c r="EW173" s="40"/>
      <c r="EX173" s="40"/>
      <c r="EY173" s="40"/>
      <c r="EZ173" s="40"/>
      <c r="FA173" s="40"/>
      <c r="FB173" s="40"/>
      <c r="FC173" s="40"/>
      <c r="FD173" s="40"/>
      <c r="FE173" s="40"/>
      <c r="FF173" s="40"/>
      <c r="FG173" s="40"/>
      <c r="FH173" s="40"/>
      <c r="FI173" s="40"/>
      <c r="FJ173" s="40"/>
      <c r="FK173" s="40"/>
      <c r="FL173" s="40"/>
      <c r="FM173" s="40"/>
      <c r="FN173" s="40"/>
      <c r="FO173" s="40"/>
      <c r="FP173" s="40"/>
      <c r="FQ173" s="40"/>
      <c r="FR173" s="40"/>
      <c r="FS173" s="40"/>
      <c r="FT173" s="40"/>
      <c r="FU173" s="40"/>
      <c r="FV173" s="40"/>
      <c r="FW173" s="40"/>
      <c r="FX173" s="40"/>
      <c r="FY173" s="40"/>
      <c r="FZ173" s="40"/>
      <c r="GA173" s="40"/>
      <c r="GB173" s="40"/>
      <c r="GC173" s="40"/>
      <c r="GD173" s="40"/>
      <c r="GE173" s="40"/>
      <c r="GF173" s="40"/>
      <c r="GG173" s="40"/>
      <c r="GH173" s="40"/>
      <c r="GI173" s="40"/>
      <c r="GJ173" s="40"/>
      <c r="GK173" s="40"/>
      <c r="GL173" s="40"/>
      <c r="GM173" s="40"/>
      <c r="GN173" s="40"/>
      <c r="GO173" s="40"/>
      <c r="GP173" s="40"/>
      <c r="GQ173" s="40"/>
      <c r="GR173" s="40"/>
      <c r="GS173" s="40"/>
      <c r="GT173" s="40"/>
      <c r="GU173" s="40"/>
      <c r="GV173" s="40"/>
      <c r="GW173" s="40"/>
      <c r="GX173" s="40"/>
      <c r="GY173" s="40"/>
      <c r="GZ173" s="40"/>
      <c r="HA173" s="40"/>
      <c r="HB173" s="40"/>
      <c r="HC173" s="40"/>
      <c r="HD173" s="40"/>
      <c r="HE173" s="40"/>
      <c r="HF173" s="40"/>
      <c r="HG173" s="40"/>
      <c r="HH173" s="40"/>
      <c r="HI173" s="40"/>
      <c r="HJ173" s="40"/>
      <c r="HK173" s="40"/>
      <c r="HL173" s="40"/>
      <c r="HM173" s="40"/>
      <c r="HN173" s="40"/>
      <c r="HO173" s="40"/>
      <c r="HP173" s="40"/>
      <c r="HQ173" s="40"/>
      <c r="HR173" s="40"/>
      <c r="HS173" s="40"/>
      <c r="HT173" s="40"/>
      <c r="HU173" s="40"/>
    </row>
    <row r="174" spans="1:229" s="41" customFormat="1" ht="28.8" customHeight="1">
      <c r="A174" s="124" t="s">
        <v>264</v>
      </c>
      <c r="B174" s="80" t="s">
        <v>279</v>
      </c>
      <c r="C174" s="80"/>
      <c r="D174" s="80" t="s">
        <v>280</v>
      </c>
      <c r="E174" s="80" t="s">
        <v>281</v>
      </c>
      <c r="F174" s="80" t="s">
        <v>282</v>
      </c>
      <c r="G174" s="135" t="s">
        <v>283</v>
      </c>
      <c r="H174" s="81">
        <v>0.2</v>
      </c>
      <c r="I174" s="81"/>
      <c r="J174" s="79"/>
      <c r="K174" s="81"/>
      <c r="L174" s="79"/>
      <c r="M174" s="82" t="s">
        <v>386</v>
      </c>
      <c r="N174" s="82" t="s">
        <v>262</v>
      </c>
      <c r="O174" s="82" t="s">
        <v>316</v>
      </c>
      <c r="P174" s="142">
        <v>0.2</v>
      </c>
      <c r="Q174" s="40">
        <f>SUMIF(Data_P!A:A,CONCATENATE(A174,"_",R$1),Data_P!J:J)</f>
        <v>0</v>
      </c>
      <c r="R174" s="40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0"/>
      <c r="AK174" s="40"/>
      <c r="AL174" s="40"/>
      <c r="AM174" s="40"/>
      <c r="AN174" s="40"/>
      <c r="AO174" s="40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  <c r="BA174" s="40"/>
      <c r="BB174" s="40"/>
      <c r="BC174" s="40"/>
      <c r="BD174" s="40"/>
      <c r="BE174" s="40"/>
      <c r="BF174" s="40"/>
      <c r="BG174" s="40"/>
      <c r="BH174" s="40"/>
      <c r="BI174" s="40"/>
      <c r="BJ174" s="40"/>
      <c r="BK174" s="40"/>
      <c r="BL174" s="40"/>
      <c r="BM174" s="40"/>
      <c r="BN174" s="40"/>
      <c r="BO174" s="40"/>
      <c r="BP174" s="40"/>
      <c r="BQ174" s="40"/>
      <c r="BR174" s="40"/>
      <c r="BS174" s="40"/>
      <c r="BT174" s="40"/>
      <c r="BU174" s="40"/>
      <c r="BV174" s="40"/>
      <c r="BW174" s="40"/>
      <c r="BX174" s="40"/>
      <c r="BY174" s="40"/>
      <c r="BZ174" s="40"/>
      <c r="CA174" s="40"/>
      <c r="CB174" s="40"/>
      <c r="CC174" s="40"/>
      <c r="CD174" s="40"/>
      <c r="CE174" s="40"/>
      <c r="CF174" s="40"/>
      <c r="CG174" s="40"/>
      <c r="CH174" s="40"/>
      <c r="CI174" s="40"/>
      <c r="CJ174" s="40"/>
      <c r="CK174" s="40"/>
      <c r="CL174" s="40"/>
      <c r="CM174" s="40"/>
      <c r="CN174" s="40"/>
      <c r="CO174" s="40"/>
      <c r="CP174" s="40"/>
      <c r="CQ174" s="40"/>
      <c r="CR174" s="40"/>
      <c r="CS174" s="40"/>
      <c r="CT174" s="40"/>
      <c r="CU174" s="40"/>
      <c r="CV174" s="40"/>
      <c r="CW174" s="40"/>
      <c r="CX174" s="40"/>
      <c r="CY174" s="40"/>
      <c r="CZ174" s="40"/>
      <c r="DA174" s="40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40"/>
      <c r="EA174" s="40"/>
      <c r="EB174" s="40"/>
      <c r="EC174" s="40"/>
      <c r="ED174" s="40"/>
      <c r="EE174" s="40"/>
      <c r="EF174" s="40"/>
      <c r="EG174" s="40"/>
      <c r="EH174" s="40"/>
      <c r="EI174" s="40"/>
      <c r="EJ174" s="40"/>
      <c r="EK174" s="40"/>
      <c r="EL174" s="40"/>
      <c r="EM174" s="40"/>
      <c r="EN174" s="40"/>
      <c r="EO174" s="40"/>
      <c r="EP174" s="40"/>
      <c r="EQ174" s="40"/>
      <c r="ER174" s="40"/>
      <c r="ES174" s="40"/>
      <c r="ET174" s="40"/>
      <c r="EU174" s="40"/>
      <c r="EV174" s="40"/>
      <c r="EW174" s="40"/>
      <c r="EX174" s="40"/>
      <c r="EY174" s="40"/>
      <c r="EZ174" s="40"/>
      <c r="FA174" s="40"/>
      <c r="FB174" s="40"/>
      <c r="FC174" s="40"/>
      <c r="FD174" s="40"/>
      <c r="FE174" s="40"/>
      <c r="FF174" s="40"/>
      <c r="FG174" s="40"/>
      <c r="FH174" s="40"/>
      <c r="FI174" s="40"/>
      <c r="FJ174" s="40"/>
      <c r="FK174" s="40"/>
      <c r="FL174" s="40"/>
      <c r="FM174" s="40"/>
      <c r="FN174" s="40"/>
      <c r="FO174" s="40"/>
      <c r="FP174" s="40"/>
      <c r="FQ174" s="40"/>
      <c r="FR174" s="40"/>
      <c r="FS174" s="40"/>
      <c r="FT174" s="40"/>
      <c r="FU174" s="40"/>
      <c r="FV174" s="40"/>
      <c r="FW174" s="40"/>
      <c r="FX174" s="40"/>
      <c r="FY174" s="40"/>
      <c r="FZ174" s="40"/>
      <c r="GA174" s="40"/>
      <c r="GB174" s="40"/>
      <c r="GC174" s="40"/>
      <c r="GD174" s="40"/>
      <c r="GE174" s="40"/>
      <c r="GF174" s="40"/>
      <c r="GG174" s="40"/>
      <c r="GH174" s="40"/>
      <c r="GI174" s="40"/>
      <c r="GJ174" s="40"/>
      <c r="GK174" s="40"/>
      <c r="GL174" s="40"/>
      <c r="GM174" s="40"/>
      <c r="GN174" s="40"/>
      <c r="GO174" s="40"/>
      <c r="GP174" s="40"/>
      <c r="GQ174" s="40"/>
      <c r="GR174" s="40"/>
      <c r="GS174" s="40"/>
      <c r="GT174" s="40"/>
      <c r="GU174" s="40"/>
      <c r="GV174" s="40"/>
      <c r="GW174" s="40"/>
      <c r="GX174" s="40"/>
      <c r="GY174" s="40"/>
      <c r="GZ174" s="40"/>
      <c r="HA174" s="40"/>
      <c r="HB174" s="40"/>
      <c r="HC174" s="40"/>
      <c r="HD174" s="40"/>
      <c r="HE174" s="40"/>
      <c r="HF174" s="40"/>
      <c r="HG174" s="40"/>
      <c r="HH174" s="40"/>
      <c r="HI174" s="40"/>
      <c r="HJ174" s="40"/>
      <c r="HK174" s="40"/>
      <c r="HL174" s="40"/>
      <c r="HM174" s="40"/>
      <c r="HN174" s="40"/>
      <c r="HO174" s="40"/>
      <c r="HP174" s="40"/>
      <c r="HQ174" s="40"/>
      <c r="HR174" s="40"/>
      <c r="HS174" s="40"/>
      <c r="HT174" s="40"/>
      <c r="HU174" s="40"/>
    </row>
    <row r="175" spans="1:229" s="41" customFormat="1" ht="28.8" customHeight="1">
      <c r="A175" s="124" t="s">
        <v>1136</v>
      </c>
      <c r="B175" s="80" t="s">
        <v>1118</v>
      </c>
      <c r="C175" s="80"/>
      <c r="D175" s="80" t="s">
        <v>1119</v>
      </c>
      <c r="E175" s="80" t="s">
        <v>286</v>
      </c>
      <c r="F175" s="80" t="s">
        <v>1120</v>
      </c>
      <c r="G175" s="135" t="s">
        <v>1121</v>
      </c>
      <c r="H175" s="81">
        <v>0.25</v>
      </c>
      <c r="I175" s="81"/>
      <c r="J175" s="79"/>
      <c r="K175" s="81"/>
      <c r="L175" s="79"/>
      <c r="M175" s="82"/>
      <c r="N175" s="82"/>
      <c r="O175" s="82" t="s">
        <v>316</v>
      </c>
      <c r="P175" s="142">
        <v>0.2</v>
      </c>
      <c r="Q175" s="40">
        <f>SUMIF(Data_P!A:A,CONCATENATE(A175,"_",R$1),Data_P!J:J)</f>
        <v>0</v>
      </c>
      <c r="R175" s="40"/>
      <c r="S175" s="40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  <c r="BA175" s="40"/>
      <c r="BB175" s="40"/>
      <c r="BC175" s="40"/>
      <c r="BD175" s="40"/>
      <c r="BE175" s="40"/>
      <c r="BF175" s="40"/>
      <c r="BG175" s="40"/>
      <c r="BH175" s="40"/>
      <c r="BI175" s="40"/>
      <c r="BJ175" s="40"/>
      <c r="BK175" s="40"/>
      <c r="BL175" s="40"/>
      <c r="BM175" s="40"/>
      <c r="BN175" s="40"/>
      <c r="BO175" s="40"/>
      <c r="BP175" s="40"/>
      <c r="BQ175" s="40"/>
      <c r="BR175" s="40"/>
      <c r="BS175" s="40"/>
      <c r="BT175" s="40"/>
      <c r="BU175" s="40"/>
      <c r="BV175" s="40"/>
      <c r="BW175" s="40"/>
      <c r="BX175" s="40"/>
      <c r="BY175" s="40"/>
      <c r="BZ175" s="40"/>
      <c r="CA175" s="40"/>
      <c r="CB175" s="40"/>
      <c r="CC175" s="40"/>
      <c r="CD175" s="40"/>
      <c r="CE175" s="40"/>
      <c r="CF175" s="40"/>
      <c r="CG175" s="40"/>
      <c r="CH175" s="40"/>
      <c r="CI175" s="40"/>
      <c r="CJ175" s="40"/>
      <c r="CK175" s="40"/>
      <c r="CL175" s="40"/>
      <c r="CM175" s="40"/>
      <c r="CN175" s="40"/>
      <c r="CO175" s="40"/>
      <c r="CP175" s="40"/>
      <c r="CQ175" s="40"/>
      <c r="CR175" s="40"/>
      <c r="CS175" s="40"/>
      <c r="CT175" s="40"/>
      <c r="CU175" s="40"/>
      <c r="CV175" s="40"/>
      <c r="CW175" s="40"/>
      <c r="CX175" s="40"/>
      <c r="CY175" s="40"/>
      <c r="CZ175" s="40"/>
      <c r="DA175" s="40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40"/>
      <c r="EA175" s="40"/>
      <c r="EB175" s="40"/>
      <c r="EC175" s="40"/>
      <c r="ED175" s="40"/>
      <c r="EE175" s="40"/>
      <c r="EF175" s="40"/>
      <c r="EG175" s="40"/>
      <c r="EH175" s="40"/>
      <c r="EI175" s="40"/>
      <c r="EJ175" s="40"/>
      <c r="EK175" s="40"/>
      <c r="EL175" s="40"/>
      <c r="EM175" s="40"/>
      <c r="EN175" s="40"/>
      <c r="EO175" s="40"/>
      <c r="EP175" s="40"/>
      <c r="EQ175" s="40"/>
      <c r="ER175" s="40"/>
      <c r="ES175" s="40"/>
      <c r="ET175" s="40"/>
      <c r="EU175" s="40"/>
      <c r="EV175" s="40"/>
      <c r="EW175" s="40"/>
      <c r="EX175" s="40"/>
      <c r="EY175" s="40"/>
      <c r="EZ175" s="40"/>
      <c r="FA175" s="40"/>
      <c r="FB175" s="40"/>
      <c r="FC175" s="40"/>
      <c r="FD175" s="40"/>
      <c r="FE175" s="40"/>
      <c r="FF175" s="40"/>
      <c r="FG175" s="40"/>
      <c r="FH175" s="40"/>
      <c r="FI175" s="40"/>
      <c r="FJ175" s="40"/>
      <c r="FK175" s="40"/>
      <c r="FL175" s="40"/>
      <c r="FM175" s="40"/>
      <c r="FN175" s="40"/>
      <c r="FO175" s="40"/>
      <c r="FP175" s="40"/>
      <c r="FQ175" s="40"/>
      <c r="FR175" s="40"/>
      <c r="FS175" s="40"/>
      <c r="FT175" s="40"/>
      <c r="FU175" s="40"/>
      <c r="FV175" s="40"/>
      <c r="FW175" s="40"/>
      <c r="FX175" s="40"/>
      <c r="FY175" s="40"/>
      <c r="FZ175" s="40"/>
      <c r="GA175" s="40"/>
      <c r="GB175" s="40"/>
      <c r="GC175" s="40"/>
      <c r="GD175" s="40"/>
      <c r="GE175" s="40"/>
      <c r="GF175" s="40"/>
      <c r="GG175" s="40"/>
      <c r="GH175" s="40"/>
      <c r="GI175" s="40"/>
      <c r="GJ175" s="40"/>
      <c r="GK175" s="40"/>
      <c r="GL175" s="40"/>
      <c r="GM175" s="40"/>
      <c r="GN175" s="40"/>
      <c r="GO175" s="40"/>
      <c r="GP175" s="40"/>
      <c r="GQ175" s="40"/>
      <c r="GR175" s="40"/>
      <c r="GS175" s="40"/>
      <c r="GT175" s="40"/>
      <c r="GU175" s="40"/>
      <c r="GV175" s="40"/>
      <c r="GW175" s="40"/>
      <c r="GX175" s="40"/>
      <c r="GY175" s="40"/>
      <c r="GZ175" s="40"/>
      <c r="HA175" s="40"/>
      <c r="HB175" s="40"/>
      <c r="HC175" s="40"/>
      <c r="HD175" s="40"/>
      <c r="HE175" s="40"/>
      <c r="HF175" s="40"/>
      <c r="HG175" s="40"/>
      <c r="HH175" s="40"/>
      <c r="HI175" s="40"/>
      <c r="HJ175" s="40"/>
      <c r="HK175" s="40"/>
      <c r="HL175" s="40"/>
      <c r="HM175" s="40"/>
      <c r="HN175" s="40"/>
      <c r="HO175" s="40"/>
      <c r="HP175" s="40"/>
      <c r="HQ175" s="40"/>
      <c r="HR175" s="40"/>
      <c r="HS175" s="40"/>
      <c r="HT175" s="40"/>
      <c r="HU175" s="40"/>
    </row>
    <row r="176" spans="1:229" s="41" customFormat="1" ht="28.8" customHeight="1">
      <c r="A176" s="124" t="s">
        <v>1282</v>
      </c>
      <c r="B176" s="80" t="s">
        <v>869</v>
      </c>
      <c r="C176" s="80"/>
      <c r="D176" s="80" t="s">
        <v>870</v>
      </c>
      <c r="E176" s="80" t="s">
        <v>871</v>
      </c>
      <c r="F176" s="80" t="s">
        <v>872</v>
      </c>
      <c r="G176" s="135" t="s">
        <v>873</v>
      </c>
      <c r="H176" s="81">
        <v>0.2</v>
      </c>
      <c r="I176" s="81"/>
      <c r="J176" s="79"/>
      <c r="K176" s="81"/>
      <c r="L176" s="79"/>
      <c r="M176" s="82" t="s">
        <v>1198</v>
      </c>
      <c r="N176" s="82" t="s">
        <v>550</v>
      </c>
      <c r="O176" s="82" t="s">
        <v>316</v>
      </c>
      <c r="P176" s="142">
        <v>0.2</v>
      </c>
      <c r="Q176" s="40">
        <f>SUMIF(Data_P!A:A,CONCATENATE(A176,"_",R$1),Data_P!J:J)</f>
        <v>0</v>
      </c>
      <c r="R176" s="40"/>
      <c r="S176" s="40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  <c r="BA176" s="40"/>
      <c r="BB176" s="40"/>
      <c r="BC176" s="40"/>
      <c r="BD176" s="40"/>
      <c r="BE176" s="40"/>
      <c r="BF176" s="40"/>
      <c r="BG176" s="40"/>
      <c r="BH176" s="40"/>
      <c r="BI176" s="40"/>
      <c r="BJ176" s="40"/>
      <c r="BK176" s="40"/>
      <c r="BL176" s="40"/>
      <c r="BM176" s="40"/>
      <c r="BN176" s="40"/>
      <c r="BO176" s="40"/>
      <c r="BP176" s="40"/>
      <c r="BQ176" s="40"/>
      <c r="BR176" s="40"/>
      <c r="BS176" s="40"/>
      <c r="BT176" s="40"/>
      <c r="BU176" s="40"/>
      <c r="BV176" s="40"/>
      <c r="BW176" s="40"/>
      <c r="BX176" s="40"/>
      <c r="BY176" s="40"/>
      <c r="BZ176" s="40"/>
      <c r="CA176" s="40"/>
      <c r="CB176" s="40"/>
      <c r="CC176" s="40"/>
      <c r="CD176" s="40"/>
      <c r="CE176" s="40"/>
      <c r="CF176" s="40"/>
      <c r="CG176" s="40"/>
      <c r="CH176" s="40"/>
      <c r="CI176" s="40"/>
      <c r="CJ176" s="40"/>
      <c r="CK176" s="40"/>
      <c r="CL176" s="40"/>
      <c r="CM176" s="40"/>
      <c r="CN176" s="40"/>
      <c r="CO176" s="40"/>
      <c r="CP176" s="40"/>
      <c r="CQ176" s="40"/>
      <c r="CR176" s="40"/>
      <c r="CS176" s="40"/>
      <c r="CT176" s="40"/>
      <c r="CU176" s="40"/>
      <c r="CV176" s="40"/>
      <c r="CW176" s="40"/>
      <c r="CX176" s="40"/>
      <c r="CY176" s="40"/>
      <c r="CZ176" s="40"/>
      <c r="DA176" s="40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40"/>
      <c r="EA176" s="40"/>
      <c r="EB176" s="40"/>
      <c r="EC176" s="40"/>
      <c r="ED176" s="40"/>
      <c r="EE176" s="40"/>
      <c r="EF176" s="40"/>
      <c r="EG176" s="40"/>
      <c r="EH176" s="40"/>
      <c r="EI176" s="40"/>
      <c r="EJ176" s="40"/>
      <c r="EK176" s="40"/>
      <c r="EL176" s="40"/>
      <c r="EM176" s="40"/>
      <c r="EN176" s="40"/>
      <c r="EO176" s="40"/>
      <c r="EP176" s="40"/>
      <c r="EQ176" s="40"/>
      <c r="ER176" s="40"/>
      <c r="ES176" s="40"/>
      <c r="ET176" s="40"/>
      <c r="EU176" s="40"/>
      <c r="EV176" s="40"/>
      <c r="EW176" s="40"/>
      <c r="EX176" s="40"/>
      <c r="EY176" s="40"/>
      <c r="EZ176" s="40"/>
      <c r="FA176" s="40"/>
      <c r="FB176" s="40"/>
      <c r="FC176" s="40"/>
      <c r="FD176" s="40"/>
      <c r="FE176" s="40"/>
      <c r="FF176" s="40"/>
      <c r="FG176" s="40"/>
      <c r="FH176" s="40"/>
      <c r="FI176" s="40"/>
      <c r="FJ176" s="40"/>
      <c r="FK176" s="40"/>
      <c r="FL176" s="40"/>
      <c r="FM176" s="40"/>
      <c r="FN176" s="40"/>
      <c r="FO176" s="40"/>
      <c r="FP176" s="40"/>
      <c r="FQ176" s="40"/>
      <c r="FR176" s="40"/>
      <c r="FS176" s="40"/>
      <c r="FT176" s="40"/>
      <c r="FU176" s="40"/>
      <c r="FV176" s="40"/>
      <c r="FW176" s="40"/>
      <c r="FX176" s="40"/>
      <c r="FY176" s="40"/>
      <c r="FZ176" s="40"/>
      <c r="GA176" s="40"/>
      <c r="GB176" s="40"/>
      <c r="GC176" s="40"/>
      <c r="GD176" s="40"/>
      <c r="GE176" s="40"/>
      <c r="GF176" s="40"/>
      <c r="GG176" s="40"/>
      <c r="GH176" s="40"/>
      <c r="GI176" s="40"/>
      <c r="GJ176" s="40"/>
      <c r="GK176" s="40"/>
      <c r="GL176" s="40"/>
      <c r="GM176" s="40"/>
      <c r="GN176" s="40"/>
      <c r="GO176" s="40"/>
      <c r="GP176" s="40"/>
      <c r="GQ176" s="40"/>
      <c r="GR176" s="40"/>
      <c r="GS176" s="40"/>
      <c r="GT176" s="40"/>
      <c r="GU176" s="40"/>
      <c r="GV176" s="40"/>
      <c r="GW176" s="40"/>
      <c r="GX176" s="40"/>
      <c r="GY176" s="40"/>
      <c r="GZ176" s="40"/>
      <c r="HA176" s="40"/>
      <c r="HB176" s="40"/>
      <c r="HC176" s="40"/>
      <c r="HD176" s="40"/>
      <c r="HE176" s="40"/>
      <c r="HF176" s="40"/>
      <c r="HG176" s="40"/>
      <c r="HH176" s="40"/>
      <c r="HI176" s="40"/>
      <c r="HJ176" s="40"/>
      <c r="HK176" s="40"/>
      <c r="HL176" s="40"/>
      <c r="HM176" s="40"/>
      <c r="HN176" s="40"/>
      <c r="HO176" s="40"/>
      <c r="HP176" s="40"/>
      <c r="HQ176" s="40"/>
      <c r="HR176" s="40"/>
      <c r="HS176" s="40"/>
      <c r="HT176" s="40"/>
      <c r="HU176" s="40"/>
    </row>
    <row r="177" spans="1:229" s="41" customFormat="1" ht="28.8" customHeight="1">
      <c r="A177" s="124" t="s">
        <v>2163</v>
      </c>
      <c r="B177" s="80" t="s">
        <v>2180</v>
      </c>
      <c r="C177" s="80"/>
      <c r="D177" s="80" t="s">
        <v>2181</v>
      </c>
      <c r="E177" s="80" t="s">
        <v>2182</v>
      </c>
      <c r="F177" s="80" t="s">
        <v>2179</v>
      </c>
      <c r="G177" s="135" t="s">
        <v>2178</v>
      </c>
      <c r="H177" s="81">
        <v>0.25</v>
      </c>
      <c r="I177" s="81"/>
      <c r="J177" s="79"/>
      <c r="K177" s="81"/>
      <c r="L177" s="79"/>
      <c r="M177" s="82" t="s">
        <v>2183</v>
      </c>
      <c r="N177" s="82" t="s">
        <v>240</v>
      </c>
      <c r="O177" s="82" t="s">
        <v>316</v>
      </c>
      <c r="P177" s="142">
        <v>0.2</v>
      </c>
      <c r="Q177" s="40">
        <f>SUMIF(Data_P!A:A,CONCATENATE(A177,"_",R$1),Data_P!J:J)</f>
        <v>73.5</v>
      </c>
      <c r="R177" s="40"/>
      <c r="S177" s="40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0"/>
      <c r="AK177" s="40"/>
      <c r="AL177" s="40"/>
      <c r="AM177" s="40"/>
      <c r="AN177" s="40"/>
      <c r="AO177" s="40"/>
      <c r="AP177" s="40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  <c r="BA177" s="40"/>
      <c r="BB177" s="40"/>
      <c r="BC177" s="40"/>
      <c r="BD177" s="40"/>
      <c r="BE177" s="40"/>
      <c r="BF177" s="40"/>
      <c r="BG177" s="40"/>
      <c r="BH177" s="40"/>
      <c r="BI177" s="40"/>
      <c r="BJ177" s="40"/>
      <c r="BK177" s="40"/>
      <c r="BL177" s="40"/>
      <c r="BM177" s="40"/>
      <c r="BN177" s="40"/>
      <c r="BO177" s="40"/>
      <c r="BP177" s="40"/>
      <c r="BQ177" s="40"/>
      <c r="BR177" s="40"/>
      <c r="BS177" s="40"/>
      <c r="BT177" s="40"/>
      <c r="BU177" s="40"/>
      <c r="BV177" s="40"/>
      <c r="BW177" s="40"/>
      <c r="BX177" s="40"/>
      <c r="BY177" s="40"/>
      <c r="BZ177" s="40"/>
      <c r="CA177" s="40"/>
      <c r="CB177" s="40"/>
      <c r="CC177" s="40"/>
      <c r="CD177" s="40"/>
      <c r="CE177" s="40"/>
      <c r="CF177" s="40"/>
      <c r="CG177" s="40"/>
      <c r="CH177" s="40"/>
      <c r="CI177" s="40"/>
      <c r="CJ177" s="40"/>
      <c r="CK177" s="40"/>
      <c r="CL177" s="40"/>
      <c r="CM177" s="40"/>
      <c r="CN177" s="40"/>
      <c r="CO177" s="40"/>
      <c r="CP177" s="40"/>
      <c r="CQ177" s="40"/>
      <c r="CR177" s="40"/>
      <c r="CS177" s="40"/>
      <c r="CT177" s="40"/>
      <c r="CU177" s="40"/>
      <c r="CV177" s="40"/>
      <c r="CW177" s="40"/>
      <c r="CX177" s="40"/>
      <c r="CY177" s="40"/>
      <c r="CZ177" s="40"/>
      <c r="DA177" s="40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40"/>
      <c r="EA177" s="40"/>
      <c r="EB177" s="40"/>
      <c r="EC177" s="40"/>
      <c r="ED177" s="40"/>
      <c r="EE177" s="40"/>
      <c r="EF177" s="40"/>
      <c r="EG177" s="40"/>
      <c r="EH177" s="40"/>
      <c r="EI177" s="40"/>
      <c r="EJ177" s="40"/>
      <c r="EK177" s="40"/>
      <c r="EL177" s="40"/>
      <c r="EM177" s="40"/>
      <c r="EN177" s="40"/>
      <c r="EO177" s="40"/>
      <c r="EP177" s="40"/>
      <c r="EQ177" s="40"/>
      <c r="ER177" s="40"/>
      <c r="ES177" s="40"/>
      <c r="ET177" s="40"/>
      <c r="EU177" s="40"/>
      <c r="EV177" s="40"/>
      <c r="EW177" s="40"/>
      <c r="EX177" s="40"/>
      <c r="EY177" s="40"/>
      <c r="EZ177" s="40"/>
      <c r="FA177" s="40"/>
      <c r="FB177" s="40"/>
      <c r="FC177" s="40"/>
      <c r="FD177" s="40"/>
      <c r="FE177" s="40"/>
      <c r="FF177" s="40"/>
      <c r="FG177" s="40"/>
      <c r="FH177" s="40"/>
      <c r="FI177" s="40"/>
      <c r="FJ177" s="40"/>
      <c r="FK177" s="40"/>
      <c r="FL177" s="40"/>
      <c r="FM177" s="40"/>
      <c r="FN177" s="40"/>
      <c r="FO177" s="40"/>
      <c r="FP177" s="40"/>
      <c r="FQ177" s="40"/>
      <c r="FR177" s="40"/>
      <c r="FS177" s="40"/>
      <c r="FT177" s="40"/>
      <c r="FU177" s="40"/>
      <c r="FV177" s="40"/>
      <c r="FW177" s="40"/>
      <c r="FX177" s="40"/>
      <c r="FY177" s="40"/>
      <c r="FZ177" s="40"/>
      <c r="GA177" s="40"/>
      <c r="GB177" s="40"/>
      <c r="GC177" s="40"/>
      <c r="GD177" s="40"/>
      <c r="GE177" s="40"/>
      <c r="GF177" s="40"/>
      <c r="GG177" s="40"/>
      <c r="GH177" s="40"/>
      <c r="GI177" s="40"/>
      <c r="GJ177" s="40"/>
      <c r="GK177" s="40"/>
      <c r="GL177" s="40"/>
      <c r="GM177" s="40"/>
      <c r="GN177" s="40"/>
      <c r="GO177" s="40"/>
      <c r="GP177" s="40"/>
      <c r="GQ177" s="40"/>
      <c r="GR177" s="40"/>
      <c r="GS177" s="40"/>
      <c r="GT177" s="40"/>
      <c r="GU177" s="40"/>
      <c r="GV177" s="40"/>
      <c r="GW177" s="40"/>
      <c r="GX177" s="40"/>
      <c r="GY177" s="40"/>
      <c r="GZ177" s="40"/>
      <c r="HA177" s="40"/>
      <c r="HB177" s="40"/>
      <c r="HC177" s="40"/>
      <c r="HD177" s="40"/>
      <c r="HE177" s="40"/>
      <c r="HF177" s="40"/>
      <c r="HG177" s="40"/>
      <c r="HH177" s="40"/>
      <c r="HI177" s="40"/>
      <c r="HJ177" s="40"/>
      <c r="HK177" s="40"/>
      <c r="HL177" s="40"/>
      <c r="HM177" s="40"/>
      <c r="HN177" s="40"/>
      <c r="HO177" s="40"/>
      <c r="HP177" s="40"/>
      <c r="HQ177" s="40"/>
      <c r="HR177" s="40"/>
      <c r="HS177" s="40"/>
      <c r="HT177" s="40"/>
      <c r="HU177" s="40"/>
    </row>
    <row r="178" spans="1:229" s="41" customFormat="1" ht="28.8" customHeight="1">
      <c r="A178" s="124" t="s">
        <v>537</v>
      </c>
      <c r="B178" s="80" t="s">
        <v>540</v>
      </c>
      <c r="C178" s="80"/>
      <c r="D178" s="80" t="s">
        <v>541</v>
      </c>
      <c r="E178" s="80" t="s">
        <v>542</v>
      </c>
      <c r="F178" s="80" t="s">
        <v>543</v>
      </c>
      <c r="G178" s="135" t="s">
        <v>544</v>
      </c>
      <c r="H178" s="81">
        <v>0.2</v>
      </c>
      <c r="I178" s="81"/>
      <c r="J178" s="79"/>
      <c r="K178" s="81"/>
      <c r="L178" s="79"/>
      <c r="M178" s="82" t="s">
        <v>1841</v>
      </c>
      <c r="N178" s="82" t="s">
        <v>294</v>
      </c>
      <c r="O178" s="82" t="s">
        <v>316</v>
      </c>
      <c r="P178" s="142">
        <v>0.2</v>
      </c>
      <c r="Q178" s="40">
        <f>SUMIF(Data_P!A:A,CONCATENATE(A178,"_",R$1),Data_P!J:J)</f>
        <v>676.8</v>
      </c>
      <c r="R178" s="40"/>
      <c r="S178" s="40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  <c r="BA178" s="40"/>
      <c r="BB178" s="40"/>
      <c r="BC178" s="40"/>
      <c r="BD178" s="40"/>
      <c r="BE178" s="40"/>
      <c r="BF178" s="40"/>
      <c r="BG178" s="40"/>
      <c r="BH178" s="40"/>
      <c r="BI178" s="40"/>
      <c r="BJ178" s="40"/>
      <c r="BK178" s="40"/>
      <c r="BL178" s="40"/>
      <c r="BM178" s="40"/>
      <c r="BN178" s="40"/>
      <c r="BO178" s="40"/>
      <c r="BP178" s="40"/>
      <c r="BQ178" s="40"/>
      <c r="BR178" s="40"/>
      <c r="BS178" s="40"/>
      <c r="BT178" s="40"/>
      <c r="BU178" s="40"/>
      <c r="BV178" s="40"/>
      <c r="BW178" s="40"/>
      <c r="BX178" s="40"/>
      <c r="BY178" s="40"/>
      <c r="BZ178" s="40"/>
      <c r="CA178" s="40"/>
      <c r="CB178" s="40"/>
      <c r="CC178" s="40"/>
      <c r="CD178" s="40"/>
      <c r="CE178" s="40"/>
      <c r="CF178" s="40"/>
      <c r="CG178" s="40"/>
      <c r="CH178" s="40"/>
      <c r="CI178" s="40"/>
      <c r="CJ178" s="40"/>
      <c r="CK178" s="40"/>
      <c r="CL178" s="40"/>
      <c r="CM178" s="40"/>
      <c r="CN178" s="40"/>
      <c r="CO178" s="40"/>
      <c r="CP178" s="40"/>
      <c r="CQ178" s="40"/>
      <c r="CR178" s="40"/>
      <c r="CS178" s="40"/>
      <c r="CT178" s="40"/>
      <c r="CU178" s="40"/>
      <c r="CV178" s="40"/>
      <c r="CW178" s="40"/>
      <c r="CX178" s="40"/>
      <c r="CY178" s="40"/>
      <c r="CZ178" s="40"/>
      <c r="DA178" s="40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/>
      <c r="DR178" s="40"/>
      <c r="DS178" s="40"/>
      <c r="DT178" s="40"/>
      <c r="DU178" s="40"/>
      <c r="DV178" s="40"/>
      <c r="DW178" s="40"/>
      <c r="DX178" s="40"/>
      <c r="DY178" s="40"/>
      <c r="DZ178" s="40"/>
      <c r="EA178" s="40"/>
      <c r="EB178" s="40"/>
      <c r="EC178" s="40"/>
      <c r="ED178" s="40"/>
      <c r="EE178" s="40"/>
      <c r="EF178" s="40"/>
      <c r="EG178" s="40"/>
      <c r="EH178" s="40"/>
      <c r="EI178" s="40"/>
      <c r="EJ178" s="40"/>
      <c r="EK178" s="40"/>
      <c r="EL178" s="40"/>
      <c r="EM178" s="40"/>
      <c r="EN178" s="40"/>
      <c r="EO178" s="40"/>
      <c r="EP178" s="40"/>
      <c r="EQ178" s="40"/>
      <c r="ER178" s="40"/>
      <c r="ES178" s="40"/>
      <c r="ET178" s="40"/>
      <c r="EU178" s="40"/>
      <c r="EV178" s="40"/>
      <c r="EW178" s="40"/>
      <c r="EX178" s="40"/>
      <c r="EY178" s="40"/>
      <c r="EZ178" s="40"/>
      <c r="FA178" s="40"/>
      <c r="FB178" s="40"/>
      <c r="FC178" s="40"/>
      <c r="FD178" s="40"/>
      <c r="FE178" s="40"/>
      <c r="FF178" s="40"/>
      <c r="FG178" s="40"/>
      <c r="FH178" s="40"/>
      <c r="FI178" s="40"/>
      <c r="FJ178" s="40"/>
      <c r="FK178" s="40"/>
      <c r="FL178" s="40"/>
      <c r="FM178" s="40"/>
      <c r="FN178" s="40"/>
      <c r="FO178" s="40"/>
      <c r="FP178" s="40"/>
      <c r="FQ178" s="40"/>
      <c r="FR178" s="40"/>
      <c r="FS178" s="40"/>
      <c r="FT178" s="40"/>
      <c r="FU178" s="40"/>
      <c r="FV178" s="40"/>
      <c r="FW178" s="40"/>
      <c r="FX178" s="40"/>
      <c r="FY178" s="40"/>
      <c r="FZ178" s="40"/>
      <c r="GA178" s="40"/>
      <c r="GB178" s="40"/>
      <c r="GC178" s="40"/>
      <c r="GD178" s="40"/>
      <c r="GE178" s="40"/>
      <c r="GF178" s="40"/>
      <c r="GG178" s="40"/>
      <c r="GH178" s="40"/>
      <c r="GI178" s="40"/>
      <c r="GJ178" s="40"/>
      <c r="GK178" s="40"/>
      <c r="GL178" s="40"/>
      <c r="GM178" s="40"/>
      <c r="GN178" s="40"/>
      <c r="GO178" s="40"/>
      <c r="GP178" s="40"/>
      <c r="GQ178" s="40"/>
      <c r="GR178" s="40"/>
      <c r="GS178" s="40"/>
      <c r="GT178" s="40"/>
      <c r="GU178" s="40"/>
      <c r="GV178" s="40"/>
      <c r="GW178" s="40"/>
      <c r="GX178" s="40"/>
      <c r="GY178" s="40"/>
      <c r="GZ178" s="40"/>
      <c r="HA178" s="40"/>
      <c r="HB178" s="40"/>
      <c r="HC178" s="40"/>
      <c r="HD178" s="40"/>
      <c r="HE178" s="40"/>
      <c r="HF178" s="40"/>
      <c r="HG178" s="40"/>
      <c r="HH178" s="40"/>
      <c r="HI178" s="40"/>
      <c r="HJ178" s="40"/>
      <c r="HK178" s="40"/>
      <c r="HL178" s="40"/>
      <c r="HM178" s="40"/>
      <c r="HN178" s="40"/>
      <c r="HO178" s="40"/>
      <c r="HP178" s="40"/>
      <c r="HQ178" s="40"/>
      <c r="HR178" s="40"/>
      <c r="HS178" s="40"/>
      <c r="HT178" s="40"/>
      <c r="HU178" s="40"/>
    </row>
    <row r="179" spans="1:229" s="41" customFormat="1" ht="28.8" customHeight="1">
      <c r="A179" s="124" t="s">
        <v>2224</v>
      </c>
      <c r="B179" s="80" t="s">
        <v>331</v>
      </c>
      <c r="C179" s="80"/>
      <c r="D179" s="80" t="s">
        <v>2240</v>
      </c>
      <c r="E179" s="80" t="s">
        <v>2241</v>
      </c>
      <c r="F179" s="80" t="s">
        <v>2264</v>
      </c>
      <c r="G179" s="135" t="s">
        <v>2265</v>
      </c>
      <c r="H179" s="81">
        <v>0.4</v>
      </c>
      <c r="I179" s="81" t="s">
        <v>590</v>
      </c>
      <c r="J179" s="79" t="s">
        <v>2263</v>
      </c>
      <c r="K179" s="81"/>
      <c r="L179" s="79"/>
      <c r="M179" s="82"/>
      <c r="N179" s="82"/>
      <c r="O179" s="82" t="s">
        <v>316</v>
      </c>
      <c r="P179" s="142">
        <v>0.2</v>
      </c>
      <c r="Q179" s="40">
        <f>SUMIF(Data_P!A:A,CONCATENATE(A179,"_",R$1),Data_P!J:J)</f>
        <v>171.58</v>
      </c>
      <c r="R179" s="40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0"/>
      <c r="AK179" s="40"/>
      <c r="AL179" s="40"/>
      <c r="AM179" s="40"/>
      <c r="AN179" s="40"/>
      <c r="AO179" s="40"/>
      <c r="AP179" s="40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  <c r="BA179" s="40"/>
      <c r="BB179" s="40"/>
      <c r="BC179" s="40"/>
      <c r="BD179" s="40"/>
      <c r="BE179" s="40"/>
      <c r="BF179" s="40"/>
      <c r="BG179" s="40"/>
      <c r="BH179" s="40"/>
      <c r="BI179" s="40"/>
      <c r="BJ179" s="40"/>
      <c r="BK179" s="40"/>
      <c r="BL179" s="40"/>
      <c r="BM179" s="40"/>
      <c r="BN179" s="40"/>
      <c r="BO179" s="40"/>
      <c r="BP179" s="40"/>
      <c r="BQ179" s="40"/>
      <c r="BR179" s="40"/>
      <c r="BS179" s="40"/>
      <c r="BT179" s="40"/>
      <c r="BU179" s="40"/>
      <c r="BV179" s="40"/>
      <c r="BW179" s="40"/>
      <c r="BX179" s="40"/>
      <c r="BY179" s="40"/>
      <c r="BZ179" s="40"/>
      <c r="CA179" s="40"/>
      <c r="CB179" s="40"/>
      <c r="CC179" s="40"/>
      <c r="CD179" s="40"/>
      <c r="CE179" s="40"/>
      <c r="CF179" s="40"/>
      <c r="CG179" s="40"/>
      <c r="CH179" s="40"/>
      <c r="CI179" s="40"/>
      <c r="CJ179" s="40"/>
      <c r="CK179" s="40"/>
      <c r="CL179" s="40"/>
      <c r="CM179" s="40"/>
      <c r="CN179" s="40"/>
      <c r="CO179" s="40"/>
      <c r="CP179" s="40"/>
      <c r="CQ179" s="40"/>
      <c r="CR179" s="40"/>
      <c r="CS179" s="40"/>
      <c r="CT179" s="40"/>
      <c r="CU179" s="40"/>
      <c r="CV179" s="40"/>
      <c r="CW179" s="40"/>
      <c r="CX179" s="40"/>
      <c r="CY179" s="40"/>
      <c r="CZ179" s="40"/>
      <c r="DA179" s="40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40"/>
      <c r="EA179" s="40"/>
      <c r="EB179" s="40"/>
      <c r="EC179" s="40"/>
      <c r="ED179" s="40"/>
      <c r="EE179" s="40"/>
      <c r="EF179" s="40"/>
      <c r="EG179" s="40"/>
      <c r="EH179" s="40"/>
      <c r="EI179" s="40"/>
      <c r="EJ179" s="40"/>
      <c r="EK179" s="40"/>
      <c r="EL179" s="40"/>
      <c r="EM179" s="40"/>
      <c r="EN179" s="40"/>
      <c r="EO179" s="40"/>
      <c r="EP179" s="40"/>
      <c r="EQ179" s="40"/>
      <c r="ER179" s="40"/>
      <c r="ES179" s="40"/>
      <c r="ET179" s="40"/>
      <c r="EU179" s="40"/>
      <c r="EV179" s="40"/>
      <c r="EW179" s="40"/>
      <c r="EX179" s="40"/>
      <c r="EY179" s="40"/>
      <c r="EZ179" s="40"/>
      <c r="FA179" s="40"/>
      <c r="FB179" s="40"/>
      <c r="FC179" s="40"/>
      <c r="FD179" s="40"/>
      <c r="FE179" s="40"/>
      <c r="FF179" s="40"/>
      <c r="FG179" s="40"/>
      <c r="FH179" s="40"/>
      <c r="FI179" s="40"/>
      <c r="FJ179" s="40"/>
      <c r="FK179" s="40"/>
      <c r="FL179" s="40"/>
      <c r="FM179" s="40"/>
      <c r="FN179" s="40"/>
      <c r="FO179" s="40"/>
      <c r="FP179" s="40"/>
      <c r="FQ179" s="40"/>
      <c r="FR179" s="40"/>
      <c r="FS179" s="40"/>
      <c r="FT179" s="40"/>
      <c r="FU179" s="40"/>
      <c r="FV179" s="40"/>
      <c r="FW179" s="40"/>
      <c r="FX179" s="40"/>
      <c r="FY179" s="40"/>
      <c r="FZ179" s="40"/>
      <c r="GA179" s="40"/>
      <c r="GB179" s="40"/>
      <c r="GC179" s="40"/>
      <c r="GD179" s="40"/>
      <c r="GE179" s="40"/>
      <c r="GF179" s="40"/>
      <c r="GG179" s="40"/>
      <c r="GH179" s="40"/>
      <c r="GI179" s="40"/>
      <c r="GJ179" s="40"/>
      <c r="GK179" s="40"/>
      <c r="GL179" s="40"/>
      <c r="GM179" s="40"/>
      <c r="GN179" s="40"/>
      <c r="GO179" s="40"/>
      <c r="GP179" s="40"/>
      <c r="GQ179" s="40"/>
      <c r="GR179" s="40"/>
      <c r="GS179" s="40"/>
      <c r="GT179" s="40"/>
      <c r="GU179" s="40"/>
      <c r="GV179" s="40"/>
      <c r="GW179" s="40"/>
      <c r="GX179" s="40"/>
      <c r="GY179" s="40"/>
      <c r="GZ179" s="40"/>
      <c r="HA179" s="40"/>
      <c r="HB179" s="40"/>
      <c r="HC179" s="40"/>
      <c r="HD179" s="40"/>
      <c r="HE179" s="40"/>
      <c r="HF179" s="40"/>
      <c r="HG179" s="40"/>
      <c r="HH179" s="40"/>
      <c r="HI179" s="40"/>
      <c r="HJ179" s="40"/>
      <c r="HK179" s="40"/>
      <c r="HL179" s="40"/>
      <c r="HM179" s="40"/>
      <c r="HN179" s="40"/>
      <c r="HO179" s="40"/>
      <c r="HP179" s="40"/>
      <c r="HQ179" s="40"/>
      <c r="HR179" s="40"/>
      <c r="HS179" s="40"/>
      <c r="HT179" s="40"/>
      <c r="HU179" s="40"/>
    </row>
    <row r="180" spans="1:229" s="41" customFormat="1" ht="28.8" customHeight="1">
      <c r="A180" s="124" t="s">
        <v>2118</v>
      </c>
      <c r="B180" s="80" t="s">
        <v>605</v>
      </c>
      <c r="C180" s="80"/>
      <c r="D180" s="80" t="s">
        <v>606</v>
      </c>
      <c r="E180" s="80" t="s">
        <v>607</v>
      </c>
      <c r="F180" s="80" t="s">
        <v>608</v>
      </c>
      <c r="G180" s="135" t="s">
        <v>609</v>
      </c>
      <c r="H180" s="81">
        <v>0.4</v>
      </c>
      <c r="I180" s="81" t="s">
        <v>590</v>
      </c>
      <c r="J180" s="79" t="s">
        <v>591</v>
      </c>
      <c r="K180" s="81"/>
      <c r="L180" s="79"/>
      <c r="M180" s="82" t="s">
        <v>1667</v>
      </c>
      <c r="N180" s="82" t="s">
        <v>1668</v>
      </c>
      <c r="O180" s="82" t="s">
        <v>317</v>
      </c>
      <c r="P180" s="142">
        <v>0.2</v>
      </c>
      <c r="Q180" s="40">
        <f>SUMIF(Data_P!A:A,CONCATENATE(A180,"_",R$1),Data_P!J:J)</f>
        <v>889.97</v>
      </c>
      <c r="R180" s="40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  <c r="BA180" s="40"/>
      <c r="BB180" s="40"/>
      <c r="BC180" s="40"/>
      <c r="BD180" s="40"/>
      <c r="BE180" s="40"/>
      <c r="BF180" s="40"/>
      <c r="BG180" s="40"/>
      <c r="BH180" s="40"/>
      <c r="BI180" s="40"/>
      <c r="BJ180" s="40"/>
      <c r="BK180" s="40"/>
      <c r="BL180" s="40"/>
      <c r="BM180" s="40"/>
      <c r="BN180" s="40"/>
      <c r="BO180" s="40"/>
      <c r="BP180" s="40"/>
      <c r="BQ180" s="40"/>
      <c r="BR180" s="40"/>
      <c r="BS180" s="40"/>
      <c r="BT180" s="40"/>
      <c r="BU180" s="40"/>
      <c r="BV180" s="40"/>
      <c r="BW180" s="40"/>
      <c r="BX180" s="40"/>
      <c r="BY180" s="40"/>
      <c r="BZ180" s="40"/>
      <c r="CA180" s="40"/>
      <c r="CB180" s="40"/>
      <c r="CC180" s="40"/>
      <c r="CD180" s="40"/>
      <c r="CE180" s="40"/>
      <c r="CF180" s="40"/>
      <c r="CG180" s="40"/>
      <c r="CH180" s="40"/>
      <c r="CI180" s="40"/>
      <c r="CJ180" s="40"/>
      <c r="CK180" s="40"/>
      <c r="CL180" s="40"/>
      <c r="CM180" s="40"/>
      <c r="CN180" s="40"/>
      <c r="CO180" s="40"/>
      <c r="CP180" s="40"/>
      <c r="CQ180" s="40"/>
      <c r="CR180" s="40"/>
      <c r="CS180" s="40"/>
      <c r="CT180" s="40"/>
      <c r="CU180" s="40"/>
      <c r="CV180" s="40"/>
      <c r="CW180" s="40"/>
      <c r="CX180" s="40"/>
      <c r="CY180" s="40"/>
      <c r="CZ180" s="40"/>
      <c r="DA180" s="40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40"/>
      <c r="EA180" s="40"/>
      <c r="EB180" s="40"/>
      <c r="EC180" s="40"/>
      <c r="ED180" s="40"/>
      <c r="EE180" s="40"/>
      <c r="EF180" s="40"/>
      <c r="EG180" s="40"/>
      <c r="EH180" s="40"/>
      <c r="EI180" s="40"/>
      <c r="EJ180" s="40"/>
      <c r="EK180" s="40"/>
      <c r="EL180" s="40"/>
      <c r="EM180" s="40"/>
      <c r="EN180" s="40"/>
      <c r="EO180" s="40"/>
      <c r="EP180" s="40"/>
      <c r="EQ180" s="40"/>
      <c r="ER180" s="40"/>
      <c r="ES180" s="40"/>
      <c r="ET180" s="40"/>
      <c r="EU180" s="40"/>
      <c r="EV180" s="40"/>
      <c r="EW180" s="40"/>
      <c r="EX180" s="40"/>
      <c r="EY180" s="40"/>
      <c r="EZ180" s="40"/>
      <c r="FA180" s="40"/>
      <c r="FB180" s="40"/>
      <c r="FC180" s="40"/>
      <c r="FD180" s="40"/>
      <c r="FE180" s="40"/>
      <c r="FF180" s="40"/>
      <c r="FG180" s="40"/>
      <c r="FH180" s="40"/>
      <c r="FI180" s="40"/>
      <c r="FJ180" s="40"/>
      <c r="FK180" s="40"/>
      <c r="FL180" s="40"/>
      <c r="FM180" s="40"/>
      <c r="FN180" s="40"/>
      <c r="FO180" s="40"/>
      <c r="FP180" s="40"/>
      <c r="FQ180" s="40"/>
      <c r="FR180" s="40"/>
      <c r="FS180" s="40"/>
      <c r="FT180" s="40"/>
      <c r="FU180" s="40"/>
      <c r="FV180" s="40"/>
      <c r="FW180" s="40"/>
      <c r="FX180" s="40"/>
      <c r="FY180" s="40"/>
      <c r="FZ180" s="40"/>
      <c r="GA180" s="40"/>
      <c r="GB180" s="40"/>
      <c r="GC180" s="40"/>
      <c r="GD180" s="40"/>
      <c r="GE180" s="40"/>
      <c r="GF180" s="40"/>
      <c r="GG180" s="40"/>
      <c r="GH180" s="40"/>
      <c r="GI180" s="40"/>
      <c r="GJ180" s="40"/>
      <c r="GK180" s="40"/>
      <c r="GL180" s="40"/>
      <c r="GM180" s="40"/>
      <c r="GN180" s="40"/>
      <c r="GO180" s="40"/>
      <c r="GP180" s="40"/>
      <c r="GQ180" s="40"/>
      <c r="GR180" s="40"/>
      <c r="GS180" s="40"/>
      <c r="GT180" s="40"/>
      <c r="GU180" s="40"/>
      <c r="GV180" s="40"/>
      <c r="GW180" s="40"/>
      <c r="GX180" s="40"/>
      <c r="GY180" s="40"/>
      <c r="GZ180" s="40"/>
      <c r="HA180" s="40"/>
      <c r="HB180" s="40"/>
      <c r="HC180" s="40"/>
      <c r="HD180" s="40"/>
      <c r="HE180" s="40"/>
      <c r="HF180" s="40"/>
      <c r="HG180" s="40"/>
      <c r="HH180" s="40"/>
      <c r="HI180" s="40"/>
      <c r="HJ180" s="40"/>
      <c r="HK180" s="40"/>
      <c r="HL180" s="40"/>
      <c r="HM180" s="40"/>
      <c r="HN180" s="40"/>
      <c r="HO180" s="40"/>
      <c r="HP180" s="40"/>
      <c r="HQ180" s="40"/>
      <c r="HR180" s="40"/>
      <c r="HS180" s="40"/>
      <c r="HT180" s="40"/>
      <c r="HU180" s="40"/>
    </row>
    <row r="181" spans="1:229" s="41" customFormat="1" ht="28.8" customHeight="1">
      <c r="A181" s="124" t="s">
        <v>2119</v>
      </c>
      <c r="B181" s="80" t="s">
        <v>314</v>
      </c>
      <c r="C181" s="80"/>
      <c r="D181" s="80" t="s">
        <v>312</v>
      </c>
      <c r="E181" s="80" t="s">
        <v>313</v>
      </c>
      <c r="F181" s="80" t="s">
        <v>2120</v>
      </c>
      <c r="G181" s="135" t="s">
        <v>2121</v>
      </c>
      <c r="H181" s="81">
        <v>0.45</v>
      </c>
      <c r="I181" s="81">
        <v>-0.05</v>
      </c>
      <c r="J181" s="79" t="s">
        <v>315</v>
      </c>
      <c r="K181" s="81"/>
      <c r="L181" s="79"/>
      <c r="M181" s="82" t="s">
        <v>426</v>
      </c>
      <c r="N181" s="82" t="s">
        <v>427</v>
      </c>
      <c r="O181" s="82" t="s">
        <v>317</v>
      </c>
      <c r="P181" s="142">
        <v>0.2</v>
      </c>
      <c r="Q181" s="40">
        <f>SUMIF(Data_P!A:A,CONCATENATE(A181,"_",R$1),Data_P!J:J)</f>
        <v>1387.73</v>
      </c>
      <c r="R181" s="40"/>
      <c r="S181" s="40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  <c r="BA181" s="40"/>
      <c r="BB181" s="40"/>
      <c r="BC181" s="40"/>
      <c r="BD181" s="40"/>
      <c r="BE181" s="40"/>
      <c r="BF181" s="40"/>
      <c r="BG181" s="40"/>
      <c r="BH181" s="40"/>
      <c r="BI181" s="40"/>
      <c r="BJ181" s="40"/>
      <c r="BK181" s="40"/>
      <c r="BL181" s="40"/>
      <c r="BM181" s="40"/>
      <c r="BN181" s="40"/>
      <c r="BO181" s="40"/>
      <c r="BP181" s="40"/>
      <c r="BQ181" s="40"/>
      <c r="BR181" s="40"/>
      <c r="BS181" s="40"/>
      <c r="BT181" s="40"/>
      <c r="BU181" s="40"/>
      <c r="BV181" s="40"/>
      <c r="BW181" s="40"/>
      <c r="BX181" s="40"/>
      <c r="BY181" s="40"/>
      <c r="BZ181" s="40"/>
      <c r="CA181" s="40"/>
      <c r="CB181" s="40"/>
      <c r="CC181" s="40"/>
      <c r="CD181" s="40"/>
      <c r="CE181" s="40"/>
      <c r="CF181" s="40"/>
      <c r="CG181" s="40"/>
      <c r="CH181" s="40"/>
      <c r="CI181" s="40"/>
      <c r="CJ181" s="40"/>
      <c r="CK181" s="40"/>
      <c r="CL181" s="40"/>
      <c r="CM181" s="40"/>
      <c r="CN181" s="40"/>
      <c r="CO181" s="40"/>
      <c r="CP181" s="40"/>
      <c r="CQ181" s="40"/>
      <c r="CR181" s="40"/>
      <c r="CS181" s="40"/>
      <c r="CT181" s="40"/>
      <c r="CU181" s="40"/>
      <c r="CV181" s="40"/>
      <c r="CW181" s="40"/>
      <c r="CX181" s="40"/>
      <c r="CY181" s="40"/>
      <c r="CZ181" s="40"/>
      <c r="DA181" s="40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40"/>
      <c r="EA181" s="40"/>
      <c r="EB181" s="40"/>
      <c r="EC181" s="40"/>
      <c r="ED181" s="40"/>
      <c r="EE181" s="40"/>
      <c r="EF181" s="40"/>
      <c r="EG181" s="40"/>
      <c r="EH181" s="40"/>
      <c r="EI181" s="40"/>
      <c r="EJ181" s="40"/>
      <c r="EK181" s="40"/>
      <c r="EL181" s="40"/>
      <c r="EM181" s="40"/>
      <c r="EN181" s="40"/>
      <c r="EO181" s="40"/>
      <c r="EP181" s="40"/>
      <c r="EQ181" s="40"/>
      <c r="ER181" s="40"/>
      <c r="ES181" s="40"/>
      <c r="ET181" s="40"/>
      <c r="EU181" s="40"/>
      <c r="EV181" s="40"/>
      <c r="EW181" s="40"/>
      <c r="EX181" s="40"/>
      <c r="EY181" s="40"/>
      <c r="EZ181" s="40"/>
      <c r="FA181" s="40"/>
      <c r="FB181" s="40"/>
      <c r="FC181" s="40"/>
      <c r="FD181" s="40"/>
      <c r="FE181" s="40"/>
      <c r="FF181" s="40"/>
      <c r="FG181" s="40"/>
      <c r="FH181" s="40"/>
      <c r="FI181" s="40"/>
      <c r="FJ181" s="40"/>
      <c r="FK181" s="40"/>
      <c r="FL181" s="40"/>
      <c r="FM181" s="40"/>
      <c r="FN181" s="40"/>
      <c r="FO181" s="40"/>
      <c r="FP181" s="40"/>
      <c r="FQ181" s="40"/>
      <c r="FR181" s="40"/>
      <c r="FS181" s="40"/>
      <c r="FT181" s="40"/>
      <c r="FU181" s="40"/>
      <c r="FV181" s="40"/>
      <c r="FW181" s="40"/>
      <c r="FX181" s="40"/>
      <c r="FY181" s="40"/>
      <c r="FZ181" s="40"/>
      <c r="GA181" s="40"/>
      <c r="GB181" s="40"/>
      <c r="GC181" s="40"/>
      <c r="GD181" s="40"/>
      <c r="GE181" s="40"/>
      <c r="GF181" s="40"/>
      <c r="GG181" s="40"/>
      <c r="GH181" s="40"/>
      <c r="GI181" s="40"/>
      <c r="GJ181" s="40"/>
      <c r="GK181" s="40"/>
      <c r="GL181" s="40"/>
      <c r="GM181" s="40"/>
      <c r="GN181" s="40"/>
      <c r="GO181" s="40"/>
      <c r="GP181" s="40"/>
      <c r="GQ181" s="40"/>
      <c r="GR181" s="40"/>
      <c r="GS181" s="40"/>
      <c r="GT181" s="40"/>
      <c r="GU181" s="40"/>
      <c r="GV181" s="40"/>
      <c r="GW181" s="40"/>
      <c r="GX181" s="40"/>
      <c r="GY181" s="40"/>
      <c r="GZ181" s="40"/>
      <c r="HA181" s="40"/>
      <c r="HB181" s="40"/>
      <c r="HC181" s="40"/>
      <c r="HD181" s="40"/>
      <c r="HE181" s="40"/>
      <c r="HF181" s="40"/>
      <c r="HG181" s="40"/>
      <c r="HH181" s="40"/>
      <c r="HI181" s="40"/>
      <c r="HJ181" s="40"/>
      <c r="HK181" s="40"/>
      <c r="HL181" s="40"/>
      <c r="HM181" s="40"/>
      <c r="HN181" s="40"/>
      <c r="HO181" s="40"/>
      <c r="HP181" s="40"/>
      <c r="HQ181" s="40"/>
      <c r="HR181" s="40"/>
      <c r="HS181" s="40"/>
      <c r="HT181" s="40"/>
      <c r="HU181" s="40"/>
    </row>
    <row r="182" spans="1:229" s="41" customFormat="1" ht="28.8" customHeight="1">
      <c r="A182" s="124" t="s">
        <v>1285</v>
      </c>
      <c r="B182" s="80" t="s">
        <v>655</v>
      </c>
      <c r="C182" s="80" t="s">
        <v>656</v>
      </c>
      <c r="D182" s="80" t="s">
        <v>657</v>
      </c>
      <c r="E182" s="80" t="s">
        <v>658</v>
      </c>
      <c r="F182" s="80" t="s">
        <v>659</v>
      </c>
      <c r="G182" s="135" t="s">
        <v>660</v>
      </c>
      <c r="H182" s="81">
        <v>0.4</v>
      </c>
      <c r="I182" s="81"/>
      <c r="J182" s="79"/>
      <c r="K182" s="81"/>
      <c r="L182" s="79"/>
      <c r="M182" s="82"/>
      <c r="N182" s="82"/>
      <c r="O182" s="82" t="s">
        <v>317</v>
      </c>
      <c r="P182" s="142">
        <v>0.2</v>
      </c>
      <c r="Q182" s="40">
        <f>SUMIF(Data_P!A:A,CONCATENATE(A182,"_",R$1),Data_P!J:J)</f>
        <v>546.79999999999995</v>
      </c>
      <c r="R182" s="40"/>
      <c r="S182" s="40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0"/>
      <c r="AK182" s="40"/>
      <c r="AL182" s="40"/>
      <c r="AM182" s="40"/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  <c r="BA182" s="40"/>
      <c r="BB182" s="40"/>
      <c r="BC182" s="40"/>
      <c r="BD182" s="40"/>
      <c r="BE182" s="40"/>
      <c r="BF182" s="40"/>
      <c r="BG182" s="40"/>
      <c r="BH182" s="40"/>
      <c r="BI182" s="40"/>
      <c r="BJ182" s="40"/>
      <c r="BK182" s="40"/>
      <c r="BL182" s="40"/>
      <c r="BM182" s="40"/>
      <c r="BN182" s="40"/>
      <c r="BO182" s="40"/>
      <c r="BP182" s="40"/>
      <c r="BQ182" s="40"/>
      <c r="BR182" s="40"/>
      <c r="BS182" s="40"/>
      <c r="BT182" s="40"/>
      <c r="BU182" s="40"/>
      <c r="BV182" s="40"/>
      <c r="BW182" s="40"/>
      <c r="BX182" s="40"/>
      <c r="BY182" s="40"/>
      <c r="BZ182" s="40"/>
      <c r="CA182" s="40"/>
      <c r="CB182" s="40"/>
      <c r="CC182" s="40"/>
      <c r="CD182" s="40"/>
      <c r="CE182" s="40"/>
      <c r="CF182" s="40"/>
      <c r="CG182" s="40"/>
      <c r="CH182" s="40"/>
      <c r="CI182" s="40"/>
      <c r="CJ182" s="40"/>
      <c r="CK182" s="40"/>
      <c r="CL182" s="40"/>
      <c r="CM182" s="40"/>
      <c r="CN182" s="40"/>
      <c r="CO182" s="40"/>
      <c r="CP182" s="40"/>
      <c r="CQ182" s="40"/>
      <c r="CR182" s="40"/>
      <c r="CS182" s="40"/>
      <c r="CT182" s="40"/>
      <c r="CU182" s="40"/>
      <c r="CV182" s="40"/>
      <c r="CW182" s="40"/>
      <c r="CX182" s="40"/>
      <c r="CY182" s="40"/>
      <c r="CZ182" s="40"/>
      <c r="DA182" s="40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40"/>
      <c r="EA182" s="40"/>
      <c r="EB182" s="40"/>
      <c r="EC182" s="40"/>
      <c r="ED182" s="40"/>
      <c r="EE182" s="40"/>
      <c r="EF182" s="40"/>
      <c r="EG182" s="40"/>
      <c r="EH182" s="40"/>
      <c r="EI182" s="40"/>
      <c r="EJ182" s="40"/>
      <c r="EK182" s="40"/>
      <c r="EL182" s="40"/>
      <c r="EM182" s="40"/>
      <c r="EN182" s="40"/>
      <c r="EO182" s="40"/>
      <c r="EP182" s="40"/>
      <c r="EQ182" s="40"/>
      <c r="ER182" s="40"/>
      <c r="ES182" s="40"/>
      <c r="ET182" s="40"/>
      <c r="EU182" s="40"/>
      <c r="EV182" s="40"/>
      <c r="EW182" s="40"/>
      <c r="EX182" s="40"/>
      <c r="EY182" s="40"/>
      <c r="EZ182" s="40"/>
      <c r="FA182" s="40"/>
      <c r="FB182" s="40"/>
      <c r="FC182" s="40"/>
      <c r="FD182" s="40"/>
      <c r="FE182" s="40"/>
      <c r="FF182" s="40"/>
      <c r="FG182" s="40"/>
      <c r="FH182" s="40"/>
      <c r="FI182" s="40"/>
      <c r="FJ182" s="40"/>
      <c r="FK182" s="40"/>
      <c r="FL182" s="40"/>
      <c r="FM182" s="40"/>
      <c r="FN182" s="40"/>
      <c r="FO182" s="40"/>
      <c r="FP182" s="40"/>
      <c r="FQ182" s="40"/>
      <c r="FR182" s="40"/>
      <c r="FS182" s="40"/>
      <c r="FT182" s="40"/>
      <c r="FU182" s="40"/>
      <c r="FV182" s="40"/>
      <c r="FW182" s="40"/>
      <c r="FX182" s="40"/>
      <c r="FY182" s="40"/>
      <c r="FZ182" s="40"/>
      <c r="GA182" s="40"/>
      <c r="GB182" s="40"/>
      <c r="GC182" s="40"/>
      <c r="GD182" s="40"/>
      <c r="GE182" s="40"/>
      <c r="GF182" s="40"/>
      <c r="GG182" s="40"/>
      <c r="GH182" s="40"/>
      <c r="GI182" s="40"/>
      <c r="GJ182" s="40"/>
      <c r="GK182" s="40"/>
      <c r="GL182" s="40"/>
      <c r="GM182" s="40"/>
      <c r="GN182" s="40"/>
      <c r="GO182" s="40"/>
      <c r="GP182" s="40"/>
      <c r="GQ182" s="40"/>
      <c r="GR182" s="40"/>
      <c r="GS182" s="40"/>
      <c r="GT182" s="40"/>
      <c r="GU182" s="40"/>
      <c r="GV182" s="40"/>
      <c r="GW182" s="40"/>
      <c r="GX182" s="40"/>
      <c r="GY182" s="40"/>
      <c r="GZ182" s="40"/>
      <c r="HA182" s="40"/>
      <c r="HB182" s="40"/>
      <c r="HC182" s="40"/>
      <c r="HD182" s="40"/>
      <c r="HE182" s="40"/>
      <c r="HF182" s="40"/>
      <c r="HG182" s="40"/>
      <c r="HH182" s="40"/>
      <c r="HI182" s="40"/>
      <c r="HJ182" s="40"/>
      <c r="HK182" s="40"/>
      <c r="HL182" s="40"/>
      <c r="HM182" s="40"/>
      <c r="HN182" s="40"/>
      <c r="HO182" s="40"/>
      <c r="HP182" s="40"/>
      <c r="HQ182" s="40"/>
      <c r="HR182" s="40"/>
      <c r="HS182" s="40"/>
      <c r="HT182" s="40"/>
      <c r="HU182" s="40"/>
    </row>
    <row r="183" spans="1:229" s="41" customFormat="1" ht="28.8" customHeight="1">
      <c r="A183" s="124" t="s">
        <v>1285</v>
      </c>
      <c r="B183" s="80" t="s">
        <v>655</v>
      </c>
      <c r="C183" s="80" t="s">
        <v>2368</v>
      </c>
      <c r="D183" s="80" t="s">
        <v>657</v>
      </c>
      <c r="E183" s="80" t="s">
        <v>658</v>
      </c>
      <c r="F183" s="135" t="s">
        <v>659</v>
      </c>
      <c r="G183" s="81" t="s">
        <v>660</v>
      </c>
      <c r="H183" s="81">
        <v>0.4</v>
      </c>
      <c r="I183" s="81"/>
      <c r="J183" s="79"/>
      <c r="K183" s="81"/>
      <c r="L183" s="79"/>
      <c r="O183" s="82" t="s">
        <v>317</v>
      </c>
      <c r="P183" s="142">
        <v>0.2</v>
      </c>
      <c r="Q183" s="40">
        <f>SUMIF(Data_P!A:A,CONCATENATE(A183,"_",R$1),Data_P!J:J)</f>
        <v>546.79999999999995</v>
      </c>
      <c r="R183" s="40"/>
      <c r="S183" s="40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  <c r="BA183" s="40"/>
      <c r="BB183" s="40"/>
      <c r="BC183" s="40"/>
      <c r="BD183" s="40"/>
      <c r="BE183" s="40"/>
      <c r="BF183" s="40"/>
      <c r="BG183" s="40"/>
      <c r="BH183" s="40"/>
      <c r="BI183" s="40"/>
      <c r="BJ183" s="40"/>
      <c r="BK183" s="40"/>
      <c r="BL183" s="40"/>
      <c r="BM183" s="40"/>
      <c r="BN183" s="40"/>
      <c r="BO183" s="40"/>
      <c r="BP183" s="40"/>
      <c r="BQ183" s="40"/>
      <c r="BR183" s="40"/>
      <c r="BS183" s="40"/>
      <c r="BT183" s="40"/>
      <c r="BU183" s="40"/>
      <c r="BV183" s="40"/>
      <c r="BW183" s="40"/>
      <c r="BX183" s="40"/>
      <c r="BY183" s="40"/>
      <c r="BZ183" s="40"/>
      <c r="CA183" s="40"/>
      <c r="CB183" s="40"/>
      <c r="CC183" s="40"/>
      <c r="CD183" s="40"/>
      <c r="CE183" s="40"/>
      <c r="CF183" s="40"/>
      <c r="CG183" s="40"/>
      <c r="CH183" s="40"/>
      <c r="CI183" s="40"/>
      <c r="CJ183" s="40"/>
      <c r="CK183" s="40"/>
      <c r="CL183" s="40"/>
      <c r="CM183" s="40"/>
      <c r="CN183" s="40"/>
      <c r="CO183" s="40"/>
      <c r="CP183" s="40"/>
      <c r="CQ183" s="40"/>
      <c r="CR183" s="40"/>
      <c r="CS183" s="40"/>
      <c r="CT183" s="40"/>
      <c r="CU183" s="40"/>
      <c r="CV183" s="40"/>
      <c r="CW183" s="40"/>
      <c r="CX183" s="40"/>
      <c r="CY183" s="40"/>
      <c r="CZ183" s="40"/>
      <c r="DA183" s="40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40"/>
      <c r="EA183" s="40"/>
      <c r="EB183" s="40"/>
      <c r="EC183" s="40"/>
      <c r="ED183" s="40"/>
      <c r="EE183" s="40"/>
      <c r="EF183" s="40"/>
      <c r="EG183" s="40"/>
      <c r="EH183" s="40"/>
      <c r="EI183" s="40"/>
      <c r="EJ183" s="40"/>
      <c r="EK183" s="40"/>
      <c r="EL183" s="40"/>
      <c r="EM183" s="40"/>
      <c r="EN183" s="40"/>
      <c r="EO183" s="40"/>
      <c r="EP183" s="40"/>
      <c r="EQ183" s="40"/>
      <c r="ER183" s="40"/>
      <c r="ES183" s="40"/>
      <c r="ET183" s="40"/>
      <c r="EU183" s="40"/>
      <c r="EV183" s="40"/>
      <c r="EW183" s="40"/>
      <c r="EX183" s="40"/>
      <c r="EY183" s="40"/>
      <c r="EZ183" s="40"/>
      <c r="FA183" s="40"/>
      <c r="FB183" s="40"/>
      <c r="FC183" s="40"/>
      <c r="FD183" s="40"/>
      <c r="FE183" s="40"/>
      <c r="FF183" s="40"/>
      <c r="FG183" s="40"/>
      <c r="FH183" s="40"/>
      <c r="FI183" s="40"/>
      <c r="FJ183" s="40"/>
      <c r="FK183" s="40"/>
      <c r="FL183" s="40"/>
      <c r="FM183" s="40"/>
      <c r="FN183" s="40"/>
      <c r="FO183" s="40"/>
      <c r="FP183" s="40"/>
      <c r="FQ183" s="40"/>
      <c r="FR183" s="40"/>
      <c r="FS183" s="40"/>
      <c r="FT183" s="40"/>
      <c r="FU183" s="40"/>
      <c r="FV183" s="40"/>
      <c r="FW183" s="40"/>
      <c r="FX183" s="40"/>
      <c r="FY183" s="40"/>
      <c r="FZ183" s="40"/>
      <c r="GA183" s="40"/>
      <c r="GB183" s="40"/>
      <c r="GC183" s="40"/>
      <c r="GD183" s="40"/>
      <c r="GE183" s="40"/>
      <c r="GF183" s="40"/>
      <c r="GG183" s="40"/>
      <c r="GH183" s="40"/>
      <c r="GI183" s="40"/>
      <c r="GJ183" s="40"/>
      <c r="GK183" s="40"/>
      <c r="GL183" s="40"/>
      <c r="GM183" s="40"/>
      <c r="GN183" s="40"/>
      <c r="GO183" s="40"/>
      <c r="GP183" s="40"/>
      <c r="GQ183" s="40"/>
      <c r="GR183" s="40"/>
      <c r="GS183" s="40"/>
      <c r="GT183" s="40"/>
      <c r="GU183" s="40"/>
      <c r="GV183" s="40"/>
      <c r="GW183" s="40"/>
      <c r="GX183" s="40"/>
      <c r="GY183" s="40"/>
      <c r="GZ183" s="40"/>
      <c r="HA183" s="40"/>
      <c r="HB183" s="40"/>
      <c r="HC183" s="40"/>
      <c r="HD183" s="40"/>
      <c r="HE183" s="40"/>
      <c r="HF183" s="40"/>
      <c r="HG183" s="40"/>
      <c r="HH183" s="40"/>
      <c r="HI183" s="40"/>
      <c r="HJ183" s="40"/>
      <c r="HK183" s="40"/>
      <c r="HL183" s="40"/>
      <c r="HM183" s="40"/>
      <c r="HN183" s="40"/>
      <c r="HO183" s="40"/>
      <c r="HP183" s="40"/>
      <c r="HQ183" s="40"/>
      <c r="HR183" s="40"/>
      <c r="HS183" s="40"/>
      <c r="HT183" s="40"/>
      <c r="HU183" s="40"/>
    </row>
    <row r="184" spans="1:229" s="41" customFormat="1" ht="28.8" customHeight="1">
      <c r="A184" s="124" t="s">
        <v>1556</v>
      </c>
      <c r="B184" s="80" t="s">
        <v>1557</v>
      </c>
      <c r="C184" s="80"/>
      <c r="D184" s="80" t="s">
        <v>1558</v>
      </c>
      <c r="E184" s="80" t="s">
        <v>1559</v>
      </c>
      <c r="F184" s="80" t="s">
        <v>1560</v>
      </c>
      <c r="G184" s="135" t="s">
        <v>1561</v>
      </c>
      <c r="H184" s="81">
        <v>0.2</v>
      </c>
      <c r="I184" s="81"/>
      <c r="J184" s="79"/>
      <c r="K184" s="81"/>
      <c r="L184" s="79"/>
      <c r="M184" s="82" t="s">
        <v>1669</v>
      </c>
      <c r="N184" s="82" t="s">
        <v>1388</v>
      </c>
      <c r="O184" s="82" t="s">
        <v>316</v>
      </c>
      <c r="P184" s="142">
        <v>0.2</v>
      </c>
      <c r="Q184" s="40">
        <f>SUMIF(Data_P!A:A,CONCATENATE(A184,"_",R$1),Data_P!J:J)</f>
        <v>6.4</v>
      </c>
      <c r="R184" s="40"/>
      <c r="S184" s="40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0"/>
      <c r="AK184" s="40"/>
      <c r="AL184" s="40"/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  <c r="BA184" s="40"/>
      <c r="BB184" s="40"/>
      <c r="BC184" s="40"/>
      <c r="BD184" s="40"/>
      <c r="BE184" s="40"/>
      <c r="BF184" s="40"/>
      <c r="BG184" s="40"/>
      <c r="BH184" s="40"/>
      <c r="BI184" s="40"/>
      <c r="BJ184" s="40"/>
      <c r="BK184" s="40"/>
      <c r="BL184" s="40"/>
      <c r="BM184" s="40"/>
      <c r="BN184" s="40"/>
      <c r="BO184" s="40"/>
      <c r="BP184" s="40"/>
      <c r="BQ184" s="40"/>
      <c r="BR184" s="40"/>
      <c r="BS184" s="40"/>
      <c r="BT184" s="40"/>
      <c r="BU184" s="40"/>
      <c r="BV184" s="40"/>
      <c r="BW184" s="40"/>
      <c r="BX184" s="40"/>
      <c r="BY184" s="40"/>
      <c r="BZ184" s="40"/>
      <c r="CA184" s="40"/>
      <c r="CB184" s="40"/>
      <c r="CC184" s="40"/>
      <c r="CD184" s="40"/>
      <c r="CE184" s="40"/>
      <c r="CF184" s="40"/>
      <c r="CG184" s="40"/>
      <c r="CH184" s="40"/>
      <c r="CI184" s="40"/>
      <c r="CJ184" s="40"/>
      <c r="CK184" s="40"/>
      <c r="CL184" s="40"/>
      <c r="CM184" s="40"/>
      <c r="CN184" s="40"/>
      <c r="CO184" s="40"/>
      <c r="CP184" s="40"/>
      <c r="CQ184" s="40"/>
      <c r="CR184" s="40"/>
      <c r="CS184" s="40"/>
      <c r="CT184" s="40"/>
      <c r="CU184" s="40"/>
      <c r="CV184" s="40"/>
      <c r="CW184" s="40"/>
      <c r="CX184" s="40"/>
      <c r="CY184" s="40"/>
      <c r="CZ184" s="40"/>
      <c r="DA184" s="40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40"/>
      <c r="EA184" s="40"/>
      <c r="EB184" s="40"/>
      <c r="EC184" s="40"/>
      <c r="ED184" s="40"/>
      <c r="EE184" s="40"/>
      <c r="EF184" s="40"/>
      <c r="EG184" s="40"/>
      <c r="EH184" s="40"/>
      <c r="EI184" s="40"/>
      <c r="EJ184" s="40"/>
      <c r="EK184" s="40"/>
      <c r="EL184" s="40"/>
      <c r="EM184" s="40"/>
      <c r="EN184" s="40"/>
      <c r="EO184" s="40"/>
      <c r="EP184" s="40"/>
      <c r="EQ184" s="40"/>
      <c r="ER184" s="40"/>
      <c r="ES184" s="40"/>
      <c r="ET184" s="40"/>
      <c r="EU184" s="40"/>
      <c r="EV184" s="40"/>
      <c r="EW184" s="40"/>
      <c r="EX184" s="40"/>
      <c r="EY184" s="40"/>
      <c r="EZ184" s="40"/>
      <c r="FA184" s="40"/>
      <c r="FB184" s="40"/>
      <c r="FC184" s="40"/>
      <c r="FD184" s="40"/>
      <c r="FE184" s="40"/>
      <c r="FF184" s="40"/>
      <c r="FG184" s="40"/>
      <c r="FH184" s="40"/>
      <c r="FI184" s="40"/>
      <c r="FJ184" s="40"/>
      <c r="FK184" s="40"/>
      <c r="FL184" s="40"/>
      <c r="FM184" s="40"/>
      <c r="FN184" s="40"/>
      <c r="FO184" s="40"/>
      <c r="FP184" s="40"/>
      <c r="FQ184" s="40"/>
      <c r="FR184" s="40"/>
      <c r="FS184" s="40"/>
      <c r="FT184" s="40"/>
      <c r="FU184" s="40"/>
      <c r="FV184" s="40"/>
      <c r="FW184" s="40"/>
      <c r="FX184" s="40"/>
      <c r="FY184" s="40"/>
      <c r="FZ184" s="40"/>
      <c r="GA184" s="40"/>
      <c r="GB184" s="40"/>
      <c r="GC184" s="40"/>
      <c r="GD184" s="40"/>
      <c r="GE184" s="40"/>
      <c r="GF184" s="40"/>
      <c r="GG184" s="40"/>
      <c r="GH184" s="40"/>
      <c r="GI184" s="40"/>
      <c r="GJ184" s="40"/>
      <c r="GK184" s="40"/>
      <c r="GL184" s="40"/>
      <c r="GM184" s="40"/>
      <c r="GN184" s="40"/>
      <c r="GO184" s="40"/>
      <c r="GP184" s="40"/>
      <c r="GQ184" s="40"/>
      <c r="GR184" s="40"/>
      <c r="GS184" s="40"/>
      <c r="GT184" s="40"/>
      <c r="GU184" s="40"/>
      <c r="GV184" s="40"/>
      <c r="GW184" s="40"/>
      <c r="GX184" s="40"/>
      <c r="GY184" s="40"/>
      <c r="GZ184" s="40"/>
      <c r="HA184" s="40"/>
      <c r="HB184" s="40"/>
      <c r="HC184" s="40"/>
      <c r="HD184" s="40"/>
      <c r="HE184" s="40"/>
      <c r="HF184" s="40"/>
      <c r="HG184" s="40"/>
      <c r="HH184" s="40"/>
      <c r="HI184" s="40"/>
      <c r="HJ184" s="40"/>
      <c r="HK184" s="40"/>
      <c r="HL184" s="40"/>
      <c r="HM184" s="40"/>
      <c r="HN184" s="40"/>
      <c r="HO184" s="40"/>
      <c r="HP184" s="40"/>
      <c r="HQ184" s="40"/>
      <c r="HR184" s="40"/>
      <c r="HS184" s="40"/>
      <c r="HT184" s="40"/>
      <c r="HU184" s="40"/>
    </row>
    <row r="185" spans="1:229" s="41" customFormat="1" ht="28.8" customHeight="1">
      <c r="A185" s="124" t="s">
        <v>2122</v>
      </c>
      <c r="B185" s="80" t="s">
        <v>1933</v>
      </c>
      <c r="C185" s="80"/>
      <c r="D185" s="80" t="s">
        <v>1939</v>
      </c>
      <c r="E185" s="80" t="s">
        <v>1938</v>
      </c>
      <c r="F185" s="80" t="s">
        <v>1940</v>
      </c>
      <c r="G185" s="135" t="s">
        <v>1941</v>
      </c>
      <c r="H185" s="81">
        <v>0.3</v>
      </c>
      <c r="I185" s="81"/>
      <c r="J185" s="79"/>
      <c r="K185" s="81"/>
      <c r="L185" s="79"/>
      <c r="M185" s="82"/>
      <c r="N185" s="82"/>
      <c r="O185" s="82" t="s">
        <v>316</v>
      </c>
      <c r="P185" s="142">
        <v>0.2</v>
      </c>
      <c r="Q185" s="40">
        <f>SUMIF(Data_P!A:A,CONCATENATE(A185,"_",R$1),Data_P!J:J)</f>
        <v>905.23</v>
      </c>
      <c r="R185" s="40"/>
      <c r="S185" s="40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  <c r="BA185" s="40"/>
      <c r="BB185" s="40"/>
      <c r="BC185" s="40"/>
      <c r="BD185" s="40"/>
      <c r="BE185" s="40"/>
      <c r="BF185" s="40"/>
      <c r="BG185" s="40"/>
      <c r="BH185" s="40"/>
      <c r="BI185" s="40"/>
      <c r="BJ185" s="40"/>
      <c r="BK185" s="40"/>
      <c r="BL185" s="40"/>
      <c r="BM185" s="40"/>
      <c r="BN185" s="40"/>
      <c r="BO185" s="40"/>
      <c r="BP185" s="40"/>
      <c r="BQ185" s="40"/>
      <c r="BR185" s="40"/>
      <c r="BS185" s="40"/>
      <c r="BT185" s="40"/>
      <c r="BU185" s="40"/>
      <c r="BV185" s="40"/>
      <c r="BW185" s="40"/>
      <c r="BX185" s="40"/>
      <c r="BY185" s="40"/>
      <c r="BZ185" s="40"/>
      <c r="CA185" s="40"/>
      <c r="CB185" s="40"/>
      <c r="CC185" s="40"/>
      <c r="CD185" s="40"/>
      <c r="CE185" s="40"/>
      <c r="CF185" s="40"/>
      <c r="CG185" s="40"/>
      <c r="CH185" s="40"/>
      <c r="CI185" s="40"/>
      <c r="CJ185" s="40"/>
      <c r="CK185" s="40"/>
      <c r="CL185" s="40"/>
      <c r="CM185" s="40"/>
      <c r="CN185" s="40"/>
      <c r="CO185" s="40"/>
      <c r="CP185" s="40"/>
      <c r="CQ185" s="40"/>
      <c r="CR185" s="40"/>
      <c r="CS185" s="40"/>
      <c r="CT185" s="40"/>
      <c r="CU185" s="40"/>
      <c r="CV185" s="40"/>
      <c r="CW185" s="40"/>
      <c r="CX185" s="40"/>
      <c r="CY185" s="40"/>
      <c r="CZ185" s="40"/>
      <c r="DA185" s="40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40"/>
      <c r="EA185" s="40"/>
      <c r="EB185" s="40"/>
      <c r="EC185" s="40"/>
      <c r="ED185" s="40"/>
      <c r="EE185" s="40"/>
      <c r="EF185" s="40"/>
      <c r="EG185" s="40"/>
      <c r="EH185" s="40"/>
      <c r="EI185" s="40"/>
      <c r="EJ185" s="40"/>
      <c r="EK185" s="40"/>
      <c r="EL185" s="40"/>
      <c r="EM185" s="40"/>
      <c r="EN185" s="40"/>
      <c r="EO185" s="40"/>
      <c r="EP185" s="40"/>
      <c r="EQ185" s="40"/>
      <c r="ER185" s="40"/>
      <c r="ES185" s="40"/>
      <c r="ET185" s="40"/>
      <c r="EU185" s="40"/>
      <c r="EV185" s="40"/>
      <c r="EW185" s="40"/>
      <c r="EX185" s="40"/>
      <c r="EY185" s="40"/>
      <c r="EZ185" s="40"/>
      <c r="FA185" s="40"/>
      <c r="FB185" s="40"/>
      <c r="FC185" s="40"/>
      <c r="FD185" s="40"/>
      <c r="FE185" s="40"/>
      <c r="FF185" s="40"/>
      <c r="FG185" s="40"/>
      <c r="FH185" s="40"/>
      <c r="FI185" s="40"/>
      <c r="FJ185" s="40"/>
      <c r="FK185" s="40"/>
      <c r="FL185" s="40"/>
      <c r="FM185" s="40"/>
      <c r="FN185" s="40"/>
      <c r="FO185" s="40"/>
      <c r="FP185" s="40"/>
      <c r="FQ185" s="40"/>
      <c r="FR185" s="40"/>
      <c r="FS185" s="40"/>
      <c r="FT185" s="40"/>
      <c r="FU185" s="40"/>
      <c r="FV185" s="40"/>
      <c r="FW185" s="40"/>
      <c r="FX185" s="40"/>
      <c r="FY185" s="40"/>
      <c r="FZ185" s="40"/>
      <c r="GA185" s="40"/>
      <c r="GB185" s="40"/>
      <c r="GC185" s="40"/>
      <c r="GD185" s="40"/>
      <c r="GE185" s="40"/>
      <c r="GF185" s="40"/>
      <c r="GG185" s="40"/>
      <c r="GH185" s="40"/>
      <c r="GI185" s="40"/>
      <c r="GJ185" s="40"/>
      <c r="GK185" s="40"/>
      <c r="GL185" s="40"/>
      <c r="GM185" s="40"/>
      <c r="GN185" s="40"/>
      <c r="GO185" s="40"/>
      <c r="GP185" s="40"/>
      <c r="GQ185" s="40"/>
      <c r="GR185" s="40"/>
      <c r="GS185" s="40"/>
      <c r="GT185" s="40"/>
      <c r="GU185" s="40"/>
      <c r="GV185" s="40"/>
      <c r="GW185" s="40"/>
      <c r="GX185" s="40"/>
      <c r="GY185" s="40"/>
      <c r="GZ185" s="40"/>
      <c r="HA185" s="40"/>
      <c r="HB185" s="40"/>
      <c r="HC185" s="40"/>
      <c r="HD185" s="40"/>
      <c r="HE185" s="40"/>
      <c r="HF185" s="40"/>
      <c r="HG185" s="40"/>
      <c r="HH185" s="40"/>
      <c r="HI185" s="40"/>
      <c r="HJ185" s="40"/>
      <c r="HK185" s="40"/>
      <c r="HL185" s="40"/>
      <c r="HM185" s="40"/>
      <c r="HN185" s="40"/>
      <c r="HO185" s="40"/>
      <c r="HP185" s="40"/>
      <c r="HQ185" s="40"/>
      <c r="HR185" s="40"/>
      <c r="HS185" s="40"/>
      <c r="HT185" s="40"/>
      <c r="HU185" s="40"/>
    </row>
    <row r="186" spans="1:229" s="41" customFormat="1" ht="28.8" customHeight="1">
      <c r="A186" s="124" t="s">
        <v>2123</v>
      </c>
      <c r="B186" s="80" t="s">
        <v>1936</v>
      </c>
      <c r="C186" s="80"/>
      <c r="D186" s="80" t="s">
        <v>1949</v>
      </c>
      <c r="E186" s="80" t="s">
        <v>547</v>
      </c>
      <c r="F186" s="80" t="s">
        <v>1950</v>
      </c>
      <c r="G186" s="135" t="s">
        <v>2124</v>
      </c>
      <c r="H186" s="81">
        <v>0.3</v>
      </c>
      <c r="I186" s="81"/>
      <c r="J186" s="79"/>
      <c r="K186" s="81"/>
      <c r="L186" s="79"/>
      <c r="M186" s="82"/>
      <c r="N186" s="82"/>
      <c r="O186" s="82" t="s">
        <v>316</v>
      </c>
      <c r="P186" s="142">
        <v>0.2</v>
      </c>
      <c r="Q186" s="40">
        <f>SUMIF(Data_P!A:A,CONCATENATE(A186,"_",R$1),Data_P!J:J)</f>
        <v>388.44</v>
      </c>
      <c r="R186" s="40"/>
      <c r="S186" s="40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  <c r="BA186" s="40"/>
      <c r="BB186" s="40"/>
      <c r="BC186" s="40"/>
      <c r="BD186" s="40"/>
      <c r="BE186" s="40"/>
      <c r="BF186" s="40"/>
      <c r="BG186" s="40"/>
      <c r="BH186" s="40"/>
      <c r="BI186" s="40"/>
      <c r="BJ186" s="40"/>
      <c r="BK186" s="40"/>
      <c r="BL186" s="40"/>
      <c r="BM186" s="40"/>
      <c r="BN186" s="40"/>
      <c r="BO186" s="40"/>
      <c r="BP186" s="40"/>
      <c r="BQ186" s="40"/>
      <c r="BR186" s="40"/>
      <c r="BS186" s="40"/>
      <c r="BT186" s="40"/>
      <c r="BU186" s="40"/>
      <c r="BV186" s="40"/>
      <c r="BW186" s="40"/>
      <c r="BX186" s="40"/>
      <c r="BY186" s="40"/>
      <c r="BZ186" s="40"/>
      <c r="CA186" s="40"/>
      <c r="CB186" s="40"/>
      <c r="CC186" s="40"/>
      <c r="CD186" s="40"/>
      <c r="CE186" s="40"/>
      <c r="CF186" s="40"/>
      <c r="CG186" s="40"/>
      <c r="CH186" s="40"/>
      <c r="CI186" s="40"/>
      <c r="CJ186" s="40"/>
      <c r="CK186" s="40"/>
      <c r="CL186" s="40"/>
      <c r="CM186" s="40"/>
      <c r="CN186" s="40"/>
      <c r="CO186" s="40"/>
      <c r="CP186" s="40"/>
      <c r="CQ186" s="40"/>
      <c r="CR186" s="40"/>
      <c r="CS186" s="40"/>
      <c r="CT186" s="40"/>
      <c r="CU186" s="40"/>
      <c r="CV186" s="40"/>
      <c r="CW186" s="40"/>
      <c r="CX186" s="40"/>
      <c r="CY186" s="40"/>
      <c r="CZ186" s="40"/>
      <c r="DA186" s="40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40"/>
      <c r="EA186" s="40"/>
      <c r="EB186" s="40"/>
      <c r="EC186" s="40"/>
      <c r="ED186" s="40"/>
      <c r="EE186" s="40"/>
      <c r="EF186" s="40"/>
      <c r="EG186" s="40"/>
      <c r="EH186" s="40"/>
      <c r="EI186" s="40"/>
      <c r="EJ186" s="40"/>
      <c r="EK186" s="40"/>
      <c r="EL186" s="40"/>
      <c r="EM186" s="40"/>
      <c r="EN186" s="40"/>
      <c r="EO186" s="40"/>
      <c r="EP186" s="40"/>
      <c r="EQ186" s="40"/>
      <c r="ER186" s="40"/>
      <c r="ES186" s="40"/>
      <c r="ET186" s="40"/>
      <c r="EU186" s="40"/>
      <c r="EV186" s="40"/>
      <c r="EW186" s="40"/>
      <c r="EX186" s="40"/>
      <c r="EY186" s="40"/>
      <c r="EZ186" s="40"/>
      <c r="FA186" s="40"/>
      <c r="FB186" s="40"/>
      <c r="FC186" s="40"/>
      <c r="FD186" s="40"/>
      <c r="FE186" s="40"/>
      <c r="FF186" s="40"/>
      <c r="FG186" s="40"/>
      <c r="FH186" s="40"/>
      <c r="FI186" s="40"/>
      <c r="FJ186" s="40"/>
      <c r="FK186" s="40"/>
      <c r="FL186" s="40"/>
      <c r="FM186" s="40"/>
      <c r="FN186" s="40"/>
      <c r="FO186" s="40"/>
      <c r="FP186" s="40"/>
      <c r="FQ186" s="40"/>
      <c r="FR186" s="40"/>
      <c r="FS186" s="40"/>
      <c r="FT186" s="40"/>
      <c r="FU186" s="40"/>
      <c r="FV186" s="40"/>
      <c r="FW186" s="40"/>
      <c r="FX186" s="40"/>
      <c r="FY186" s="40"/>
      <c r="FZ186" s="40"/>
      <c r="GA186" s="40"/>
      <c r="GB186" s="40"/>
      <c r="GC186" s="40"/>
      <c r="GD186" s="40"/>
      <c r="GE186" s="40"/>
      <c r="GF186" s="40"/>
      <c r="GG186" s="40"/>
      <c r="GH186" s="40"/>
      <c r="GI186" s="40"/>
      <c r="GJ186" s="40"/>
      <c r="GK186" s="40"/>
      <c r="GL186" s="40"/>
      <c r="GM186" s="40"/>
      <c r="GN186" s="40"/>
      <c r="GO186" s="40"/>
      <c r="GP186" s="40"/>
      <c r="GQ186" s="40"/>
      <c r="GR186" s="40"/>
      <c r="GS186" s="40"/>
      <c r="GT186" s="40"/>
      <c r="GU186" s="40"/>
      <c r="GV186" s="40"/>
      <c r="GW186" s="40"/>
      <c r="GX186" s="40"/>
      <c r="GY186" s="40"/>
      <c r="GZ186" s="40"/>
      <c r="HA186" s="40"/>
      <c r="HB186" s="40"/>
      <c r="HC186" s="40"/>
      <c r="HD186" s="40"/>
      <c r="HE186" s="40"/>
      <c r="HF186" s="40"/>
      <c r="HG186" s="40"/>
      <c r="HH186" s="40"/>
      <c r="HI186" s="40"/>
      <c r="HJ186" s="40"/>
      <c r="HK186" s="40"/>
      <c r="HL186" s="40"/>
      <c r="HM186" s="40"/>
      <c r="HN186" s="40"/>
      <c r="HO186" s="40"/>
      <c r="HP186" s="40"/>
      <c r="HQ186" s="40"/>
      <c r="HR186" s="40"/>
      <c r="HS186" s="40"/>
      <c r="HT186" s="40"/>
      <c r="HU186" s="40"/>
    </row>
    <row r="187" spans="1:229" s="41" customFormat="1" ht="28.8" customHeight="1">
      <c r="A187" s="124" t="s">
        <v>2125</v>
      </c>
      <c r="B187" s="80" t="s">
        <v>187</v>
      </c>
      <c r="C187" s="80"/>
      <c r="D187" s="80" t="s">
        <v>207</v>
      </c>
      <c r="E187" s="80" t="s">
        <v>208</v>
      </c>
      <c r="F187" s="80" t="s">
        <v>209</v>
      </c>
      <c r="G187" s="135" t="s">
        <v>210</v>
      </c>
      <c r="H187" s="81">
        <v>0.5</v>
      </c>
      <c r="I187" s="81">
        <v>-0.1</v>
      </c>
      <c r="J187" s="79" t="s">
        <v>399</v>
      </c>
      <c r="K187" s="81"/>
      <c r="L187" s="79"/>
      <c r="M187" s="82" t="s">
        <v>457</v>
      </c>
      <c r="N187" s="82" t="s">
        <v>240</v>
      </c>
      <c r="O187" s="82" t="s">
        <v>316</v>
      </c>
      <c r="P187" s="142">
        <v>0.2</v>
      </c>
      <c r="Q187" s="40">
        <f>SUMIF(Data_P!A:A,CONCATENATE(A187,"_",R$1),Data_P!J:J)</f>
        <v>1554.9</v>
      </c>
      <c r="R187" s="40"/>
      <c r="S187" s="40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0"/>
      <c r="AK187" s="40"/>
      <c r="AL187" s="40"/>
      <c r="AM187" s="40"/>
      <c r="AN187" s="40"/>
      <c r="AO187" s="40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  <c r="BA187" s="40"/>
      <c r="BB187" s="40"/>
      <c r="BC187" s="40"/>
      <c r="BD187" s="40"/>
      <c r="BE187" s="40"/>
      <c r="BF187" s="40"/>
      <c r="BG187" s="40"/>
      <c r="BH187" s="40"/>
      <c r="BI187" s="40"/>
      <c r="BJ187" s="40"/>
      <c r="BK187" s="40"/>
      <c r="BL187" s="40"/>
      <c r="BM187" s="40"/>
      <c r="BN187" s="40"/>
      <c r="BO187" s="40"/>
      <c r="BP187" s="40"/>
      <c r="BQ187" s="40"/>
      <c r="BR187" s="40"/>
      <c r="BS187" s="40"/>
      <c r="BT187" s="40"/>
      <c r="BU187" s="40"/>
      <c r="BV187" s="40"/>
      <c r="BW187" s="40"/>
      <c r="BX187" s="40"/>
      <c r="BY187" s="40"/>
      <c r="BZ187" s="40"/>
      <c r="CA187" s="40"/>
      <c r="CB187" s="40"/>
      <c r="CC187" s="40"/>
      <c r="CD187" s="40"/>
      <c r="CE187" s="40"/>
      <c r="CF187" s="40"/>
      <c r="CG187" s="40"/>
      <c r="CH187" s="40"/>
      <c r="CI187" s="40"/>
      <c r="CJ187" s="40"/>
      <c r="CK187" s="40"/>
      <c r="CL187" s="40"/>
      <c r="CM187" s="40"/>
      <c r="CN187" s="40"/>
      <c r="CO187" s="40"/>
      <c r="CP187" s="40"/>
      <c r="CQ187" s="40"/>
      <c r="CR187" s="40"/>
      <c r="CS187" s="40"/>
      <c r="CT187" s="40"/>
      <c r="CU187" s="40"/>
      <c r="CV187" s="40"/>
      <c r="CW187" s="40"/>
      <c r="CX187" s="40"/>
      <c r="CY187" s="40"/>
      <c r="CZ187" s="40"/>
      <c r="DA187" s="40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40"/>
      <c r="EA187" s="40"/>
      <c r="EB187" s="40"/>
      <c r="EC187" s="40"/>
      <c r="ED187" s="40"/>
      <c r="EE187" s="40"/>
      <c r="EF187" s="40"/>
      <c r="EG187" s="40"/>
      <c r="EH187" s="40"/>
      <c r="EI187" s="40"/>
      <c r="EJ187" s="40"/>
      <c r="EK187" s="40"/>
      <c r="EL187" s="40"/>
      <c r="EM187" s="40"/>
      <c r="EN187" s="40"/>
      <c r="EO187" s="40"/>
      <c r="EP187" s="40"/>
      <c r="EQ187" s="40"/>
      <c r="ER187" s="40"/>
      <c r="ES187" s="40"/>
      <c r="ET187" s="40"/>
      <c r="EU187" s="40"/>
      <c r="EV187" s="40"/>
      <c r="EW187" s="40"/>
      <c r="EX187" s="40"/>
      <c r="EY187" s="40"/>
      <c r="EZ187" s="40"/>
      <c r="FA187" s="40"/>
      <c r="FB187" s="40"/>
      <c r="FC187" s="40"/>
      <c r="FD187" s="40"/>
      <c r="FE187" s="40"/>
      <c r="FF187" s="40"/>
      <c r="FG187" s="40"/>
      <c r="FH187" s="40"/>
      <c r="FI187" s="40"/>
      <c r="FJ187" s="40"/>
      <c r="FK187" s="40"/>
      <c r="FL187" s="40"/>
      <c r="FM187" s="40"/>
      <c r="FN187" s="40"/>
      <c r="FO187" s="40"/>
      <c r="FP187" s="40"/>
      <c r="FQ187" s="40"/>
      <c r="FR187" s="40"/>
      <c r="FS187" s="40"/>
      <c r="FT187" s="40"/>
      <c r="FU187" s="40"/>
      <c r="FV187" s="40"/>
      <c r="FW187" s="40"/>
      <c r="FX187" s="40"/>
      <c r="FY187" s="40"/>
      <c r="FZ187" s="40"/>
      <c r="GA187" s="40"/>
      <c r="GB187" s="40"/>
      <c r="GC187" s="40"/>
      <c r="GD187" s="40"/>
      <c r="GE187" s="40"/>
      <c r="GF187" s="40"/>
      <c r="GG187" s="40"/>
      <c r="GH187" s="40"/>
      <c r="GI187" s="40"/>
      <c r="GJ187" s="40"/>
      <c r="GK187" s="40"/>
      <c r="GL187" s="40"/>
      <c r="GM187" s="40"/>
      <c r="GN187" s="40"/>
      <c r="GO187" s="40"/>
      <c r="GP187" s="40"/>
      <c r="GQ187" s="40"/>
      <c r="GR187" s="40"/>
      <c r="GS187" s="40"/>
      <c r="GT187" s="40"/>
      <c r="GU187" s="40"/>
      <c r="GV187" s="40"/>
      <c r="GW187" s="40"/>
      <c r="GX187" s="40"/>
      <c r="GY187" s="40"/>
      <c r="GZ187" s="40"/>
      <c r="HA187" s="40"/>
      <c r="HB187" s="40"/>
      <c r="HC187" s="40"/>
      <c r="HD187" s="40"/>
      <c r="HE187" s="40"/>
      <c r="HF187" s="40"/>
      <c r="HG187" s="40"/>
      <c r="HH187" s="40"/>
      <c r="HI187" s="40"/>
      <c r="HJ187" s="40"/>
      <c r="HK187" s="40"/>
      <c r="HL187" s="40"/>
      <c r="HM187" s="40"/>
      <c r="HN187" s="40"/>
      <c r="HO187" s="40"/>
      <c r="HP187" s="40"/>
      <c r="HQ187" s="40"/>
      <c r="HR187" s="40"/>
      <c r="HS187" s="40"/>
      <c r="HT187" s="40"/>
      <c r="HU187" s="40"/>
    </row>
    <row r="188" spans="1:229" s="41" customFormat="1" ht="28.8" customHeight="1">
      <c r="A188" s="124" t="s">
        <v>1794</v>
      </c>
      <c r="B188" s="80" t="s">
        <v>874</v>
      </c>
      <c r="C188" s="80"/>
      <c r="D188" s="80" t="s">
        <v>883</v>
      </c>
      <c r="E188" s="80" t="s">
        <v>884</v>
      </c>
      <c r="F188" s="80" t="s">
        <v>885</v>
      </c>
      <c r="G188" s="135" t="s">
        <v>886</v>
      </c>
      <c r="H188" s="81">
        <v>0.4</v>
      </c>
      <c r="I188" s="81">
        <v>-0.05</v>
      </c>
      <c r="J188" s="79" t="s">
        <v>875</v>
      </c>
      <c r="K188" s="81"/>
      <c r="L188" s="79"/>
      <c r="M188" s="82" t="s">
        <v>1104</v>
      </c>
      <c r="N188" s="82" t="s">
        <v>206</v>
      </c>
      <c r="O188" s="82" t="s">
        <v>316</v>
      </c>
      <c r="P188" s="142">
        <v>0.2</v>
      </c>
      <c r="Q188" s="40">
        <f>SUMIF(Data_P!A:A,CONCATENATE(A188,"_",R$1),Data_P!J:J)</f>
        <v>1.33</v>
      </c>
      <c r="R188" s="40"/>
      <c r="S188" s="40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  <c r="BB188" s="40"/>
      <c r="BC188" s="40"/>
      <c r="BD188" s="40"/>
      <c r="BE188" s="40"/>
      <c r="BF188" s="40"/>
      <c r="BG188" s="40"/>
      <c r="BH188" s="40"/>
      <c r="BI188" s="40"/>
      <c r="BJ188" s="40"/>
      <c r="BK188" s="40"/>
      <c r="BL188" s="40"/>
      <c r="BM188" s="40"/>
      <c r="BN188" s="40"/>
      <c r="BO188" s="40"/>
      <c r="BP188" s="40"/>
      <c r="BQ188" s="40"/>
      <c r="BR188" s="40"/>
      <c r="BS188" s="40"/>
      <c r="BT188" s="40"/>
      <c r="BU188" s="40"/>
      <c r="BV188" s="40"/>
      <c r="BW188" s="40"/>
      <c r="BX188" s="40"/>
      <c r="BY188" s="40"/>
      <c r="BZ188" s="40"/>
      <c r="CA188" s="40"/>
      <c r="CB188" s="40"/>
      <c r="CC188" s="40"/>
      <c r="CD188" s="40"/>
      <c r="CE188" s="40"/>
      <c r="CF188" s="40"/>
      <c r="CG188" s="40"/>
      <c r="CH188" s="40"/>
      <c r="CI188" s="40"/>
      <c r="CJ188" s="40"/>
      <c r="CK188" s="40"/>
      <c r="CL188" s="40"/>
      <c r="CM188" s="40"/>
      <c r="CN188" s="40"/>
      <c r="CO188" s="40"/>
      <c r="CP188" s="40"/>
      <c r="CQ188" s="40"/>
      <c r="CR188" s="40"/>
      <c r="CS188" s="40"/>
      <c r="CT188" s="40"/>
      <c r="CU188" s="40"/>
      <c r="CV188" s="40"/>
      <c r="CW188" s="40"/>
      <c r="CX188" s="40"/>
      <c r="CY188" s="40"/>
      <c r="CZ188" s="40"/>
      <c r="DA188" s="40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0"/>
      <c r="EA188" s="40"/>
      <c r="EB188" s="40"/>
      <c r="EC188" s="40"/>
      <c r="ED188" s="40"/>
      <c r="EE188" s="40"/>
      <c r="EF188" s="40"/>
      <c r="EG188" s="40"/>
      <c r="EH188" s="40"/>
      <c r="EI188" s="40"/>
      <c r="EJ188" s="40"/>
      <c r="EK188" s="40"/>
      <c r="EL188" s="40"/>
      <c r="EM188" s="40"/>
      <c r="EN188" s="40"/>
      <c r="EO188" s="40"/>
      <c r="EP188" s="40"/>
      <c r="EQ188" s="40"/>
      <c r="ER188" s="40"/>
      <c r="ES188" s="40"/>
      <c r="ET188" s="40"/>
      <c r="EU188" s="40"/>
      <c r="EV188" s="40"/>
      <c r="EW188" s="40"/>
      <c r="EX188" s="40"/>
      <c r="EY188" s="40"/>
      <c r="EZ188" s="40"/>
      <c r="FA188" s="40"/>
      <c r="FB188" s="40"/>
      <c r="FC188" s="40"/>
      <c r="FD188" s="40"/>
      <c r="FE188" s="40"/>
      <c r="FF188" s="40"/>
      <c r="FG188" s="40"/>
      <c r="FH188" s="40"/>
      <c r="FI188" s="40"/>
      <c r="FJ188" s="40"/>
      <c r="FK188" s="40"/>
      <c r="FL188" s="40"/>
      <c r="FM188" s="40"/>
      <c r="FN188" s="40"/>
      <c r="FO188" s="40"/>
      <c r="FP188" s="40"/>
      <c r="FQ188" s="40"/>
      <c r="FR188" s="40"/>
      <c r="FS188" s="40"/>
      <c r="FT188" s="40"/>
      <c r="FU188" s="40"/>
      <c r="FV188" s="40"/>
      <c r="FW188" s="40"/>
      <c r="FX188" s="40"/>
      <c r="FY188" s="40"/>
      <c r="FZ188" s="40"/>
      <c r="GA188" s="40"/>
      <c r="GB188" s="40"/>
      <c r="GC188" s="40"/>
      <c r="GD188" s="40"/>
      <c r="GE188" s="40"/>
      <c r="GF188" s="40"/>
      <c r="GG188" s="40"/>
      <c r="GH188" s="40"/>
      <c r="GI188" s="40"/>
      <c r="GJ188" s="40"/>
      <c r="GK188" s="40"/>
      <c r="GL188" s="40"/>
      <c r="GM188" s="40"/>
      <c r="GN188" s="40"/>
      <c r="GO188" s="40"/>
      <c r="GP188" s="40"/>
      <c r="GQ188" s="40"/>
      <c r="GR188" s="40"/>
      <c r="GS188" s="40"/>
      <c r="GT188" s="40"/>
      <c r="GU188" s="40"/>
      <c r="GV188" s="40"/>
      <c r="GW188" s="40"/>
      <c r="GX188" s="40"/>
      <c r="GY188" s="40"/>
      <c r="GZ188" s="40"/>
      <c r="HA188" s="40"/>
      <c r="HB188" s="40"/>
      <c r="HC188" s="40"/>
      <c r="HD188" s="40"/>
      <c r="HE188" s="40"/>
      <c r="HF188" s="40"/>
      <c r="HG188" s="40"/>
      <c r="HH188" s="40"/>
      <c r="HI188" s="40"/>
      <c r="HJ188" s="40"/>
      <c r="HK188" s="40"/>
      <c r="HL188" s="40"/>
      <c r="HM188" s="40"/>
      <c r="HN188" s="40"/>
      <c r="HO188" s="40"/>
      <c r="HP188" s="40"/>
      <c r="HQ188" s="40"/>
      <c r="HR188" s="40"/>
      <c r="HS188" s="40"/>
      <c r="HT188" s="40"/>
      <c r="HU188" s="40"/>
    </row>
    <row r="189" spans="1:229" s="41" customFormat="1" ht="28.8" customHeight="1">
      <c r="A189" s="124" t="s">
        <v>1422</v>
      </c>
      <c r="B189" s="80" t="s">
        <v>1474</v>
      </c>
      <c r="C189" s="80"/>
      <c r="D189" s="80" t="s">
        <v>1475</v>
      </c>
      <c r="E189" s="80" t="s">
        <v>1473</v>
      </c>
      <c r="F189" s="80" t="s">
        <v>1476</v>
      </c>
      <c r="G189" s="135" t="s">
        <v>1477</v>
      </c>
      <c r="H189" s="81">
        <v>0.5</v>
      </c>
      <c r="I189" s="81"/>
      <c r="J189" s="79"/>
      <c r="K189" s="81"/>
      <c r="L189" s="79"/>
      <c r="M189" s="82" t="s">
        <v>1605</v>
      </c>
      <c r="N189" s="82" t="s">
        <v>1606</v>
      </c>
      <c r="O189" s="82" t="s">
        <v>317</v>
      </c>
      <c r="P189" s="142">
        <v>0.2</v>
      </c>
      <c r="Q189" s="40">
        <f>SUMIF(Data_P!A:A,CONCATENATE(A189,"_",R$1),Data_P!J:J)</f>
        <v>24.76</v>
      </c>
      <c r="R189" s="40"/>
      <c r="S189" s="40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K189" s="40"/>
      <c r="AL189" s="40"/>
      <c r="AM189" s="40"/>
      <c r="AN189" s="40"/>
      <c r="AO189" s="40"/>
      <c r="AP189" s="40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  <c r="BA189" s="40"/>
      <c r="BB189" s="40"/>
      <c r="BC189" s="40"/>
      <c r="BD189" s="40"/>
      <c r="BE189" s="40"/>
      <c r="BF189" s="40"/>
      <c r="BG189" s="40"/>
      <c r="BH189" s="40"/>
      <c r="BI189" s="40"/>
      <c r="BJ189" s="40"/>
      <c r="BK189" s="40"/>
      <c r="BL189" s="40"/>
      <c r="BM189" s="40"/>
      <c r="BN189" s="40"/>
      <c r="BO189" s="40"/>
      <c r="BP189" s="40"/>
      <c r="BQ189" s="40"/>
      <c r="BR189" s="40"/>
      <c r="BS189" s="40"/>
      <c r="BT189" s="40"/>
      <c r="BU189" s="40"/>
      <c r="BV189" s="40"/>
      <c r="BW189" s="40"/>
      <c r="BX189" s="40"/>
      <c r="BY189" s="40"/>
      <c r="BZ189" s="40"/>
      <c r="CA189" s="40"/>
      <c r="CB189" s="40"/>
      <c r="CC189" s="40"/>
      <c r="CD189" s="40"/>
      <c r="CE189" s="40"/>
      <c r="CF189" s="40"/>
      <c r="CG189" s="40"/>
      <c r="CH189" s="40"/>
      <c r="CI189" s="40"/>
      <c r="CJ189" s="40"/>
      <c r="CK189" s="40"/>
      <c r="CL189" s="40"/>
      <c r="CM189" s="40"/>
      <c r="CN189" s="40"/>
      <c r="CO189" s="40"/>
      <c r="CP189" s="40"/>
      <c r="CQ189" s="40"/>
      <c r="CR189" s="40"/>
      <c r="CS189" s="40"/>
      <c r="CT189" s="40"/>
      <c r="CU189" s="40"/>
      <c r="CV189" s="40"/>
      <c r="CW189" s="40"/>
      <c r="CX189" s="40"/>
      <c r="CY189" s="40"/>
      <c r="CZ189" s="40"/>
      <c r="DA189" s="40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40"/>
      <c r="EA189" s="40"/>
      <c r="EB189" s="40"/>
      <c r="EC189" s="40"/>
      <c r="ED189" s="40"/>
      <c r="EE189" s="40"/>
      <c r="EF189" s="40"/>
      <c r="EG189" s="40"/>
      <c r="EH189" s="40"/>
      <c r="EI189" s="40"/>
      <c r="EJ189" s="40"/>
      <c r="EK189" s="40"/>
      <c r="EL189" s="40"/>
      <c r="EM189" s="40"/>
      <c r="EN189" s="40"/>
      <c r="EO189" s="40"/>
      <c r="EP189" s="40"/>
      <c r="EQ189" s="40"/>
      <c r="ER189" s="40"/>
      <c r="ES189" s="40"/>
      <c r="ET189" s="40"/>
      <c r="EU189" s="40"/>
      <c r="EV189" s="40"/>
      <c r="EW189" s="40"/>
      <c r="EX189" s="40"/>
      <c r="EY189" s="40"/>
      <c r="EZ189" s="40"/>
      <c r="FA189" s="40"/>
      <c r="FB189" s="40"/>
      <c r="FC189" s="40"/>
      <c r="FD189" s="40"/>
      <c r="FE189" s="40"/>
      <c r="FF189" s="40"/>
      <c r="FG189" s="40"/>
      <c r="FH189" s="40"/>
      <c r="FI189" s="40"/>
      <c r="FJ189" s="40"/>
      <c r="FK189" s="40"/>
      <c r="FL189" s="40"/>
      <c r="FM189" s="40"/>
      <c r="FN189" s="40"/>
      <c r="FO189" s="40"/>
      <c r="FP189" s="40"/>
      <c r="FQ189" s="40"/>
      <c r="FR189" s="40"/>
      <c r="FS189" s="40"/>
      <c r="FT189" s="40"/>
      <c r="FU189" s="40"/>
      <c r="FV189" s="40"/>
      <c r="FW189" s="40"/>
      <c r="FX189" s="40"/>
      <c r="FY189" s="40"/>
      <c r="FZ189" s="40"/>
      <c r="GA189" s="40"/>
      <c r="GB189" s="40"/>
      <c r="GC189" s="40"/>
      <c r="GD189" s="40"/>
      <c r="GE189" s="40"/>
      <c r="GF189" s="40"/>
      <c r="GG189" s="40"/>
      <c r="GH189" s="40"/>
      <c r="GI189" s="40"/>
      <c r="GJ189" s="40"/>
      <c r="GK189" s="40"/>
      <c r="GL189" s="40"/>
      <c r="GM189" s="40"/>
      <c r="GN189" s="40"/>
      <c r="GO189" s="40"/>
      <c r="GP189" s="40"/>
      <c r="GQ189" s="40"/>
      <c r="GR189" s="40"/>
      <c r="GS189" s="40"/>
      <c r="GT189" s="40"/>
      <c r="GU189" s="40"/>
      <c r="GV189" s="40"/>
      <c r="GW189" s="40"/>
      <c r="GX189" s="40"/>
      <c r="GY189" s="40"/>
      <c r="GZ189" s="40"/>
      <c r="HA189" s="40"/>
      <c r="HB189" s="40"/>
      <c r="HC189" s="40"/>
      <c r="HD189" s="40"/>
      <c r="HE189" s="40"/>
      <c r="HF189" s="40"/>
      <c r="HG189" s="40"/>
      <c r="HH189" s="40"/>
      <c r="HI189" s="40"/>
      <c r="HJ189" s="40"/>
      <c r="HK189" s="40"/>
      <c r="HL189" s="40"/>
      <c r="HM189" s="40"/>
      <c r="HN189" s="40"/>
      <c r="HO189" s="40"/>
      <c r="HP189" s="40"/>
      <c r="HQ189" s="40"/>
      <c r="HR189" s="40"/>
      <c r="HS189" s="40"/>
      <c r="HT189" s="40"/>
      <c r="HU189" s="40"/>
    </row>
    <row r="190" spans="1:229" s="41" customFormat="1" ht="28.8" customHeight="1">
      <c r="A190" s="124" t="s">
        <v>478</v>
      </c>
      <c r="B190" s="80" t="s">
        <v>506</v>
      </c>
      <c r="C190" s="80"/>
      <c r="D190" s="80" t="s">
        <v>507</v>
      </c>
      <c r="E190" s="80" t="s">
        <v>508</v>
      </c>
      <c r="F190" s="80" t="s">
        <v>509</v>
      </c>
      <c r="G190" s="135" t="s">
        <v>510</v>
      </c>
      <c r="H190" s="81">
        <v>0.5</v>
      </c>
      <c r="I190" s="81">
        <v>-0.05</v>
      </c>
      <c r="J190" s="79" t="s">
        <v>399</v>
      </c>
      <c r="K190" s="81">
        <v>-0.05</v>
      </c>
      <c r="L190" s="79" t="s">
        <v>511</v>
      </c>
      <c r="M190" s="82" t="s">
        <v>957</v>
      </c>
      <c r="N190" s="82" t="s">
        <v>958</v>
      </c>
      <c r="O190" s="82" t="s">
        <v>316</v>
      </c>
      <c r="P190" s="142">
        <v>0.2</v>
      </c>
      <c r="Q190" s="40">
        <f>SUMIF(Data_P!A:A,CONCATENATE(A190,"_",R$1),Data_P!J:J)</f>
        <v>578.20000000000005</v>
      </c>
      <c r="R190" s="40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  <c r="BA190" s="40"/>
      <c r="BB190" s="40"/>
      <c r="BC190" s="40"/>
      <c r="BD190" s="40"/>
      <c r="BE190" s="40"/>
      <c r="BF190" s="40"/>
      <c r="BG190" s="40"/>
      <c r="BH190" s="40"/>
      <c r="BI190" s="40"/>
      <c r="BJ190" s="40"/>
      <c r="BK190" s="40"/>
      <c r="BL190" s="40"/>
      <c r="BM190" s="40"/>
      <c r="BN190" s="40"/>
      <c r="BO190" s="40"/>
      <c r="BP190" s="40"/>
      <c r="BQ190" s="40"/>
      <c r="BR190" s="40"/>
      <c r="BS190" s="40"/>
      <c r="BT190" s="40"/>
      <c r="BU190" s="40"/>
      <c r="BV190" s="40"/>
      <c r="BW190" s="40"/>
      <c r="BX190" s="40"/>
      <c r="BY190" s="40"/>
      <c r="BZ190" s="40"/>
      <c r="CA190" s="40"/>
      <c r="CB190" s="40"/>
      <c r="CC190" s="40"/>
      <c r="CD190" s="40"/>
      <c r="CE190" s="40"/>
      <c r="CF190" s="40"/>
      <c r="CG190" s="40"/>
      <c r="CH190" s="40"/>
      <c r="CI190" s="40"/>
      <c r="CJ190" s="40"/>
      <c r="CK190" s="40"/>
      <c r="CL190" s="40"/>
      <c r="CM190" s="40"/>
      <c r="CN190" s="40"/>
      <c r="CO190" s="40"/>
      <c r="CP190" s="40"/>
      <c r="CQ190" s="40"/>
      <c r="CR190" s="40"/>
      <c r="CS190" s="40"/>
      <c r="CT190" s="40"/>
      <c r="CU190" s="40"/>
      <c r="CV190" s="40"/>
      <c r="CW190" s="40"/>
      <c r="CX190" s="40"/>
      <c r="CY190" s="40"/>
      <c r="CZ190" s="40"/>
      <c r="DA190" s="40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/>
      <c r="DY190" s="40"/>
      <c r="DZ190" s="40"/>
      <c r="EA190" s="40"/>
      <c r="EB190" s="40"/>
      <c r="EC190" s="40"/>
      <c r="ED190" s="40"/>
      <c r="EE190" s="40"/>
      <c r="EF190" s="40"/>
      <c r="EG190" s="40"/>
      <c r="EH190" s="40"/>
      <c r="EI190" s="40"/>
      <c r="EJ190" s="40"/>
      <c r="EK190" s="40"/>
      <c r="EL190" s="40"/>
      <c r="EM190" s="40"/>
      <c r="EN190" s="40"/>
      <c r="EO190" s="40"/>
      <c r="EP190" s="40"/>
      <c r="EQ190" s="40"/>
      <c r="ER190" s="40"/>
      <c r="ES190" s="40"/>
      <c r="ET190" s="40"/>
      <c r="EU190" s="40"/>
      <c r="EV190" s="40"/>
      <c r="EW190" s="40"/>
      <c r="EX190" s="40"/>
      <c r="EY190" s="40"/>
      <c r="EZ190" s="40"/>
      <c r="FA190" s="40"/>
      <c r="FB190" s="40"/>
      <c r="FC190" s="40"/>
      <c r="FD190" s="40"/>
      <c r="FE190" s="40"/>
      <c r="FF190" s="40"/>
      <c r="FG190" s="40"/>
      <c r="FH190" s="40"/>
      <c r="FI190" s="40"/>
      <c r="FJ190" s="40"/>
      <c r="FK190" s="40"/>
      <c r="FL190" s="40"/>
      <c r="FM190" s="40"/>
      <c r="FN190" s="40"/>
      <c r="FO190" s="40"/>
      <c r="FP190" s="40"/>
      <c r="FQ190" s="40"/>
      <c r="FR190" s="40"/>
      <c r="FS190" s="40"/>
      <c r="FT190" s="40"/>
      <c r="FU190" s="40"/>
      <c r="FV190" s="40"/>
      <c r="FW190" s="40"/>
      <c r="FX190" s="40"/>
      <c r="FY190" s="40"/>
      <c r="FZ190" s="40"/>
      <c r="GA190" s="40"/>
      <c r="GB190" s="40"/>
      <c r="GC190" s="40"/>
      <c r="GD190" s="40"/>
      <c r="GE190" s="40"/>
      <c r="GF190" s="40"/>
      <c r="GG190" s="40"/>
      <c r="GH190" s="40"/>
      <c r="GI190" s="40"/>
      <c r="GJ190" s="40"/>
      <c r="GK190" s="40"/>
      <c r="GL190" s="40"/>
      <c r="GM190" s="40"/>
      <c r="GN190" s="40"/>
      <c r="GO190" s="40"/>
      <c r="GP190" s="40"/>
      <c r="GQ190" s="40"/>
      <c r="GR190" s="40"/>
      <c r="GS190" s="40"/>
      <c r="GT190" s="40"/>
      <c r="GU190" s="40"/>
      <c r="GV190" s="40"/>
      <c r="GW190" s="40"/>
      <c r="GX190" s="40"/>
      <c r="GY190" s="40"/>
      <c r="GZ190" s="40"/>
      <c r="HA190" s="40"/>
      <c r="HB190" s="40"/>
      <c r="HC190" s="40"/>
      <c r="HD190" s="40"/>
      <c r="HE190" s="40"/>
      <c r="HF190" s="40"/>
      <c r="HG190" s="40"/>
      <c r="HH190" s="40"/>
      <c r="HI190" s="40"/>
      <c r="HJ190" s="40"/>
      <c r="HK190" s="40"/>
      <c r="HL190" s="40"/>
      <c r="HM190" s="40"/>
      <c r="HN190" s="40"/>
      <c r="HO190" s="40"/>
      <c r="HP190" s="40"/>
      <c r="HQ190" s="40"/>
      <c r="HR190" s="40"/>
      <c r="HS190" s="40"/>
      <c r="HT190" s="40"/>
      <c r="HU190" s="40"/>
    </row>
    <row r="191" spans="1:229" s="41" customFormat="1" ht="28.8" customHeight="1">
      <c r="A191" s="124" t="s">
        <v>2229</v>
      </c>
      <c r="B191" s="80" t="s">
        <v>2261</v>
      </c>
      <c r="C191" s="80"/>
      <c r="D191" s="80" t="s">
        <v>2257</v>
      </c>
      <c r="E191" s="80" t="s">
        <v>2258</v>
      </c>
      <c r="F191" s="80" t="s">
        <v>2260</v>
      </c>
      <c r="G191" s="135" t="s">
        <v>2259</v>
      </c>
      <c r="H191" s="81">
        <v>0.25</v>
      </c>
      <c r="I191" s="81"/>
      <c r="J191" s="79"/>
      <c r="K191" s="81"/>
      <c r="L191" s="79"/>
      <c r="M191" s="82"/>
      <c r="N191" s="82"/>
      <c r="O191" s="82" t="s">
        <v>316</v>
      </c>
      <c r="P191" s="142">
        <v>0.2</v>
      </c>
      <c r="Q191" s="40">
        <f>SUMIF(Data_P!A:A,CONCATENATE(A191,"_",R$1),Data_P!J:J)</f>
        <v>32.25</v>
      </c>
      <c r="R191" s="40"/>
      <c r="S191" s="40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  <c r="BA191" s="40"/>
      <c r="BB191" s="40"/>
      <c r="BC191" s="40"/>
      <c r="BD191" s="40"/>
      <c r="BE191" s="40"/>
      <c r="BF191" s="40"/>
      <c r="BG191" s="40"/>
      <c r="BH191" s="40"/>
      <c r="BI191" s="40"/>
      <c r="BJ191" s="40"/>
      <c r="BK191" s="40"/>
      <c r="BL191" s="40"/>
      <c r="BM191" s="40"/>
      <c r="BN191" s="40"/>
      <c r="BO191" s="40"/>
      <c r="BP191" s="40"/>
      <c r="BQ191" s="40"/>
      <c r="BR191" s="40"/>
      <c r="BS191" s="40"/>
      <c r="BT191" s="40"/>
      <c r="BU191" s="40"/>
      <c r="BV191" s="40"/>
      <c r="BW191" s="40"/>
      <c r="BX191" s="40"/>
      <c r="BY191" s="40"/>
      <c r="BZ191" s="40"/>
      <c r="CA191" s="40"/>
      <c r="CB191" s="40"/>
      <c r="CC191" s="40"/>
      <c r="CD191" s="40"/>
      <c r="CE191" s="40"/>
      <c r="CF191" s="40"/>
      <c r="CG191" s="40"/>
      <c r="CH191" s="40"/>
      <c r="CI191" s="40"/>
      <c r="CJ191" s="40"/>
      <c r="CK191" s="40"/>
      <c r="CL191" s="40"/>
      <c r="CM191" s="40"/>
      <c r="CN191" s="40"/>
      <c r="CO191" s="40"/>
      <c r="CP191" s="40"/>
      <c r="CQ191" s="40"/>
      <c r="CR191" s="40"/>
      <c r="CS191" s="40"/>
      <c r="CT191" s="40"/>
      <c r="CU191" s="40"/>
      <c r="CV191" s="40"/>
      <c r="CW191" s="40"/>
      <c r="CX191" s="40"/>
      <c r="CY191" s="40"/>
      <c r="CZ191" s="40"/>
      <c r="DA191" s="40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40"/>
      <c r="EA191" s="40"/>
      <c r="EB191" s="40"/>
      <c r="EC191" s="40"/>
      <c r="ED191" s="40"/>
      <c r="EE191" s="40"/>
      <c r="EF191" s="40"/>
      <c r="EG191" s="40"/>
      <c r="EH191" s="40"/>
      <c r="EI191" s="40"/>
      <c r="EJ191" s="40"/>
      <c r="EK191" s="40"/>
      <c r="EL191" s="40"/>
      <c r="EM191" s="40"/>
      <c r="EN191" s="40"/>
      <c r="EO191" s="40"/>
      <c r="EP191" s="40"/>
      <c r="EQ191" s="40"/>
      <c r="ER191" s="40"/>
      <c r="ES191" s="40"/>
      <c r="ET191" s="40"/>
      <c r="EU191" s="40"/>
      <c r="EV191" s="40"/>
      <c r="EW191" s="40"/>
      <c r="EX191" s="40"/>
      <c r="EY191" s="40"/>
      <c r="EZ191" s="40"/>
      <c r="FA191" s="40"/>
      <c r="FB191" s="40"/>
      <c r="FC191" s="40"/>
      <c r="FD191" s="40"/>
      <c r="FE191" s="40"/>
      <c r="FF191" s="40"/>
      <c r="FG191" s="40"/>
      <c r="FH191" s="40"/>
      <c r="FI191" s="40"/>
      <c r="FJ191" s="40"/>
      <c r="FK191" s="40"/>
      <c r="FL191" s="40"/>
      <c r="FM191" s="40"/>
      <c r="FN191" s="40"/>
      <c r="FO191" s="40"/>
      <c r="FP191" s="40"/>
      <c r="FQ191" s="40"/>
      <c r="FR191" s="40"/>
      <c r="FS191" s="40"/>
      <c r="FT191" s="40"/>
      <c r="FU191" s="40"/>
      <c r="FV191" s="40"/>
      <c r="FW191" s="40"/>
      <c r="FX191" s="40"/>
      <c r="FY191" s="40"/>
      <c r="FZ191" s="40"/>
      <c r="GA191" s="40"/>
      <c r="GB191" s="40"/>
      <c r="GC191" s="40"/>
      <c r="GD191" s="40"/>
      <c r="GE191" s="40"/>
      <c r="GF191" s="40"/>
      <c r="GG191" s="40"/>
      <c r="GH191" s="40"/>
      <c r="GI191" s="40"/>
      <c r="GJ191" s="40"/>
      <c r="GK191" s="40"/>
      <c r="GL191" s="40"/>
      <c r="GM191" s="40"/>
      <c r="GN191" s="40"/>
      <c r="GO191" s="40"/>
      <c r="GP191" s="40"/>
      <c r="GQ191" s="40"/>
      <c r="GR191" s="40"/>
      <c r="GS191" s="40"/>
      <c r="GT191" s="40"/>
      <c r="GU191" s="40"/>
      <c r="GV191" s="40"/>
      <c r="GW191" s="40"/>
      <c r="GX191" s="40"/>
      <c r="GY191" s="40"/>
      <c r="GZ191" s="40"/>
      <c r="HA191" s="40"/>
      <c r="HB191" s="40"/>
      <c r="HC191" s="40"/>
      <c r="HD191" s="40"/>
      <c r="HE191" s="40"/>
      <c r="HF191" s="40"/>
      <c r="HG191" s="40"/>
      <c r="HH191" s="40"/>
      <c r="HI191" s="40"/>
      <c r="HJ191" s="40"/>
      <c r="HK191" s="40"/>
      <c r="HL191" s="40"/>
      <c r="HM191" s="40"/>
      <c r="HN191" s="40"/>
      <c r="HO191" s="40"/>
      <c r="HP191" s="40"/>
      <c r="HQ191" s="40"/>
      <c r="HR191" s="40"/>
      <c r="HS191" s="40"/>
      <c r="HT191" s="40"/>
      <c r="HU191" s="40"/>
    </row>
    <row r="192" spans="1:229" s="41" customFormat="1" ht="28.8" customHeight="1">
      <c r="A192" s="124" t="s">
        <v>1544</v>
      </c>
      <c r="B192" s="80" t="s">
        <v>1569</v>
      </c>
      <c r="C192" s="80" t="s">
        <v>1573</v>
      </c>
      <c r="D192" s="80" t="s">
        <v>1570</v>
      </c>
      <c r="E192" s="80" t="s">
        <v>1571</v>
      </c>
      <c r="F192" s="80" t="s">
        <v>1848</v>
      </c>
      <c r="G192" s="135" t="s">
        <v>1849</v>
      </c>
      <c r="H192" s="81">
        <v>0.4</v>
      </c>
      <c r="I192" s="81">
        <v>-0.05</v>
      </c>
      <c r="J192" s="79" t="s">
        <v>1572</v>
      </c>
      <c r="K192" s="81"/>
      <c r="L192" s="79"/>
      <c r="M192" s="82" t="s">
        <v>1670</v>
      </c>
      <c r="N192" s="82" t="s">
        <v>294</v>
      </c>
      <c r="O192" s="82" t="s">
        <v>317</v>
      </c>
      <c r="P192" s="142">
        <v>0.2</v>
      </c>
      <c r="Q192" s="40">
        <f>SUMIF(Data_P!A:A,CONCATENATE(A192,"_",R$1),Data_P!J:J)</f>
        <v>607.20000000000005</v>
      </c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  <c r="BB192" s="40"/>
      <c r="BC192" s="40"/>
      <c r="BD192" s="40"/>
      <c r="BE192" s="40"/>
      <c r="BF192" s="40"/>
      <c r="BG192" s="40"/>
      <c r="BH192" s="40"/>
      <c r="BI192" s="40"/>
      <c r="BJ192" s="40"/>
      <c r="BK192" s="40"/>
      <c r="BL192" s="40"/>
      <c r="BM192" s="40"/>
      <c r="BN192" s="40"/>
      <c r="BO192" s="40"/>
      <c r="BP192" s="40"/>
      <c r="BQ192" s="40"/>
      <c r="BR192" s="40"/>
      <c r="BS192" s="40"/>
      <c r="BT192" s="40"/>
      <c r="BU192" s="40"/>
      <c r="BV192" s="40"/>
      <c r="BW192" s="40"/>
      <c r="BX192" s="40"/>
      <c r="BY192" s="40"/>
      <c r="BZ192" s="40"/>
      <c r="CA192" s="40"/>
      <c r="CB192" s="40"/>
      <c r="CC192" s="40"/>
      <c r="CD192" s="40"/>
      <c r="CE192" s="40"/>
      <c r="CF192" s="40"/>
      <c r="CG192" s="40"/>
      <c r="CH192" s="40"/>
      <c r="CI192" s="40"/>
      <c r="CJ192" s="40"/>
      <c r="CK192" s="40"/>
      <c r="CL192" s="40"/>
      <c r="CM192" s="40"/>
      <c r="CN192" s="40"/>
      <c r="CO192" s="40"/>
      <c r="CP192" s="40"/>
      <c r="CQ192" s="40"/>
      <c r="CR192" s="40"/>
      <c r="CS192" s="40"/>
      <c r="CT192" s="40"/>
      <c r="CU192" s="40"/>
      <c r="CV192" s="40"/>
      <c r="CW192" s="40"/>
      <c r="CX192" s="40"/>
      <c r="CY192" s="40"/>
      <c r="CZ192" s="40"/>
      <c r="DA192" s="40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40"/>
      <c r="EA192" s="40"/>
      <c r="EB192" s="40"/>
      <c r="EC192" s="40"/>
      <c r="ED192" s="40"/>
      <c r="EE192" s="40"/>
      <c r="EF192" s="40"/>
      <c r="EG192" s="40"/>
      <c r="EH192" s="40"/>
      <c r="EI192" s="40"/>
      <c r="EJ192" s="40"/>
      <c r="EK192" s="40"/>
      <c r="EL192" s="40"/>
      <c r="EM192" s="40"/>
      <c r="EN192" s="40"/>
      <c r="EO192" s="40"/>
      <c r="EP192" s="40"/>
      <c r="EQ192" s="40"/>
      <c r="ER192" s="40"/>
      <c r="ES192" s="40"/>
      <c r="ET192" s="40"/>
      <c r="EU192" s="40"/>
      <c r="EV192" s="40"/>
      <c r="EW192" s="40"/>
      <c r="EX192" s="40"/>
      <c r="EY192" s="40"/>
      <c r="EZ192" s="40"/>
      <c r="FA192" s="40"/>
      <c r="FB192" s="40"/>
      <c r="FC192" s="40"/>
      <c r="FD192" s="40"/>
      <c r="FE192" s="40"/>
      <c r="FF192" s="40"/>
      <c r="FG192" s="40"/>
      <c r="FH192" s="40"/>
      <c r="FI192" s="40"/>
      <c r="FJ192" s="40"/>
      <c r="FK192" s="40"/>
      <c r="FL192" s="40"/>
      <c r="FM192" s="40"/>
      <c r="FN192" s="40"/>
      <c r="FO192" s="40"/>
      <c r="FP192" s="40"/>
      <c r="FQ192" s="40"/>
      <c r="FR192" s="40"/>
      <c r="FS192" s="40"/>
      <c r="FT192" s="40"/>
      <c r="FU192" s="40"/>
      <c r="FV192" s="40"/>
      <c r="FW192" s="40"/>
      <c r="FX192" s="40"/>
      <c r="FY192" s="40"/>
      <c r="FZ192" s="40"/>
      <c r="GA192" s="40"/>
      <c r="GB192" s="40"/>
      <c r="GC192" s="40"/>
      <c r="GD192" s="40"/>
      <c r="GE192" s="40"/>
      <c r="GF192" s="40"/>
      <c r="GG192" s="40"/>
      <c r="GH192" s="40"/>
      <c r="GI192" s="40"/>
      <c r="GJ192" s="40"/>
      <c r="GK192" s="40"/>
      <c r="GL192" s="40"/>
      <c r="GM192" s="40"/>
      <c r="GN192" s="40"/>
      <c r="GO192" s="40"/>
      <c r="GP192" s="40"/>
      <c r="GQ192" s="40"/>
      <c r="GR192" s="40"/>
      <c r="GS192" s="40"/>
      <c r="GT192" s="40"/>
      <c r="GU192" s="40"/>
      <c r="GV192" s="40"/>
      <c r="GW192" s="40"/>
      <c r="GX192" s="40"/>
      <c r="GY192" s="40"/>
      <c r="GZ192" s="40"/>
      <c r="HA192" s="40"/>
      <c r="HB192" s="40"/>
      <c r="HC192" s="40"/>
      <c r="HD192" s="40"/>
      <c r="HE192" s="40"/>
      <c r="HF192" s="40"/>
      <c r="HG192" s="40"/>
      <c r="HH192" s="40"/>
      <c r="HI192" s="40"/>
      <c r="HJ192" s="40"/>
      <c r="HK192" s="40"/>
      <c r="HL192" s="40"/>
      <c r="HM192" s="40"/>
      <c r="HN192" s="40"/>
      <c r="HO192" s="40"/>
      <c r="HP192" s="40"/>
      <c r="HQ192" s="40"/>
      <c r="HR192" s="40"/>
      <c r="HS192" s="40"/>
      <c r="HT192" s="40"/>
      <c r="HU192" s="40"/>
    </row>
    <row r="193" spans="1:229" s="41" customFormat="1" ht="28.8" customHeight="1">
      <c r="A193" s="124" t="s">
        <v>47</v>
      </c>
      <c r="B193" s="80" t="s">
        <v>185</v>
      </c>
      <c r="C193" s="80" t="s">
        <v>195</v>
      </c>
      <c r="D193" s="80" t="s">
        <v>193</v>
      </c>
      <c r="E193" s="80" t="s">
        <v>156</v>
      </c>
      <c r="F193" s="80" t="s">
        <v>1889</v>
      </c>
      <c r="G193" s="135" t="s">
        <v>2126</v>
      </c>
      <c r="H193" s="81">
        <v>0.5</v>
      </c>
      <c r="I193" s="81">
        <v>-0.1</v>
      </c>
      <c r="J193" s="79" t="s">
        <v>399</v>
      </c>
      <c r="K193" s="81"/>
      <c r="L193" s="79"/>
      <c r="M193" s="82" t="s">
        <v>261</v>
      </c>
      <c r="N193" s="82" t="s">
        <v>262</v>
      </c>
      <c r="O193" s="82" t="s">
        <v>316</v>
      </c>
      <c r="P193" s="142">
        <v>0.2</v>
      </c>
      <c r="Q193" s="40">
        <f>SUMIF(Data_P!A:A,CONCATENATE(A193,"_",R$1),Data_P!J:J)</f>
        <v>10118.609999999999</v>
      </c>
      <c r="R193" s="40"/>
      <c r="S193" s="40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  <c r="BA193" s="40"/>
      <c r="BB193" s="40"/>
      <c r="BC193" s="40"/>
      <c r="BD193" s="40"/>
      <c r="BE193" s="40"/>
      <c r="BF193" s="40"/>
      <c r="BG193" s="40"/>
      <c r="BH193" s="40"/>
      <c r="BI193" s="40"/>
      <c r="BJ193" s="40"/>
      <c r="BK193" s="40"/>
      <c r="BL193" s="40"/>
      <c r="BM193" s="40"/>
      <c r="BN193" s="40"/>
      <c r="BO193" s="40"/>
      <c r="BP193" s="40"/>
      <c r="BQ193" s="40"/>
      <c r="BR193" s="40"/>
      <c r="BS193" s="40"/>
      <c r="BT193" s="40"/>
      <c r="BU193" s="40"/>
      <c r="BV193" s="40"/>
      <c r="BW193" s="40"/>
      <c r="BX193" s="40"/>
      <c r="BY193" s="40"/>
      <c r="BZ193" s="40"/>
      <c r="CA193" s="40"/>
      <c r="CB193" s="40"/>
      <c r="CC193" s="40"/>
      <c r="CD193" s="40"/>
      <c r="CE193" s="40"/>
      <c r="CF193" s="40"/>
      <c r="CG193" s="40"/>
      <c r="CH193" s="40"/>
      <c r="CI193" s="40"/>
      <c r="CJ193" s="40"/>
      <c r="CK193" s="40"/>
      <c r="CL193" s="40"/>
      <c r="CM193" s="40"/>
      <c r="CN193" s="40"/>
      <c r="CO193" s="40"/>
      <c r="CP193" s="40"/>
      <c r="CQ193" s="40"/>
      <c r="CR193" s="40"/>
      <c r="CS193" s="40"/>
      <c r="CT193" s="40"/>
      <c r="CU193" s="40"/>
      <c r="CV193" s="40"/>
      <c r="CW193" s="40"/>
      <c r="CX193" s="40"/>
      <c r="CY193" s="40"/>
      <c r="CZ193" s="40"/>
      <c r="DA193" s="40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40"/>
      <c r="EA193" s="40"/>
      <c r="EB193" s="40"/>
      <c r="EC193" s="40"/>
      <c r="ED193" s="40"/>
      <c r="EE193" s="40"/>
      <c r="EF193" s="40"/>
      <c r="EG193" s="40"/>
      <c r="EH193" s="40"/>
      <c r="EI193" s="40"/>
      <c r="EJ193" s="40"/>
      <c r="EK193" s="40"/>
      <c r="EL193" s="40"/>
      <c r="EM193" s="40"/>
      <c r="EN193" s="40"/>
      <c r="EO193" s="40"/>
      <c r="EP193" s="40"/>
      <c r="EQ193" s="40"/>
      <c r="ER193" s="40"/>
      <c r="ES193" s="40"/>
      <c r="ET193" s="40"/>
      <c r="EU193" s="40"/>
      <c r="EV193" s="40"/>
      <c r="EW193" s="40"/>
      <c r="EX193" s="40"/>
      <c r="EY193" s="40"/>
      <c r="EZ193" s="40"/>
      <c r="FA193" s="40"/>
      <c r="FB193" s="40"/>
      <c r="FC193" s="40"/>
      <c r="FD193" s="40"/>
      <c r="FE193" s="40"/>
      <c r="FF193" s="40"/>
      <c r="FG193" s="40"/>
      <c r="FH193" s="40"/>
      <c r="FI193" s="40"/>
      <c r="FJ193" s="40"/>
      <c r="FK193" s="40"/>
      <c r="FL193" s="40"/>
      <c r="FM193" s="40"/>
      <c r="FN193" s="40"/>
      <c r="FO193" s="40"/>
      <c r="FP193" s="40"/>
      <c r="FQ193" s="40"/>
      <c r="FR193" s="40"/>
      <c r="FS193" s="40"/>
      <c r="FT193" s="40"/>
      <c r="FU193" s="40"/>
      <c r="FV193" s="40"/>
      <c r="FW193" s="40"/>
      <c r="FX193" s="40"/>
      <c r="FY193" s="40"/>
      <c r="FZ193" s="40"/>
      <c r="GA193" s="40"/>
      <c r="GB193" s="40"/>
      <c r="GC193" s="40"/>
      <c r="GD193" s="40"/>
      <c r="GE193" s="40"/>
      <c r="GF193" s="40"/>
      <c r="GG193" s="40"/>
      <c r="GH193" s="40"/>
      <c r="GI193" s="40"/>
      <c r="GJ193" s="40"/>
      <c r="GK193" s="40"/>
      <c r="GL193" s="40"/>
      <c r="GM193" s="40"/>
      <c r="GN193" s="40"/>
      <c r="GO193" s="40"/>
      <c r="GP193" s="40"/>
      <c r="GQ193" s="40"/>
      <c r="GR193" s="40"/>
      <c r="GS193" s="40"/>
      <c r="GT193" s="40"/>
      <c r="GU193" s="40"/>
      <c r="GV193" s="40"/>
      <c r="GW193" s="40"/>
      <c r="GX193" s="40"/>
      <c r="GY193" s="40"/>
      <c r="GZ193" s="40"/>
      <c r="HA193" s="40"/>
      <c r="HB193" s="40"/>
      <c r="HC193" s="40"/>
      <c r="HD193" s="40"/>
      <c r="HE193" s="40"/>
      <c r="HF193" s="40"/>
      <c r="HG193" s="40"/>
      <c r="HH193" s="40"/>
      <c r="HI193" s="40"/>
      <c r="HJ193" s="40"/>
      <c r="HK193" s="40"/>
      <c r="HL193" s="40"/>
      <c r="HM193" s="40"/>
      <c r="HN193" s="40"/>
      <c r="HO193" s="40"/>
      <c r="HP193" s="40"/>
      <c r="HQ193" s="40"/>
      <c r="HR193" s="40"/>
      <c r="HS193" s="40"/>
      <c r="HT193" s="40"/>
      <c r="HU193" s="40"/>
    </row>
    <row r="194" spans="1:229" s="41" customFormat="1" ht="28.8" customHeight="1">
      <c r="A194" s="124" t="s">
        <v>233</v>
      </c>
      <c r="B194" s="80" t="s">
        <v>257</v>
      </c>
      <c r="C194" s="80"/>
      <c r="D194" s="80" t="s">
        <v>258</v>
      </c>
      <c r="E194" s="80" t="s">
        <v>259</v>
      </c>
      <c r="F194" s="80" t="s">
        <v>2127</v>
      </c>
      <c r="G194" s="135" t="s">
        <v>2128</v>
      </c>
      <c r="H194" s="81" t="s">
        <v>260</v>
      </c>
      <c r="I194" s="81"/>
      <c r="J194" s="79"/>
      <c r="K194" s="81"/>
      <c r="L194" s="79"/>
      <c r="M194" s="82" t="s">
        <v>353</v>
      </c>
      <c r="N194" s="82"/>
      <c r="O194" s="82" t="s">
        <v>316</v>
      </c>
      <c r="P194" s="142">
        <v>0.2</v>
      </c>
      <c r="Q194" s="40">
        <f>SUMIF(Data_P!A:A,CONCATENATE(A194,"_",R$1),Data_P!J:J)</f>
        <v>10329.780000000002</v>
      </c>
      <c r="R194" s="40"/>
      <c r="S194" s="40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  <c r="BA194" s="40"/>
      <c r="BB194" s="40"/>
      <c r="BC194" s="40"/>
      <c r="BD194" s="40"/>
      <c r="BE194" s="40"/>
      <c r="BF194" s="40"/>
      <c r="BG194" s="40"/>
      <c r="BH194" s="40"/>
      <c r="BI194" s="40"/>
      <c r="BJ194" s="40"/>
      <c r="BK194" s="40"/>
      <c r="BL194" s="40"/>
      <c r="BM194" s="40"/>
      <c r="BN194" s="40"/>
      <c r="BO194" s="40"/>
      <c r="BP194" s="40"/>
      <c r="BQ194" s="40"/>
      <c r="BR194" s="40"/>
      <c r="BS194" s="40"/>
      <c r="BT194" s="40"/>
      <c r="BU194" s="40"/>
      <c r="BV194" s="40"/>
      <c r="BW194" s="40"/>
      <c r="BX194" s="40"/>
      <c r="BY194" s="40"/>
      <c r="BZ194" s="40"/>
      <c r="CA194" s="40"/>
      <c r="CB194" s="40"/>
      <c r="CC194" s="40"/>
      <c r="CD194" s="40"/>
      <c r="CE194" s="40"/>
      <c r="CF194" s="40"/>
      <c r="CG194" s="40"/>
      <c r="CH194" s="40"/>
      <c r="CI194" s="40"/>
      <c r="CJ194" s="40"/>
      <c r="CK194" s="40"/>
      <c r="CL194" s="40"/>
      <c r="CM194" s="40"/>
      <c r="CN194" s="40"/>
      <c r="CO194" s="40"/>
      <c r="CP194" s="40"/>
      <c r="CQ194" s="40"/>
      <c r="CR194" s="40"/>
      <c r="CS194" s="40"/>
      <c r="CT194" s="40"/>
      <c r="CU194" s="40"/>
      <c r="CV194" s="40"/>
      <c r="CW194" s="40"/>
      <c r="CX194" s="40"/>
      <c r="CY194" s="40"/>
      <c r="CZ194" s="40"/>
      <c r="DA194" s="40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40"/>
      <c r="EA194" s="40"/>
      <c r="EB194" s="40"/>
      <c r="EC194" s="40"/>
      <c r="ED194" s="40"/>
      <c r="EE194" s="40"/>
      <c r="EF194" s="40"/>
      <c r="EG194" s="40"/>
      <c r="EH194" s="40"/>
      <c r="EI194" s="40"/>
      <c r="EJ194" s="40"/>
      <c r="EK194" s="40"/>
      <c r="EL194" s="40"/>
      <c r="EM194" s="40"/>
      <c r="EN194" s="40"/>
      <c r="EO194" s="40"/>
      <c r="EP194" s="40"/>
      <c r="EQ194" s="40"/>
      <c r="ER194" s="40"/>
      <c r="ES194" s="40"/>
      <c r="ET194" s="40"/>
      <c r="EU194" s="40"/>
      <c r="EV194" s="40"/>
      <c r="EW194" s="40"/>
      <c r="EX194" s="40"/>
      <c r="EY194" s="40"/>
      <c r="EZ194" s="40"/>
      <c r="FA194" s="40"/>
      <c r="FB194" s="40"/>
      <c r="FC194" s="40"/>
      <c r="FD194" s="40"/>
      <c r="FE194" s="40"/>
      <c r="FF194" s="40"/>
      <c r="FG194" s="40"/>
      <c r="FH194" s="40"/>
      <c r="FI194" s="40"/>
      <c r="FJ194" s="40"/>
      <c r="FK194" s="40"/>
      <c r="FL194" s="40"/>
      <c r="FM194" s="40"/>
      <c r="FN194" s="40"/>
      <c r="FO194" s="40"/>
      <c r="FP194" s="40"/>
      <c r="FQ194" s="40"/>
      <c r="FR194" s="40"/>
      <c r="FS194" s="40"/>
      <c r="FT194" s="40"/>
      <c r="FU194" s="40"/>
      <c r="FV194" s="40"/>
      <c r="FW194" s="40"/>
      <c r="FX194" s="40"/>
      <c r="FY194" s="40"/>
      <c r="FZ194" s="40"/>
      <c r="GA194" s="40"/>
      <c r="GB194" s="40"/>
      <c r="GC194" s="40"/>
      <c r="GD194" s="40"/>
      <c r="GE194" s="40"/>
      <c r="GF194" s="40"/>
      <c r="GG194" s="40"/>
      <c r="GH194" s="40"/>
      <c r="GI194" s="40"/>
      <c r="GJ194" s="40"/>
      <c r="GK194" s="40"/>
      <c r="GL194" s="40"/>
      <c r="GM194" s="40"/>
      <c r="GN194" s="40"/>
      <c r="GO194" s="40"/>
      <c r="GP194" s="40"/>
      <c r="GQ194" s="40"/>
      <c r="GR194" s="40"/>
      <c r="GS194" s="40"/>
      <c r="GT194" s="40"/>
      <c r="GU194" s="40"/>
      <c r="GV194" s="40"/>
      <c r="GW194" s="40"/>
      <c r="GX194" s="40"/>
      <c r="GY194" s="40"/>
      <c r="GZ194" s="40"/>
      <c r="HA194" s="40"/>
      <c r="HB194" s="40"/>
      <c r="HC194" s="40"/>
      <c r="HD194" s="40"/>
      <c r="HE194" s="40"/>
      <c r="HF194" s="40"/>
      <c r="HG194" s="40"/>
      <c r="HH194" s="40"/>
      <c r="HI194" s="40"/>
      <c r="HJ194" s="40"/>
      <c r="HK194" s="40"/>
      <c r="HL194" s="40"/>
      <c r="HM194" s="40"/>
      <c r="HN194" s="40"/>
      <c r="HO194" s="40"/>
      <c r="HP194" s="40"/>
      <c r="HQ194" s="40"/>
      <c r="HR194" s="40"/>
      <c r="HS194" s="40"/>
      <c r="HT194" s="40"/>
      <c r="HU194" s="40"/>
    </row>
    <row r="195" spans="1:229" s="41" customFormat="1" ht="28.8" customHeight="1">
      <c r="A195" s="124" t="s">
        <v>1833</v>
      </c>
      <c r="B195" s="80" t="s">
        <v>1871</v>
      </c>
      <c r="C195" s="80"/>
      <c r="D195" s="80" t="s">
        <v>1872</v>
      </c>
      <c r="E195" s="80" t="s">
        <v>1873</v>
      </c>
      <c r="F195" s="80" t="s">
        <v>2185</v>
      </c>
      <c r="G195" s="135" t="s">
        <v>2129</v>
      </c>
      <c r="H195" s="81">
        <v>0.4</v>
      </c>
      <c r="I195" s="81">
        <v>-0.05</v>
      </c>
      <c r="J195" s="79" t="s">
        <v>399</v>
      </c>
      <c r="K195" s="81"/>
      <c r="L195" s="79"/>
      <c r="M195" s="82" t="s">
        <v>1928</v>
      </c>
      <c r="N195" s="82" t="s">
        <v>1929</v>
      </c>
      <c r="O195" s="82" t="s">
        <v>317</v>
      </c>
      <c r="P195" s="142">
        <v>0.2</v>
      </c>
      <c r="Q195" s="40">
        <f>SUMIF(Data_P!A:A,CONCATENATE(A195,"_",R$1),Data_P!J:J)</f>
        <v>538.75</v>
      </c>
      <c r="R195" s="40"/>
      <c r="S195" s="40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0"/>
      <c r="AK195" s="40"/>
      <c r="AL195" s="40"/>
      <c r="AM195" s="40"/>
      <c r="AN195" s="40"/>
      <c r="AO195" s="40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  <c r="BA195" s="40"/>
      <c r="BB195" s="40"/>
      <c r="BC195" s="40"/>
      <c r="BD195" s="40"/>
      <c r="BE195" s="40"/>
      <c r="BF195" s="40"/>
      <c r="BG195" s="40"/>
      <c r="BH195" s="40"/>
      <c r="BI195" s="40"/>
      <c r="BJ195" s="40"/>
      <c r="BK195" s="40"/>
      <c r="BL195" s="40"/>
      <c r="BM195" s="40"/>
      <c r="BN195" s="40"/>
      <c r="BO195" s="40"/>
      <c r="BP195" s="40"/>
      <c r="BQ195" s="40"/>
      <c r="BR195" s="40"/>
      <c r="BS195" s="40"/>
      <c r="BT195" s="40"/>
      <c r="BU195" s="40"/>
      <c r="BV195" s="40"/>
      <c r="BW195" s="40"/>
      <c r="BX195" s="40"/>
      <c r="BY195" s="40"/>
      <c r="BZ195" s="40"/>
      <c r="CA195" s="40"/>
      <c r="CB195" s="40"/>
      <c r="CC195" s="40"/>
      <c r="CD195" s="40"/>
      <c r="CE195" s="40"/>
      <c r="CF195" s="40"/>
      <c r="CG195" s="40"/>
      <c r="CH195" s="40"/>
      <c r="CI195" s="40"/>
      <c r="CJ195" s="40"/>
      <c r="CK195" s="40"/>
      <c r="CL195" s="40"/>
      <c r="CM195" s="40"/>
      <c r="CN195" s="40"/>
      <c r="CO195" s="40"/>
      <c r="CP195" s="40"/>
      <c r="CQ195" s="40"/>
      <c r="CR195" s="40"/>
      <c r="CS195" s="40"/>
      <c r="CT195" s="40"/>
      <c r="CU195" s="40"/>
      <c r="CV195" s="40"/>
      <c r="CW195" s="40"/>
      <c r="CX195" s="40"/>
      <c r="CY195" s="40"/>
      <c r="CZ195" s="40"/>
      <c r="DA195" s="40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/>
      <c r="DV195" s="40"/>
      <c r="DW195" s="40"/>
      <c r="DX195" s="40"/>
      <c r="DY195" s="40"/>
      <c r="DZ195" s="40"/>
      <c r="EA195" s="40"/>
      <c r="EB195" s="40"/>
      <c r="EC195" s="40"/>
      <c r="ED195" s="40"/>
      <c r="EE195" s="40"/>
      <c r="EF195" s="40"/>
      <c r="EG195" s="40"/>
      <c r="EH195" s="40"/>
      <c r="EI195" s="40"/>
      <c r="EJ195" s="40"/>
      <c r="EK195" s="40"/>
      <c r="EL195" s="40"/>
      <c r="EM195" s="40"/>
      <c r="EN195" s="40"/>
      <c r="EO195" s="40"/>
      <c r="EP195" s="40"/>
      <c r="EQ195" s="40"/>
      <c r="ER195" s="40"/>
      <c r="ES195" s="40"/>
      <c r="ET195" s="40"/>
      <c r="EU195" s="40"/>
      <c r="EV195" s="40"/>
      <c r="EW195" s="40"/>
      <c r="EX195" s="40"/>
      <c r="EY195" s="40"/>
      <c r="EZ195" s="40"/>
      <c r="FA195" s="40"/>
      <c r="FB195" s="40"/>
      <c r="FC195" s="40"/>
      <c r="FD195" s="40"/>
      <c r="FE195" s="40"/>
      <c r="FF195" s="40"/>
      <c r="FG195" s="40"/>
      <c r="FH195" s="40"/>
      <c r="FI195" s="40"/>
      <c r="FJ195" s="40"/>
      <c r="FK195" s="40"/>
      <c r="FL195" s="40"/>
      <c r="FM195" s="40"/>
      <c r="FN195" s="40"/>
      <c r="FO195" s="40"/>
      <c r="FP195" s="40"/>
      <c r="FQ195" s="40"/>
      <c r="FR195" s="40"/>
      <c r="FS195" s="40"/>
      <c r="FT195" s="40"/>
      <c r="FU195" s="40"/>
      <c r="FV195" s="40"/>
      <c r="FW195" s="40"/>
      <c r="FX195" s="40"/>
      <c r="FY195" s="40"/>
      <c r="FZ195" s="40"/>
      <c r="GA195" s="40"/>
      <c r="GB195" s="40"/>
      <c r="GC195" s="40"/>
      <c r="GD195" s="40"/>
      <c r="GE195" s="40"/>
      <c r="GF195" s="40"/>
      <c r="GG195" s="40"/>
      <c r="GH195" s="40"/>
      <c r="GI195" s="40"/>
      <c r="GJ195" s="40"/>
      <c r="GK195" s="40"/>
      <c r="GL195" s="40"/>
      <c r="GM195" s="40"/>
      <c r="GN195" s="40"/>
      <c r="GO195" s="40"/>
      <c r="GP195" s="40"/>
      <c r="GQ195" s="40"/>
      <c r="GR195" s="40"/>
      <c r="GS195" s="40"/>
      <c r="GT195" s="40"/>
      <c r="GU195" s="40"/>
      <c r="GV195" s="40"/>
      <c r="GW195" s="40"/>
      <c r="GX195" s="40"/>
      <c r="GY195" s="40"/>
      <c r="GZ195" s="40"/>
      <c r="HA195" s="40"/>
      <c r="HB195" s="40"/>
      <c r="HC195" s="40"/>
      <c r="HD195" s="40"/>
      <c r="HE195" s="40"/>
      <c r="HF195" s="40"/>
      <c r="HG195" s="40"/>
      <c r="HH195" s="40"/>
      <c r="HI195" s="40"/>
      <c r="HJ195" s="40"/>
      <c r="HK195" s="40"/>
      <c r="HL195" s="40"/>
      <c r="HM195" s="40"/>
      <c r="HN195" s="40"/>
      <c r="HO195" s="40"/>
      <c r="HP195" s="40"/>
      <c r="HQ195" s="40"/>
      <c r="HR195" s="40"/>
      <c r="HS195" s="40"/>
      <c r="HT195" s="40"/>
      <c r="HU195" s="40"/>
    </row>
    <row r="196" spans="1:229" s="41" customFormat="1" ht="28.8" customHeight="1">
      <c r="A196" s="124" t="s">
        <v>935</v>
      </c>
      <c r="B196" s="80" t="s">
        <v>930</v>
      </c>
      <c r="C196" s="80"/>
      <c r="D196" s="80" t="s">
        <v>931</v>
      </c>
      <c r="E196" s="80" t="s">
        <v>932</v>
      </c>
      <c r="F196" s="80" t="s">
        <v>933</v>
      </c>
      <c r="G196" s="135" t="s">
        <v>934</v>
      </c>
      <c r="H196" s="81">
        <v>0.25</v>
      </c>
      <c r="I196" s="81">
        <v>-0.05</v>
      </c>
      <c r="J196" s="79" t="s">
        <v>399</v>
      </c>
      <c r="K196" s="81"/>
      <c r="L196" s="79"/>
      <c r="M196" s="82" t="s">
        <v>2253</v>
      </c>
      <c r="N196" s="82" t="s">
        <v>2254</v>
      </c>
      <c r="O196" s="82" t="s">
        <v>316</v>
      </c>
      <c r="P196" s="142">
        <v>0.2</v>
      </c>
      <c r="Q196" s="40">
        <f>SUMIF(Data_P!A:A,CONCATENATE(A196,"_",R$1),Data_P!J:J)</f>
        <v>1757.1</v>
      </c>
      <c r="R196" s="40"/>
      <c r="S196" s="40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  <c r="BA196" s="40"/>
      <c r="BB196" s="40"/>
      <c r="BC196" s="40"/>
      <c r="BD196" s="40"/>
      <c r="BE196" s="40"/>
      <c r="BF196" s="40"/>
      <c r="BG196" s="40"/>
      <c r="BH196" s="40"/>
      <c r="BI196" s="40"/>
      <c r="BJ196" s="40"/>
      <c r="BK196" s="40"/>
      <c r="BL196" s="40"/>
      <c r="BM196" s="40"/>
      <c r="BN196" s="40"/>
      <c r="BO196" s="40"/>
      <c r="BP196" s="40"/>
      <c r="BQ196" s="40"/>
      <c r="BR196" s="40"/>
      <c r="BS196" s="40"/>
      <c r="BT196" s="40"/>
      <c r="BU196" s="40"/>
      <c r="BV196" s="40"/>
      <c r="BW196" s="40"/>
      <c r="BX196" s="40"/>
      <c r="BY196" s="40"/>
      <c r="BZ196" s="40"/>
      <c r="CA196" s="40"/>
      <c r="CB196" s="40"/>
      <c r="CC196" s="40"/>
      <c r="CD196" s="40"/>
      <c r="CE196" s="40"/>
      <c r="CF196" s="40"/>
      <c r="CG196" s="40"/>
      <c r="CH196" s="40"/>
      <c r="CI196" s="40"/>
      <c r="CJ196" s="40"/>
      <c r="CK196" s="40"/>
      <c r="CL196" s="40"/>
      <c r="CM196" s="40"/>
      <c r="CN196" s="40"/>
      <c r="CO196" s="40"/>
      <c r="CP196" s="40"/>
      <c r="CQ196" s="40"/>
      <c r="CR196" s="40"/>
      <c r="CS196" s="40"/>
      <c r="CT196" s="40"/>
      <c r="CU196" s="40"/>
      <c r="CV196" s="40"/>
      <c r="CW196" s="40"/>
      <c r="CX196" s="40"/>
      <c r="CY196" s="40"/>
      <c r="CZ196" s="40"/>
      <c r="DA196" s="40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40"/>
      <c r="EA196" s="40"/>
      <c r="EB196" s="40"/>
      <c r="EC196" s="40"/>
      <c r="ED196" s="40"/>
      <c r="EE196" s="40"/>
      <c r="EF196" s="40"/>
      <c r="EG196" s="40"/>
      <c r="EH196" s="40"/>
      <c r="EI196" s="40"/>
      <c r="EJ196" s="40"/>
      <c r="EK196" s="40"/>
      <c r="EL196" s="40"/>
      <c r="EM196" s="40"/>
      <c r="EN196" s="40"/>
      <c r="EO196" s="40"/>
      <c r="EP196" s="40"/>
      <c r="EQ196" s="40"/>
      <c r="ER196" s="40"/>
      <c r="ES196" s="40"/>
      <c r="ET196" s="40"/>
      <c r="EU196" s="40"/>
      <c r="EV196" s="40"/>
      <c r="EW196" s="40"/>
      <c r="EX196" s="40"/>
      <c r="EY196" s="40"/>
      <c r="EZ196" s="40"/>
      <c r="FA196" s="40"/>
      <c r="FB196" s="40"/>
      <c r="FC196" s="40"/>
      <c r="FD196" s="40"/>
      <c r="FE196" s="40"/>
      <c r="FF196" s="40"/>
      <c r="FG196" s="40"/>
      <c r="FH196" s="40"/>
      <c r="FI196" s="40"/>
      <c r="FJ196" s="40"/>
      <c r="FK196" s="40"/>
      <c r="FL196" s="40"/>
      <c r="FM196" s="40"/>
      <c r="FN196" s="40"/>
      <c r="FO196" s="40"/>
      <c r="FP196" s="40"/>
      <c r="FQ196" s="40"/>
      <c r="FR196" s="40"/>
      <c r="FS196" s="40"/>
      <c r="FT196" s="40"/>
      <c r="FU196" s="40"/>
      <c r="FV196" s="40"/>
      <c r="FW196" s="40"/>
      <c r="FX196" s="40"/>
      <c r="FY196" s="40"/>
      <c r="FZ196" s="40"/>
      <c r="GA196" s="40"/>
      <c r="GB196" s="40"/>
      <c r="GC196" s="40"/>
      <c r="GD196" s="40"/>
      <c r="GE196" s="40"/>
      <c r="GF196" s="40"/>
      <c r="GG196" s="40"/>
      <c r="GH196" s="40"/>
      <c r="GI196" s="40"/>
      <c r="GJ196" s="40"/>
      <c r="GK196" s="40"/>
      <c r="GL196" s="40"/>
      <c r="GM196" s="40"/>
      <c r="GN196" s="40"/>
      <c r="GO196" s="40"/>
      <c r="GP196" s="40"/>
      <c r="GQ196" s="40"/>
      <c r="GR196" s="40"/>
      <c r="GS196" s="40"/>
      <c r="GT196" s="40"/>
      <c r="GU196" s="40"/>
      <c r="GV196" s="40"/>
      <c r="GW196" s="40"/>
      <c r="GX196" s="40"/>
      <c r="GY196" s="40"/>
      <c r="GZ196" s="40"/>
      <c r="HA196" s="40"/>
      <c r="HB196" s="40"/>
      <c r="HC196" s="40"/>
      <c r="HD196" s="40"/>
      <c r="HE196" s="40"/>
      <c r="HF196" s="40"/>
      <c r="HG196" s="40"/>
      <c r="HH196" s="40"/>
      <c r="HI196" s="40"/>
      <c r="HJ196" s="40"/>
      <c r="HK196" s="40"/>
      <c r="HL196" s="40"/>
      <c r="HM196" s="40"/>
      <c r="HN196" s="40"/>
      <c r="HO196" s="40"/>
      <c r="HP196" s="40"/>
      <c r="HQ196" s="40"/>
      <c r="HR196" s="40"/>
      <c r="HS196" s="40"/>
      <c r="HT196" s="40"/>
      <c r="HU196" s="40"/>
    </row>
    <row r="197" spans="1:229" s="41" customFormat="1" ht="28.8" customHeight="1">
      <c r="A197" s="124" t="s">
        <v>479</v>
      </c>
      <c r="B197" s="80" t="s">
        <v>512</v>
      </c>
      <c r="C197" s="80"/>
      <c r="D197" s="80" t="s">
        <v>513</v>
      </c>
      <c r="E197" s="80" t="s">
        <v>514</v>
      </c>
      <c r="F197" s="80" t="s">
        <v>515</v>
      </c>
      <c r="G197" s="135" t="s">
        <v>2031</v>
      </c>
      <c r="H197" s="81">
        <v>0.3</v>
      </c>
      <c r="I197" s="81"/>
      <c r="J197" s="79" t="s">
        <v>516</v>
      </c>
      <c r="K197" s="81"/>
      <c r="L197" s="79"/>
      <c r="M197" s="82" t="s">
        <v>1931</v>
      </c>
      <c r="N197" s="82" t="s">
        <v>240</v>
      </c>
      <c r="O197" s="82" t="s">
        <v>316</v>
      </c>
      <c r="P197" s="142">
        <v>0.2</v>
      </c>
      <c r="Q197" s="40">
        <f>SUMIF(Data_P!A:A,CONCATENATE(A197,"_",R$1),Data_P!J:J)</f>
        <v>123.9</v>
      </c>
      <c r="R197" s="40"/>
      <c r="S197" s="40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0"/>
      <c r="AK197" s="40"/>
      <c r="AL197" s="40"/>
      <c r="AM197" s="40"/>
      <c r="AN197" s="40"/>
      <c r="AO197" s="40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  <c r="BA197" s="40"/>
      <c r="BB197" s="40"/>
      <c r="BC197" s="40"/>
      <c r="BD197" s="40"/>
      <c r="BE197" s="40"/>
      <c r="BF197" s="40"/>
      <c r="BG197" s="40"/>
      <c r="BH197" s="40"/>
      <c r="BI197" s="40"/>
      <c r="BJ197" s="40"/>
      <c r="BK197" s="40"/>
      <c r="BL197" s="40"/>
      <c r="BM197" s="40"/>
      <c r="BN197" s="40"/>
      <c r="BO197" s="40"/>
      <c r="BP197" s="40"/>
      <c r="BQ197" s="40"/>
      <c r="BR197" s="40"/>
      <c r="BS197" s="40"/>
      <c r="BT197" s="40"/>
      <c r="BU197" s="40"/>
      <c r="BV197" s="40"/>
      <c r="BW197" s="40"/>
      <c r="BX197" s="40"/>
      <c r="BY197" s="40"/>
      <c r="BZ197" s="40"/>
      <c r="CA197" s="40"/>
      <c r="CB197" s="40"/>
      <c r="CC197" s="40"/>
      <c r="CD197" s="40"/>
      <c r="CE197" s="40"/>
      <c r="CF197" s="40"/>
      <c r="CG197" s="40"/>
      <c r="CH197" s="40"/>
      <c r="CI197" s="40"/>
      <c r="CJ197" s="40"/>
      <c r="CK197" s="40"/>
      <c r="CL197" s="40"/>
      <c r="CM197" s="40"/>
      <c r="CN197" s="40"/>
      <c r="CO197" s="40"/>
      <c r="CP197" s="40"/>
      <c r="CQ197" s="40"/>
      <c r="CR197" s="40"/>
      <c r="CS197" s="40"/>
      <c r="CT197" s="40"/>
      <c r="CU197" s="40"/>
      <c r="CV197" s="40"/>
      <c r="CW197" s="40"/>
      <c r="CX197" s="40"/>
      <c r="CY197" s="40"/>
      <c r="CZ197" s="40"/>
      <c r="DA197" s="40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40"/>
      <c r="EA197" s="40"/>
      <c r="EB197" s="40"/>
      <c r="EC197" s="40"/>
      <c r="ED197" s="40"/>
      <c r="EE197" s="40"/>
      <c r="EF197" s="40"/>
      <c r="EG197" s="40"/>
      <c r="EH197" s="40"/>
      <c r="EI197" s="40"/>
      <c r="EJ197" s="40"/>
      <c r="EK197" s="40"/>
      <c r="EL197" s="40"/>
      <c r="EM197" s="40"/>
      <c r="EN197" s="40"/>
      <c r="EO197" s="40"/>
      <c r="EP197" s="40"/>
      <c r="EQ197" s="40"/>
      <c r="ER197" s="40"/>
      <c r="ES197" s="40"/>
      <c r="ET197" s="40"/>
      <c r="EU197" s="40"/>
      <c r="EV197" s="40"/>
      <c r="EW197" s="40"/>
      <c r="EX197" s="40"/>
      <c r="EY197" s="40"/>
      <c r="EZ197" s="40"/>
      <c r="FA197" s="40"/>
      <c r="FB197" s="40"/>
      <c r="FC197" s="40"/>
      <c r="FD197" s="40"/>
      <c r="FE197" s="40"/>
      <c r="FF197" s="40"/>
      <c r="FG197" s="40"/>
      <c r="FH197" s="40"/>
      <c r="FI197" s="40"/>
      <c r="FJ197" s="40"/>
      <c r="FK197" s="40"/>
      <c r="FL197" s="40"/>
      <c r="FM197" s="40"/>
      <c r="FN197" s="40"/>
      <c r="FO197" s="40"/>
      <c r="FP197" s="40"/>
      <c r="FQ197" s="40"/>
      <c r="FR197" s="40"/>
      <c r="FS197" s="40"/>
      <c r="FT197" s="40"/>
      <c r="FU197" s="40"/>
      <c r="FV197" s="40"/>
      <c r="FW197" s="40"/>
      <c r="FX197" s="40"/>
      <c r="FY197" s="40"/>
      <c r="FZ197" s="40"/>
      <c r="GA197" s="40"/>
      <c r="GB197" s="40"/>
      <c r="GC197" s="40"/>
      <c r="GD197" s="40"/>
      <c r="GE197" s="40"/>
      <c r="GF197" s="40"/>
      <c r="GG197" s="40"/>
      <c r="GH197" s="40"/>
      <c r="GI197" s="40"/>
      <c r="GJ197" s="40"/>
      <c r="GK197" s="40"/>
      <c r="GL197" s="40"/>
      <c r="GM197" s="40"/>
      <c r="GN197" s="40"/>
      <c r="GO197" s="40"/>
      <c r="GP197" s="40"/>
      <c r="GQ197" s="40"/>
      <c r="GR197" s="40"/>
      <c r="GS197" s="40"/>
      <c r="GT197" s="40"/>
      <c r="GU197" s="40"/>
      <c r="GV197" s="40"/>
      <c r="GW197" s="40"/>
      <c r="GX197" s="40"/>
      <c r="GY197" s="40"/>
      <c r="GZ197" s="40"/>
      <c r="HA197" s="40"/>
      <c r="HB197" s="40"/>
      <c r="HC197" s="40"/>
      <c r="HD197" s="40"/>
      <c r="HE197" s="40"/>
      <c r="HF197" s="40"/>
      <c r="HG197" s="40"/>
      <c r="HH197" s="40"/>
      <c r="HI197" s="40"/>
      <c r="HJ197" s="40"/>
      <c r="HK197" s="40"/>
      <c r="HL197" s="40"/>
      <c r="HM197" s="40"/>
      <c r="HN197" s="40"/>
      <c r="HO197" s="40"/>
      <c r="HP197" s="40"/>
      <c r="HQ197" s="40"/>
      <c r="HR197" s="40"/>
      <c r="HS197" s="40"/>
      <c r="HT197" s="40"/>
      <c r="HU197" s="40"/>
    </row>
    <row r="198" spans="1:229" s="41" customFormat="1" ht="28.8" customHeight="1">
      <c r="A198" s="124" t="s">
        <v>269</v>
      </c>
      <c r="B198" s="80" t="s">
        <v>270</v>
      </c>
      <c r="C198" s="80"/>
      <c r="D198" s="80" t="s">
        <v>271</v>
      </c>
      <c r="E198" s="80" t="s">
        <v>272</v>
      </c>
      <c r="F198" s="80" t="s">
        <v>273</v>
      </c>
      <c r="G198" s="135" t="s">
        <v>2032</v>
      </c>
      <c r="H198" s="81">
        <v>0.5</v>
      </c>
      <c r="I198" s="81">
        <v>-0.1</v>
      </c>
      <c r="J198" s="79" t="s">
        <v>103</v>
      </c>
      <c r="K198" s="81"/>
      <c r="L198" s="79"/>
      <c r="M198" s="82" t="s">
        <v>291</v>
      </c>
      <c r="N198" s="82" t="s">
        <v>292</v>
      </c>
      <c r="O198" s="82" t="s">
        <v>316</v>
      </c>
      <c r="P198" s="142">
        <v>0.2</v>
      </c>
      <c r="Q198" s="40">
        <f>SUMIF(Data_P!A:A,CONCATENATE(A198,"_",R$1),Data_P!J:J)</f>
        <v>329.44</v>
      </c>
      <c r="R198" s="40"/>
      <c r="S198" s="40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  <c r="BA198" s="40"/>
      <c r="BB198" s="40"/>
      <c r="BC198" s="40"/>
      <c r="BD198" s="40"/>
      <c r="BE198" s="40"/>
      <c r="BF198" s="40"/>
      <c r="BG198" s="40"/>
      <c r="BH198" s="40"/>
      <c r="BI198" s="40"/>
      <c r="BJ198" s="40"/>
      <c r="BK198" s="40"/>
      <c r="BL198" s="40"/>
      <c r="BM198" s="40"/>
      <c r="BN198" s="40"/>
      <c r="BO198" s="40"/>
      <c r="BP198" s="40"/>
      <c r="BQ198" s="40"/>
      <c r="BR198" s="40"/>
      <c r="BS198" s="40"/>
      <c r="BT198" s="40"/>
      <c r="BU198" s="40"/>
      <c r="BV198" s="40"/>
      <c r="BW198" s="40"/>
      <c r="BX198" s="40"/>
      <c r="BY198" s="40"/>
      <c r="BZ198" s="40"/>
      <c r="CA198" s="40"/>
      <c r="CB198" s="40"/>
      <c r="CC198" s="40"/>
      <c r="CD198" s="40"/>
      <c r="CE198" s="40"/>
      <c r="CF198" s="40"/>
      <c r="CG198" s="40"/>
      <c r="CH198" s="40"/>
      <c r="CI198" s="40"/>
      <c r="CJ198" s="40"/>
      <c r="CK198" s="40"/>
      <c r="CL198" s="40"/>
      <c r="CM198" s="40"/>
      <c r="CN198" s="40"/>
      <c r="CO198" s="40"/>
      <c r="CP198" s="40"/>
      <c r="CQ198" s="40"/>
      <c r="CR198" s="40"/>
      <c r="CS198" s="40"/>
      <c r="CT198" s="40"/>
      <c r="CU198" s="40"/>
      <c r="CV198" s="40"/>
      <c r="CW198" s="40"/>
      <c r="CX198" s="40"/>
      <c r="CY198" s="40"/>
      <c r="CZ198" s="40"/>
      <c r="DA198" s="40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40"/>
      <c r="EA198" s="40"/>
      <c r="EB198" s="40"/>
      <c r="EC198" s="40"/>
      <c r="ED198" s="40"/>
      <c r="EE198" s="40"/>
      <c r="EF198" s="40"/>
      <c r="EG198" s="40"/>
      <c r="EH198" s="40"/>
      <c r="EI198" s="40"/>
      <c r="EJ198" s="40"/>
      <c r="EK198" s="40"/>
      <c r="EL198" s="40"/>
      <c r="EM198" s="40"/>
      <c r="EN198" s="40"/>
      <c r="EO198" s="40"/>
      <c r="EP198" s="40"/>
      <c r="EQ198" s="40"/>
      <c r="ER198" s="40"/>
      <c r="ES198" s="40"/>
      <c r="ET198" s="40"/>
      <c r="EU198" s="40"/>
      <c r="EV198" s="40"/>
      <c r="EW198" s="40"/>
      <c r="EX198" s="40"/>
      <c r="EY198" s="40"/>
      <c r="EZ198" s="40"/>
      <c r="FA198" s="40"/>
      <c r="FB198" s="40"/>
      <c r="FC198" s="40"/>
      <c r="FD198" s="40"/>
      <c r="FE198" s="40"/>
      <c r="FF198" s="40"/>
      <c r="FG198" s="40"/>
      <c r="FH198" s="40"/>
      <c r="FI198" s="40"/>
      <c r="FJ198" s="40"/>
      <c r="FK198" s="40"/>
      <c r="FL198" s="40"/>
      <c r="FM198" s="40"/>
      <c r="FN198" s="40"/>
      <c r="FO198" s="40"/>
      <c r="FP198" s="40"/>
      <c r="FQ198" s="40"/>
      <c r="FR198" s="40"/>
      <c r="FS198" s="40"/>
      <c r="FT198" s="40"/>
      <c r="FU198" s="40"/>
      <c r="FV198" s="40"/>
      <c r="FW198" s="40"/>
      <c r="FX198" s="40"/>
      <c r="FY198" s="40"/>
      <c r="FZ198" s="40"/>
      <c r="GA198" s="40"/>
      <c r="GB198" s="40"/>
      <c r="GC198" s="40"/>
      <c r="GD198" s="40"/>
      <c r="GE198" s="40"/>
      <c r="GF198" s="40"/>
      <c r="GG198" s="40"/>
      <c r="GH198" s="40"/>
      <c r="GI198" s="40"/>
      <c r="GJ198" s="40"/>
      <c r="GK198" s="40"/>
      <c r="GL198" s="40"/>
      <c r="GM198" s="40"/>
      <c r="GN198" s="40"/>
      <c r="GO198" s="40"/>
      <c r="GP198" s="40"/>
      <c r="GQ198" s="40"/>
      <c r="GR198" s="40"/>
      <c r="GS198" s="40"/>
      <c r="GT198" s="40"/>
      <c r="GU198" s="40"/>
      <c r="GV198" s="40"/>
      <c r="GW198" s="40"/>
      <c r="GX198" s="40"/>
      <c r="GY198" s="40"/>
      <c r="GZ198" s="40"/>
      <c r="HA198" s="40"/>
      <c r="HB198" s="40"/>
      <c r="HC198" s="40"/>
      <c r="HD198" s="40"/>
      <c r="HE198" s="40"/>
      <c r="HF198" s="40"/>
      <c r="HG198" s="40"/>
      <c r="HH198" s="40"/>
      <c r="HI198" s="40"/>
      <c r="HJ198" s="40"/>
      <c r="HK198" s="40"/>
      <c r="HL198" s="40"/>
      <c r="HM198" s="40"/>
      <c r="HN198" s="40"/>
      <c r="HO198" s="40"/>
      <c r="HP198" s="40"/>
      <c r="HQ198" s="40"/>
      <c r="HR198" s="40"/>
      <c r="HS198" s="40"/>
      <c r="HT198" s="40"/>
      <c r="HU198" s="40"/>
    </row>
    <row r="199" spans="1:229" s="41" customFormat="1" ht="28.8" customHeight="1">
      <c r="A199" s="124" t="s">
        <v>147</v>
      </c>
      <c r="B199" s="80" t="s">
        <v>147</v>
      </c>
      <c r="C199" s="80"/>
      <c r="D199" s="80" t="s">
        <v>155</v>
      </c>
      <c r="E199" s="80" t="s">
        <v>156</v>
      </c>
      <c r="F199" s="80" t="s">
        <v>157</v>
      </c>
      <c r="G199" s="135" t="s">
        <v>2033</v>
      </c>
      <c r="H199" s="81">
        <v>0.5</v>
      </c>
      <c r="I199" s="81">
        <v>-0.1</v>
      </c>
      <c r="J199" s="79" t="s">
        <v>399</v>
      </c>
      <c r="K199" s="81"/>
      <c r="L199" s="79"/>
      <c r="M199" s="82" t="s">
        <v>251</v>
      </c>
      <c r="N199" s="82" t="s">
        <v>252</v>
      </c>
      <c r="O199" s="82" t="s">
        <v>316</v>
      </c>
      <c r="P199" s="142">
        <v>0.2</v>
      </c>
      <c r="Q199" s="40">
        <f>SUMIF(Data_P!A:A,CONCATENATE(A199,"_",R$1),Data_P!J:J)</f>
        <v>1135.29</v>
      </c>
      <c r="R199" s="40"/>
      <c r="S199" s="40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  <c r="BA199" s="40"/>
      <c r="BB199" s="40"/>
      <c r="BC199" s="40"/>
      <c r="BD199" s="40"/>
      <c r="BE199" s="40"/>
      <c r="BF199" s="40"/>
      <c r="BG199" s="40"/>
      <c r="BH199" s="40"/>
      <c r="BI199" s="40"/>
      <c r="BJ199" s="40"/>
      <c r="BK199" s="40"/>
      <c r="BL199" s="40"/>
      <c r="BM199" s="40"/>
      <c r="BN199" s="40"/>
      <c r="BO199" s="40"/>
      <c r="BP199" s="40"/>
      <c r="BQ199" s="40"/>
      <c r="BR199" s="40"/>
      <c r="BS199" s="40"/>
      <c r="BT199" s="40"/>
      <c r="BU199" s="40"/>
      <c r="BV199" s="40"/>
      <c r="BW199" s="40"/>
      <c r="BX199" s="40"/>
      <c r="BY199" s="40"/>
      <c r="BZ199" s="40"/>
      <c r="CA199" s="40"/>
      <c r="CB199" s="40"/>
      <c r="CC199" s="40"/>
      <c r="CD199" s="40"/>
      <c r="CE199" s="40"/>
      <c r="CF199" s="40"/>
      <c r="CG199" s="40"/>
      <c r="CH199" s="40"/>
      <c r="CI199" s="40"/>
      <c r="CJ199" s="40"/>
      <c r="CK199" s="40"/>
      <c r="CL199" s="40"/>
      <c r="CM199" s="40"/>
      <c r="CN199" s="40"/>
      <c r="CO199" s="40"/>
      <c r="CP199" s="40"/>
      <c r="CQ199" s="40"/>
      <c r="CR199" s="40"/>
      <c r="CS199" s="40"/>
      <c r="CT199" s="40"/>
      <c r="CU199" s="40"/>
      <c r="CV199" s="40"/>
      <c r="CW199" s="40"/>
      <c r="CX199" s="40"/>
      <c r="CY199" s="40"/>
      <c r="CZ199" s="40"/>
      <c r="DA199" s="40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40"/>
      <c r="FB199" s="40"/>
      <c r="FC199" s="40"/>
      <c r="FD199" s="40"/>
      <c r="FE199" s="40"/>
      <c r="FF199" s="40"/>
      <c r="FG199" s="40"/>
      <c r="FH199" s="40"/>
      <c r="FI199" s="40"/>
      <c r="FJ199" s="40"/>
      <c r="FK199" s="40"/>
      <c r="FL199" s="40"/>
      <c r="FM199" s="40"/>
      <c r="FN199" s="40"/>
      <c r="FO199" s="40"/>
      <c r="FP199" s="40"/>
      <c r="FQ199" s="40"/>
      <c r="FR199" s="40"/>
      <c r="FS199" s="40"/>
      <c r="FT199" s="40"/>
      <c r="FU199" s="40"/>
      <c r="FV199" s="40"/>
      <c r="FW199" s="40"/>
      <c r="FX199" s="40"/>
      <c r="FY199" s="40"/>
      <c r="FZ199" s="40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40"/>
      <c r="HR199" s="40"/>
      <c r="HS199" s="40"/>
      <c r="HT199" s="40"/>
      <c r="HU199" s="40"/>
    </row>
    <row r="200" spans="1:229" s="41" customFormat="1" ht="28.8" customHeight="1">
      <c r="A200" s="124" t="s">
        <v>1835</v>
      </c>
      <c r="B200" s="80" t="s">
        <v>1850</v>
      </c>
      <c r="C200" s="80"/>
      <c r="D200" s="80" t="s">
        <v>1851</v>
      </c>
      <c r="E200" s="80" t="s">
        <v>1887</v>
      </c>
      <c r="F200" s="80" t="s">
        <v>1852</v>
      </c>
      <c r="G200" s="135" t="s">
        <v>1853</v>
      </c>
      <c r="H200" s="81">
        <v>0.3</v>
      </c>
      <c r="I200" s="81"/>
      <c r="J200" s="79"/>
      <c r="K200" s="81"/>
      <c r="L200" s="79"/>
      <c r="M200" s="82" t="s">
        <v>1932</v>
      </c>
      <c r="N200" s="82" t="s">
        <v>262</v>
      </c>
      <c r="O200" s="82" t="s">
        <v>316</v>
      </c>
      <c r="P200" s="142">
        <v>0.2</v>
      </c>
      <c r="Q200" s="40">
        <f>SUMIF(Data_P!A:A,CONCATENATE(A200,"_",R$1),Data_P!J:J)</f>
        <v>175</v>
      </c>
      <c r="R200" s="40"/>
      <c r="S200" s="40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  <c r="BA200" s="40"/>
      <c r="BB200" s="40"/>
      <c r="BC200" s="40"/>
      <c r="BD200" s="40"/>
      <c r="BE200" s="40"/>
      <c r="BF200" s="40"/>
      <c r="BG200" s="40"/>
      <c r="BH200" s="40"/>
      <c r="BI200" s="40"/>
      <c r="BJ200" s="40"/>
      <c r="BK200" s="40"/>
      <c r="BL200" s="40"/>
      <c r="BM200" s="40"/>
      <c r="BN200" s="40"/>
      <c r="BO200" s="40"/>
      <c r="BP200" s="40"/>
      <c r="BQ200" s="40"/>
      <c r="BR200" s="40"/>
      <c r="BS200" s="40"/>
      <c r="BT200" s="40"/>
      <c r="BU200" s="40"/>
      <c r="BV200" s="40"/>
      <c r="BW200" s="40"/>
      <c r="BX200" s="40"/>
      <c r="BY200" s="40"/>
      <c r="BZ200" s="40"/>
      <c r="CA200" s="40"/>
      <c r="CB200" s="40"/>
      <c r="CC200" s="40"/>
      <c r="CD200" s="40"/>
      <c r="CE200" s="40"/>
      <c r="CF200" s="40"/>
      <c r="CG200" s="40"/>
      <c r="CH200" s="40"/>
      <c r="CI200" s="40"/>
      <c r="CJ200" s="40"/>
      <c r="CK200" s="40"/>
      <c r="CL200" s="40"/>
      <c r="CM200" s="40"/>
      <c r="CN200" s="40"/>
      <c r="CO200" s="40"/>
      <c r="CP200" s="40"/>
      <c r="CQ200" s="40"/>
      <c r="CR200" s="40"/>
      <c r="CS200" s="40"/>
      <c r="CT200" s="40"/>
      <c r="CU200" s="40"/>
      <c r="CV200" s="40"/>
      <c r="CW200" s="40"/>
      <c r="CX200" s="40"/>
      <c r="CY200" s="40"/>
      <c r="CZ200" s="40"/>
      <c r="DA200" s="40"/>
      <c r="DB200" s="40"/>
      <c r="DC200" s="40"/>
      <c r="DD200" s="40"/>
      <c r="DE200" s="40"/>
      <c r="DF200" s="40"/>
      <c r="DG200" s="40"/>
      <c r="DH200" s="40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40"/>
      <c r="FB200" s="40"/>
      <c r="FC200" s="40"/>
      <c r="FD200" s="40"/>
      <c r="FE200" s="40"/>
      <c r="FF200" s="40"/>
      <c r="FG200" s="40"/>
      <c r="FH200" s="40"/>
      <c r="FI200" s="40"/>
      <c r="FJ200" s="40"/>
      <c r="FK200" s="40"/>
      <c r="FL200" s="40"/>
      <c r="FM200" s="40"/>
      <c r="FN200" s="40"/>
      <c r="FO200" s="40"/>
      <c r="FP200" s="40"/>
      <c r="FQ200" s="40"/>
      <c r="FR200" s="40"/>
      <c r="FS200" s="40"/>
      <c r="FT200" s="40"/>
      <c r="FU200" s="40"/>
      <c r="FV200" s="40"/>
      <c r="FW200" s="40"/>
      <c r="FX200" s="40"/>
      <c r="FY200" s="40"/>
      <c r="FZ200" s="40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40"/>
      <c r="HR200" s="40"/>
      <c r="HS200" s="40"/>
      <c r="HT200" s="40"/>
      <c r="HU200" s="40"/>
    </row>
    <row r="201" spans="1:229" s="41" customFormat="1" ht="28.8" customHeight="1">
      <c r="A201" s="124" t="s">
        <v>2130</v>
      </c>
      <c r="B201" s="80" t="s">
        <v>415</v>
      </c>
      <c r="C201" s="80"/>
      <c r="D201" s="80" t="s">
        <v>416</v>
      </c>
      <c r="E201" s="80" t="s">
        <v>408</v>
      </c>
      <c r="F201" s="80" t="s">
        <v>417</v>
      </c>
      <c r="G201" s="135" t="s">
        <v>418</v>
      </c>
      <c r="H201" s="81">
        <v>0.5</v>
      </c>
      <c r="I201" s="81">
        <v>-0.1</v>
      </c>
      <c r="J201" s="79" t="s">
        <v>399</v>
      </c>
      <c r="K201" s="81">
        <v>-0.05</v>
      </c>
      <c r="L201" s="79" t="s">
        <v>419</v>
      </c>
      <c r="M201" s="82" t="s">
        <v>1607</v>
      </c>
      <c r="N201" s="82" t="s">
        <v>431</v>
      </c>
      <c r="O201" s="82" t="s">
        <v>317</v>
      </c>
      <c r="P201" s="142">
        <v>0.2</v>
      </c>
      <c r="Q201" s="40">
        <f>SUMIF(Data_P!A:A,CONCATENATE(A201,"_",R$1),Data_P!J:J)</f>
        <v>398.03</v>
      </c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  <c r="BA201" s="40"/>
      <c r="BB201" s="40"/>
      <c r="BC201" s="40"/>
      <c r="BD201" s="40"/>
      <c r="BE201" s="40"/>
      <c r="BF201" s="40"/>
      <c r="BG201" s="40"/>
      <c r="BH201" s="40"/>
      <c r="BI201" s="40"/>
      <c r="BJ201" s="40"/>
      <c r="BK201" s="40"/>
      <c r="BL201" s="40"/>
      <c r="BM201" s="40"/>
      <c r="BN201" s="40"/>
      <c r="BO201" s="40"/>
      <c r="BP201" s="40"/>
      <c r="BQ201" s="40"/>
      <c r="BR201" s="40"/>
      <c r="BS201" s="40"/>
      <c r="BT201" s="40"/>
      <c r="BU201" s="40"/>
      <c r="BV201" s="40"/>
      <c r="BW201" s="40"/>
      <c r="BX201" s="40"/>
      <c r="BY201" s="40"/>
      <c r="BZ201" s="40"/>
      <c r="CA201" s="40"/>
      <c r="CB201" s="40"/>
      <c r="CC201" s="40"/>
      <c r="CD201" s="40"/>
      <c r="CE201" s="40"/>
      <c r="CF201" s="40"/>
      <c r="CG201" s="40"/>
      <c r="CH201" s="40"/>
      <c r="CI201" s="40"/>
      <c r="CJ201" s="40"/>
      <c r="CK201" s="40"/>
      <c r="CL201" s="40"/>
      <c r="CM201" s="40"/>
      <c r="CN201" s="40"/>
      <c r="CO201" s="40"/>
      <c r="CP201" s="40"/>
      <c r="CQ201" s="40"/>
      <c r="CR201" s="40"/>
      <c r="CS201" s="40"/>
      <c r="CT201" s="40"/>
      <c r="CU201" s="40"/>
      <c r="CV201" s="40"/>
      <c r="CW201" s="40"/>
      <c r="CX201" s="40"/>
      <c r="CY201" s="40"/>
      <c r="CZ201" s="40"/>
      <c r="DA201" s="40"/>
      <c r="DB201" s="40"/>
      <c r="DC201" s="40"/>
      <c r="DD201" s="40"/>
      <c r="DE201" s="40"/>
      <c r="DF201" s="40"/>
      <c r="DG201" s="40"/>
      <c r="DH201" s="40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40"/>
      <c r="FB201" s="40"/>
      <c r="FC201" s="40"/>
      <c r="FD201" s="40"/>
      <c r="FE201" s="40"/>
      <c r="FF201" s="40"/>
      <c r="FG201" s="40"/>
      <c r="FH201" s="40"/>
      <c r="FI201" s="40"/>
      <c r="FJ201" s="40"/>
      <c r="FK201" s="40"/>
      <c r="FL201" s="40"/>
      <c r="FM201" s="40"/>
      <c r="FN201" s="40"/>
      <c r="FO201" s="40"/>
      <c r="FP201" s="40"/>
      <c r="FQ201" s="40"/>
      <c r="FR201" s="40"/>
      <c r="FS201" s="40"/>
      <c r="FT201" s="40"/>
      <c r="FU201" s="40"/>
      <c r="FV201" s="40"/>
      <c r="FW201" s="40"/>
      <c r="FX201" s="40"/>
      <c r="FY201" s="40"/>
      <c r="FZ201" s="40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40"/>
      <c r="HR201" s="40"/>
      <c r="HS201" s="40"/>
      <c r="HT201" s="40"/>
      <c r="HU201" s="40"/>
    </row>
    <row r="202" spans="1:229" s="41" customFormat="1" ht="28.8" customHeight="1">
      <c r="A202" s="124" t="s">
        <v>73</v>
      </c>
      <c r="B202" s="80" t="s">
        <v>119</v>
      </c>
      <c r="C202" s="80" t="s">
        <v>469</v>
      </c>
      <c r="D202" s="80" t="s">
        <v>1105</v>
      </c>
      <c r="E202" s="80" t="s">
        <v>337</v>
      </c>
      <c r="F202" s="80" t="s">
        <v>1106</v>
      </c>
      <c r="G202" s="135" t="s">
        <v>2034</v>
      </c>
      <c r="H202" s="81">
        <v>0.5</v>
      </c>
      <c r="I202" s="81">
        <v>0.05</v>
      </c>
      <c r="J202" s="79" t="s">
        <v>22</v>
      </c>
      <c r="K202" s="81">
        <v>-0.05</v>
      </c>
      <c r="L202" s="79" t="s">
        <v>39</v>
      </c>
      <c r="M202" s="82" t="s">
        <v>1107</v>
      </c>
      <c r="N202" s="82" t="s">
        <v>294</v>
      </c>
      <c r="O202" s="82" t="s">
        <v>316</v>
      </c>
      <c r="P202" s="142">
        <v>0.2</v>
      </c>
      <c r="Q202" s="40">
        <f>SUMIF(Data_P!A:A,CONCATENATE(A202,"_",R$1),Data_P!J:J)</f>
        <v>1666.22</v>
      </c>
      <c r="R202" s="40"/>
      <c r="S202" s="40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  <c r="BA202" s="40"/>
      <c r="BB202" s="40"/>
      <c r="BC202" s="40"/>
      <c r="BD202" s="40"/>
      <c r="BE202" s="40"/>
      <c r="BF202" s="40"/>
      <c r="BG202" s="40"/>
      <c r="BH202" s="40"/>
      <c r="BI202" s="40"/>
      <c r="BJ202" s="40"/>
      <c r="BK202" s="40"/>
      <c r="BL202" s="40"/>
      <c r="BM202" s="40"/>
      <c r="BN202" s="40"/>
      <c r="BO202" s="40"/>
      <c r="BP202" s="40"/>
      <c r="BQ202" s="40"/>
      <c r="BR202" s="40"/>
      <c r="BS202" s="40"/>
      <c r="BT202" s="40"/>
      <c r="BU202" s="40"/>
      <c r="BV202" s="40"/>
      <c r="BW202" s="40"/>
      <c r="BX202" s="40"/>
      <c r="BY202" s="40"/>
      <c r="BZ202" s="40"/>
      <c r="CA202" s="40"/>
      <c r="CB202" s="40"/>
      <c r="CC202" s="40"/>
      <c r="CD202" s="40"/>
      <c r="CE202" s="40"/>
      <c r="CF202" s="40"/>
      <c r="CG202" s="40"/>
      <c r="CH202" s="40"/>
      <c r="CI202" s="40"/>
      <c r="CJ202" s="40"/>
      <c r="CK202" s="40"/>
      <c r="CL202" s="40"/>
      <c r="CM202" s="40"/>
      <c r="CN202" s="40"/>
      <c r="CO202" s="40"/>
      <c r="CP202" s="40"/>
      <c r="CQ202" s="40"/>
      <c r="CR202" s="40"/>
      <c r="CS202" s="40"/>
      <c r="CT202" s="40"/>
      <c r="CU202" s="40"/>
      <c r="CV202" s="40"/>
      <c r="CW202" s="40"/>
      <c r="CX202" s="40"/>
      <c r="CY202" s="40"/>
      <c r="CZ202" s="40"/>
      <c r="DA202" s="40"/>
      <c r="DB202" s="40"/>
      <c r="DC202" s="40"/>
      <c r="DD202" s="40"/>
      <c r="DE202" s="40"/>
      <c r="DF202" s="40"/>
      <c r="DG202" s="40"/>
      <c r="DH202" s="40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40"/>
      <c r="FB202" s="40"/>
      <c r="FC202" s="40"/>
      <c r="FD202" s="40"/>
      <c r="FE202" s="40"/>
      <c r="FF202" s="40"/>
      <c r="FG202" s="40"/>
      <c r="FH202" s="40"/>
      <c r="FI202" s="40"/>
      <c r="FJ202" s="40"/>
      <c r="FK202" s="40"/>
      <c r="FL202" s="40"/>
      <c r="FM202" s="40"/>
      <c r="FN202" s="40"/>
      <c r="FO202" s="40"/>
      <c r="FP202" s="40"/>
      <c r="FQ202" s="40"/>
      <c r="FR202" s="40"/>
      <c r="FS202" s="40"/>
      <c r="FT202" s="40"/>
      <c r="FU202" s="40"/>
      <c r="FV202" s="40"/>
      <c r="FW202" s="40"/>
      <c r="FX202" s="40"/>
      <c r="FY202" s="40"/>
      <c r="FZ202" s="40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40"/>
      <c r="HR202" s="40"/>
      <c r="HS202" s="40"/>
      <c r="HT202" s="40"/>
      <c r="HU202" s="40"/>
    </row>
    <row r="203" spans="1:229" s="41" customFormat="1" ht="28.8" customHeight="1">
      <c r="A203" s="124" t="s">
        <v>2131</v>
      </c>
      <c r="B203" s="80" t="s">
        <v>629</v>
      </c>
      <c r="C203" s="80"/>
      <c r="D203" s="80" t="s">
        <v>630</v>
      </c>
      <c r="E203" s="80" t="s">
        <v>631</v>
      </c>
      <c r="F203" s="80" t="s">
        <v>632</v>
      </c>
      <c r="G203" s="135" t="s">
        <v>633</v>
      </c>
      <c r="H203" s="81">
        <v>0.5</v>
      </c>
      <c r="I203" s="81">
        <v>-0.1</v>
      </c>
      <c r="J203" s="79" t="s">
        <v>399</v>
      </c>
      <c r="K203" s="81"/>
      <c r="L203" s="79"/>
      <c r="M203" s="82"/>
      <c r="N203" s="82"/>
      <c r="O203" s="82" t="s">
        <v>316</v>
      </c>
      <c r="P203" s="142">
        <v>0.2</v>
      </c>
      <c r="Q203" s="40">
        <f>SUMIF(Data_P!A:A,CONCATENATE(A203,"_",R$1),Data_P!J:J)</f>
        <v>7.9</v>
      </c>
      <c r="R203" s="40"/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  <c r="BA203" s="40"/>
      <c r="BB203" s="40"/>
      <c r="BC203" s="40"/>
      <c r="BD203" s="40"/>
      <c r="BE203" s="40"/>
      <c r="BF203" s="40"/>
      <c r="BG203" s="40"/>
      <c r="BH203" s="40"/>
      <c r="BI203" s="40"/>
      <c r="BJ203" s="40"/>
      <c r="BK203" s="40"/>
      <c r="BL203" s="40"/>
      <c r="BM203" s="40"/>
      <c r="BN203" s="40"/>
      <c r="BO203" s="40"/>
      <c r="BP203" s="40"/>
      <c r="BQ203" s="40"/>
      <c r="BR203" s="40"/>
      <c r="BS203" s="40"/>
      <c r="BT203" s="40"/>
      <c r="BU203" s="40"/>
      <c r="BV203" s="40"/>
      <c r="BW203" s="40"/>
      <c r="BX203" s="40"/>
      <c r="BY203" s="40"/>
      <c r="BZ203" s="40"/>
      <c r="CA203" s="40"/>
      <c r="CB203" s="40"/>
      <c r="CC203" s="40"/>
      <c r="CD203" s="40"/>
      <c r="CE203" s="40"/>
      <c r="CF203" s="40"/>
      <c r="CG203" s="40"/>
      <c r="CH203" s="40"/>
      <c r="CI203" s="40"/>
      <c r="CJ203" s="40"/>
      <c r="CK203" s="40"/>
      <c r="CL203" s="40"/>
      <c r="CM203" s="40"/>
      <c r="CN203" s="40"/>
      <c r="CO203" s="40"/>
      <c r="CP203" s="40"/>
      <c r="CQ203" s="40"/>
      <c r="CR203" s="40"/>
      <c r="CS203" s="40"/>
      <c r="CT203" s="40"/>
      <c r="CU203" s="40"/>
      <c r="CV203" s="40"/>
      <c r="CW203" s="40"/>
      <c r="CX203" s="40"/>
      <c r="CY203" s="40"/>
      <c r="CZ203" s="40"/>
      <c r="DA203" s="40"/>
      <c r="DB203" s="40"/>
      <c r="DC203" s="40"/>
      <c r="DD203" s="40"/>
      <c r="DE203" s="40"/>
      <c r="DF203" s="40"/>
      <c r="DG203" s="40"/>
      <c r="DH203" s="40"/>
      <c r="DI203" s="40"/>
      <c r="DJ203" s="40"/>
      <c r="DK203" s="40"/>
      <c r="DL203" s="40"/>
      <c r="DM203" s="40"/>
      <c r="DN203" s="40"/>
      <c r="DO203" s="40"/>
      <c r="DP203" s="40"/>
      <c r="DQ203" s="40"/>
      <c r="DR203" s="40"/>
      <c r="DS203" s="40"/>
      <c r="DT203" s="40"/>
      <c r="DU203" s="40"/>
      <c r="DV203" s="40"/>
      <c r="DW203" s="40"/>
      <c r="DX203" s="40"/>
      <c r="DY203" s="40"/>
      <c r="DZ203" s="40"/>
      <c r="EA203" s="40"/>
      <c r="EB203" s="40"/>
      <c r="EC203" s="40"/>
      <c r="ED203" s="40"/>
      <c r="EE203" s="40"/>
      <c r="EF203" s="40"/>
      <c r="EG203" s="40"/>
      <c r="EH203" s="40"/>
      <c r="EI203" s="40"/>
      <c r="EJ203" s="40"/>
      <c r="EK203" s="40"/>
      <c r="EL203" s="40"/>
      <c r="EM203" s="40"/>
      <c r="EN203" s="40"/>
      <c r="EO203" s="40"/>
      <c r="EP203" s="40"/>
      <c r="EQ203" s="40"/>
      <c r="ER203" s="40"/>
      <c r="ES203" s="40"/>
      <c r="ET203" s="40"/>
      <c r="EU203" s="40"/>
      <c r="EV203" s="40"/>
      <c r="EW203" s="40"/>
      <c r="EX203" s="40"/>
      <c r="EY203" s="40"/>
      <c r="EZ203" s="40"/>
      <c r="FA203" s="40"/>
      <c r="FB203" s="40"/>
      <c r="FC203" s="40"/>
      <c r="FD203" s="40"/>
      <c r="FE203" s="40"/>
      <c r="FF203" s="40"/>
      <c r="FG203" s="40"/>
      <c r="FH203" s="40"/>
      <c r="FI203" s="40"/>
      <c r="FJ203" s="40"/>
      <c r="FK203" s="40"/>
      <c r="FL203" s="40"/>
      <c r="FM203" s="40"/>
      <c r="FN203" s="40"/>
      <c r="FO203" s="40"/>
      <c r="FP203" s="40"/>
      <c r="FQ203" s="40"/>
      <c r="FR203" s="40"/>
      <c r="FS203" s="40"/>
      <c r="FT203" s="40"/>
      <c r="FU203" s="40"/>
      <c r="FV203" s="40"/>
      <c r="FW203" s="40"/>
      <c r="FX203" s="40"/>
      <c r="FY203" s="40"/>
      <c r="FZ203" s="40"/>
      <c r="GA203" s="40"/>
      <c r="GB203" s="40"/>
      <c r="GC203" s="40"/>
      <c r="GD203" s="40"/>
      <c r="GE203" s="40"/>
      <c r="GF203" s="40"/>
      <c r="GG203" s="40"/>
      <c r="GH203" s="40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40"/>
      <c r="HR203" s="40"/>
      <c r="HS203" s="40"/>
      <c r="HT203" s="40"/>
      <c r="HU203" s="40"/>
    </row>
    <row r="204" spans="1:229" s="41" customFormat="1" ht="28.8" customHeight="1">
      <c r="A204" s="124" t="s">
        <v>2132</v>
      </c>
      <c r="B204" s="80" t="s">
        <v>1074</v>
      </c>
      <c r="C204" s="80"/>
      <c r="D204" s="80" t="s">
        <v>1075</v>
      </c>
      <c r="E204" s="80" t="s">
        <v>1076</v>
      </c>
      <c r="F204" s="80" t="s">
        <v>2133</v>
      </c>
      <c r="G204" s="135" t="s">
        <v>2134</v>
      </c>
      <c r="H204" s="81">
        <v>0.4</v>
      </c>
      <c r="I204" s="81">
        <v>-0.05</v>
      </c>
      <c r="J204" s="79" t="s">
        <v>1017</v>
      </c>
      <c r="K204" s="81"/>
      <c r="L204" s="79"/>
      <c r="M204" s="82" t="s">
        <v>1437</v>
      </c>
      <c r="N204" s="82" t="s">
        <v>1427</v>
      </c>
      <c r="O204" s="82" t="s">
        <v>316</v>
      </c>
      <c r="P204" s="142">
        <v>0.2</v>
      </c>
      <c r="Q204" s="40">
        <f>SUMIF(Data_P!A:A,CONCATENATE(A204,"_",R$1),Data_P!J:J)</f>
        <v>110.5</v>
      </c>
      <c r="R204" s="40"/>
      <c r="S204" s="40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0"/>
      <c r="AK204" s="40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  <c r="BA204" s="40"/>
      <c r="BB204" s="40"/>
      <c r="BC204" s="40"/>
      <c r="BD204" s="40"/>
      <c r="BE204" s="40"/>
      <c r="BF204" s="40"/>
      <c r="BG204" s="40"/>
      <c r="BH204" s="40"/>
      <c r="BI204" s="40"/>
      <c r="BJ204" s="40"/>
      <c r="BK204" s="40"/>
      <c r="BL204" s="40"/>
      <c r="BM204" s="40"/>
      <c r="BN204" s="40"/>
      <c r="BO204" s="40"/>
      <c r="BP204" s="40"/>
      <c r="BQ204" s="40"/>
      <c r="BR204" s="40"/>
      <c r="BS204" s="40"/>
      <c r="BT204" s="40"/>
      <c r="BU204" s="40"/>
      <c r="BV204" s="40"/>
      <c r="BW204" s="40"/>
      <c r="BX204" s="40"/>
      <c r="BY204" s="40"/>
      <c r="BZ204" s="40"/>
      <c r="CA204" s="40"/>
      <c r="CB204" s="40"/>
      <c r="CC204" s="40"/>
      <c r="CD204" s="40"/>
      <c r="CE204" s="40"/>
      <c r="CF204" s="40"/>
      <c r="CG204" s="40"/>
      <c r="CH204" s="40"/>
      <c r="CI204" s="40"/>
      <c r="CJ204" s="40"/>
      <c r="CK204" s="40"/>
      <c r="CL204" s="40"/>
      <c r="CM204" s="40"/>
      <c r="CN204" s="40"/>
      <c r="CO204" s="40"/>
      <c r="CP204" s="40"/>
      <c r="CQ204" s="40"/>
      <c r="CR204" s="40"/>
      <c r="CS204" s="40"/>
      <c r="CT204" s="40"/>
      <c r="CU204" s="40"/>
      <c r="CV204" s="40"/>
      <c r="CW204" s="40"/>
      <c r="CX204" s="40"/>
      <c r="CY204" s="40"/>
      <c r="CZ204" s="40"/>
      <c r="DA204" s="40"/>
      <c r="DB204" s="40"/>
      <c r="DC204" s="40"/>
      <c r="DD204" s="40"/>
      <c r="DE204" s="40"/>
      <c r="DF204" s="40"/>
      <c r="DG204" s="40"/>
      <c r="DH204" s="40"/>
      <c r="DI204" s="40"/>
      <c r="DJ204" s="40"/>
      <c r="DK204" s="40"/>
      <c r="DL204" s="40"/>
      <c r="DM204" s="40"/>
      <c r="DN204" s="40"/>
      <c r="DO204" s="40"/>
      <c r="DP204" s="40"/>
      <c r="DQ204" s="40"/>
      <c r="DR204" s="40"/>
      <c r="DS204" s="40"/>
      <c r="DT204" s="40"/>
      <c r="DU204" s="40"/>
      <c r="DV204" s="40"/>
      <c r="DW204" s="40"/>
      <c r="DX204" s="40"/>
      <c r="DY204" s="40"/>
      <c r="DZ204" s="40"/>
      <c r="EA204" s="40"/>
      <c r="EB204" s="40"/>
      <c r="EC204" s="40"/>
      <c r="ED204" s="40"/>
      <c r="EE204" s="40"/>
      <c r="EF204" s="40"/>
      <c r="EG204" s="40"/>
      <c r="EH204" s="40"/>
      <c r="EI204" s="40"/>
      <c r="EJ204" s="40"/>
      <c r="EK204" s="40"/>
      <c r="EL204" s="40"/>
      <c r="EM204" s="40"/>
      <c r="EN204" s="40"/>
      <c r="EO204" s="40"/>
      <c r="EP204" s="40"/>
      <c r="EQ204" s="40"/>
      <c r="ER204" s="40"/>
      <c r="ES204" s="40"/>
      <c r="ET204" s="40"/>
      <c r="EU204" s="40"/>
      <c r="EV204" s="40"/>
      <c r="EW204" s="40"/>
      <c r="EX204" s="40"/>
      <c r="EY204" s="40"/>
      <c r="EZ204" s="40"/>
      <c r="FA204" s="40"/>
      <c r="FB204" s="40"/>
      <c r="FC204" s="40"/>
      <c r="FD204" s="40"/>
      <c r="FE204" s="40"/>
      <c r="FF204" s="40"/>
      <c r="FG204" s="40"/>
      <c r="FH204" s="40"/>
      <c r="FI204" s="40"/>
      <c r="FJ204" s="40"/>
      <c r="FK204" s="40"/>
      <c r="FL204" s="40"/>
      <c r="FM204" s="40"/>
      <c r="FN204" s="40"/>
      <c r="FO204" s="40"/>
      <c r="FP204" s="40"/>
      <c r="FQ204" s="40"/>
      <c r="FR204" s="40"/>
      <c r="FS204" s="40"/>
      <c r="FT204" s="40"/>
      <c r="FU204" s="40"/>
      <c r="FV204" s="40"/>
      <c r="FW204" s="40"/>
      <c r="FX204" s="40"/>
      <c r="FY204" s="40"/>
      <c r="FZ204" s="40"/>
      <c r="GA204" s="40"/>
      <c r="GB204" s="40"/>
      <c r="GC204" s="40"/>
      <c r="GD204" s="40"/>
      <c r="GE204" s="40"/>
      <c r="GF204" s="40"/>
      <c r="GG204" s="40"/>
      <c r="GH204" s="40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40"/>
      <c r="HR204" s="40"/>
      <c r="HS204" s="40"/>
      <c r="HT204" s="40"/>
      <c r="HU204" s="40"/>
    </row>
    <row r="205" spans="1:229" s="41" customFormat="1" ht="28.8" customHeight="1">
      <c r="A205" s="124" t="s">
        <v>1547</v>
      </c>
      <c r="B205" s="80" t="s">
        <v>1578</v>
      </c>
      <c r="C205" s="80"/>
      <c r="D205" s="80" t="s">
        <v>1579</v>
      </c>
      <c r="E205" s="80" t="s">
        <v>1580</v>
      </c>
      <c r="F205" s="80" t="s">
        <v>2135</v>
      </c>
      <c r="G205" s="135" t="s">
        <v>1581</v>
      </c>
      <c r="H205" s="81">
        <v>0.4</v>
      </c>
      <c r="I205" s="81">
        <v>-0.05</v>
      </c>
      <c r="J205" s="79" t="s">
        <v>399</v>
      </c>
      <c r="K205" s="81"/>
      <c r="L205" s="79"/>
      <c r="M205" s="82"/>
      <c r="N205" s="82"/>
      <c r="O205" s="82" t="s">
        <v>316</v>
      </c>
      <c r="P205" s="142">
        <v>0.2</v>
      </c>
      <c r="Q205" s="40">
        <f>SUMIF(Data_P!A:A,CONCATENATE(A205,"_",R$1),Data_P!J:J)</f>
        <v>0</v>
      </c>
      <c r="R205" s="40"/>
      <c r="S205" s="40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K205" s="40"/>
      <c r="AL205" s="40"/>
      <c r="AM205" s="40"/>
      <c r="AN205" s="40"/>
      <c r="AO205" s="40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  <c r="BA205" s="40"/>
      <c r="BB205" s="40"/>
      <c r="BC205" s="40"/>
      <c r="BD205" s="40"/>
      <c r="BE205" s="40"/>
      <c r="BF205" s="40"/>
      <c r="BG205" s="40"/>
      <c r="BH205" s="40"/>
      <c r="BI205" s="40"/>
      <c r="BJ205" s="40"/>
      <c r="BK205" s="40"/>
      <c r="BL205" s="40"/>
      <c r="BM205" s="40"/>
      <c r="BN205" s="40"/>
      <c r="BO205" s="40"/>
      <c r="BP205" s="40"/>
      <c r="BQ205" s="40"/>
      <c r="BR205" s="40"/>
      <c r="BS205" s="40"/>
      <c r="BT205" s="40"/>
      <c r="BU205" s="40"/>
      <c r="BV205" s="40"/>
      <c r="BW205" s="40"/>
      <c r="BX205" s="40"/>
      <c r="BY205" s="40"/>
      <c r="BZ205" s="40"/>
      <c r="CA205" s="40"/>
      <c r="CB205" s="40"/>
      <c r="CC205" s="40"/>
      <c r="CD205" s="40"/>
      <c r="CE205" s="40"/>
      <c r="CF205" s="40"/>
      <c r="CG205" s="40"/>
      <c r="CH205" s="40"/>
      <c r="CI205" s="40"/>
      <c r="CJ205" s="40"/>
      <c r="CK205" s="40"/>
      <c r="CL205" s="40"/>
      <c r="CM205" s="40"/>
      <c r="CN205" s="40"/>
      <c r="CO205" s="40"/>
      <c r="CP205" s="40"/>
      <c r="CQ205" s="40"/>
      <c r="CR205" s="40"/>
      <c r="CS205" s="40"/>
      <c r="CT205" s="40"/>
      <c r="CU205" s="40"/>
      <c r="CV205" s="40"/>
      <c r="CW205" s="40"/>
      <c r="CX205" s="40"/>
      <c r="CY205" s="40"/>
      <c r="CZ205" s="40"/>
      <c r="DA205" s="40"/>
      <c r="DB205" s="40"/>
      <c r="DC205" s="40"/>
      <c r="DD205" s="40"/>
      <c r="DE205" s="40"/>
      <c r="DF205" s="40"/>
      <c r="DG205" s="40"/>
      <c r="DH205" s="40"/>
      <c r="DI205" s="40"/>
      <c r="DJ205" s="40"/>
      <c r="DK205" s="40"/>
      <c r="DL205" s="40"/>
      <c r="DM205" s="40"/>
      <c r="DN205" s="40"/>
      <c r="DO205" s="40"/>
      <c r="DP205" s="40"/>
      <c r="DQ205" s="40"/>
      <c r="DR205" s="40"/>
      <c r="DS205" s="40"/>
      <c r="DT205" s="40"/>
      <c r="DU205" s="40"/>
      <c r="DV205" s="40"/>
      <c r="DW205" s="40"/>
      <c r="DX205" s="40"/>
      <c r="DY205" s="40"/>
      <c r="DZ205" s="40"/>
      <c r="EA205" s="40"/>
      <c r="EB205" s="40"/>
      <c r="EC205" s="40"/>
      <c r="ED205" s="40"/>
      <c r="EE205" s="40"/>
      <c r="EF205" s="40"/>
      <c r="EG205" s="40"/>
      <c r="EH205" s="40"/>
      <c r="EI205" s="40"/>
      <c r="EJ205" s="40"/>
      <c r="EK205" s="40"/>
      <c r="EL205" s="40"/>
      <c r="EM205" s="40"/>
      <c r="EN205" s="40"/>
      <c r="EO205" s="40"/>
      <c r="EP205" s="40"/>
      <c r="EQ205" s="40"/>
      <c r="ER205" s="40"/>
      <c r="ES205" s="40"/>
      <c r="ET205" s="40"/>
      <c r="EU205" s="40"/>
      <c r="EV205" s="40"/>
      <c r="EW205" s="40"/>
      <c r="EX205" s="40"/>
      <c r="EY205" s="40"/>
      <c r="EZ205" s="40"/>
      <c r="FA205" s="40"/>
      <c r="FB205" s="40"/>
      <c r="FC205" s="40"/>
      <c r="FD205" s="40"/>
      <c r="FE205" s="40"/>
      <c r="FF205" s="40"/>
      <c r="FG205" s="40"/>
      <c r="FH205" s="40"/>
      <c r="FI205" s="40"/>
      <c r="FJ205" s="40"/>
      <c r="FK205" s="40"/>
      <c r="FL205" s="40"/>
      <c r="FM205" s="40"/>
      <c r="FN205" s="40"/>
      <c r="FO205" s="40"/>
      <c r="FP205" s="40"/>
      <c r="FQ205" s="40"/>
      <c r="FR205" s="40"/>
      <c r="FS205" s="40"/>
      <c r="FT205" s="40"/>
      <c r="FU205" s="40"/>
      <c r="FV205" s="40"/>
      <c r="FW205" s="40"/>
      <c r="FX205" s="40"/>
      <c r="FY205" s="40"/>
      <c r="FZ205" s="40"/>
      <c r="GA205" s="40"/>
      <c r="GB205" s="40"/>
      <c r="GC205" s="40"/>
      <c r="GD205" s="40"/>
      <c r="GE205" s="40"/>
      <c r="GF205" s="40"/>
      <c r="GG205" s="40"/>
      <c r="GH205" s="40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40"/>
      <c r="HR205" s="40"/>
      <c r="HS205" s="40"/>
      <c r="HT205" s="40"/>
      <c r="HU205" s="40"/>
    </row>
    <row r="206" spans="1:229" s="41" customFormat="1" ht="28.8" customHeight="1">
      <c r="A206" s="124" t="s">
        <v>2136</v>
      </c>
      <c r="B206" s="80" t="s">
        <v>1013</v>
      </c>
      <c r="C206" s="80"/>
      <c r="D206" s="80" t="s">
        <v>1014</v>
      </c>
      <c r="E206" s="80" t="s">
        <v>1015</v>
      </c>
      <c r="F206" s="80" t="s">
        <v>2137</v>
      </c>
      <c r="G206" s="135" t="s">
        <v>1016</v>
      </c>
      <c r="H206" s="81">
        <v>0.4</v>
      </c>
      <c r="I206" s="81">
        <v>-0.05</v>
      </c>
      <c r="J206" s="79" t="s">
        <v>1017</v>
      </c>
      <c r="K206" s="81"/>
      <c r="L206" s="79"/>
      <c r="M206" s="82" t="s">
        <v>1436</v>
      </c>
      <c r="N206" s="82"/>
      <c r="O206" s="82" t="s">
        <v>316</v>
      </c>
      <c r="P206" s="142">
        <v>0.2</v>
      </c>
      <c r="Q206" s="40">
        <f>SUMIF(Data_P!A:A,CONCATENATE(A206,"_",R$1),Data_P!J:J)</f>
        <v>90.9</v>
      </c>
      <c r="R206" s="40"/>
      <c r="S206" s="40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  <c r="BA206" s="40"/>
      <c r="BB206" s="40"/>
      <c r="BC206" s="40"/>
      <c r="BD206" s="40"/>
      <c r="BE206" s="40"/>
      <c r="BF206" s="40"/>
      <c r="BG206" s="40"/>
      <c r="BH206" s="40"/>
      <c r="BI206" s="40"/>
      <c r="BJ206" s="40"/>
      <c r="BK206" s="40"/>
      <c r="BL206" s="40"/>
      <c r="BM206" s="40"/>
      <c r="BN206" s="40"/>
      <c r="BO206" s="40"/>
      <c r="BP206" s="40"/>
      <c r="BQ206" s="40"/>
      <c r="BR206" s="40"/>
      <c r="BS206" s="40"/>
      <c r="BT206" s="40"/>
      <c r="BU206" s="40"/>
      <c r="BV206" s="40"/>
      <c r="BW206" s="40"/>
      <c r="BX206" s="40"/>
      <c r="BY206" s="40"/>
      <c r="BZ206" s="40"/>
      <c r="CA206" s="40"/>
      <c r="CB206" s="40"/>
      <c r="CC206" s="40"/>
      <c r="CD206" s="40"/>
      <c r="CE206" s="40"/>
      <c r="CF206" s="40"/>
      <c r="CG206" s="40"/>
      <c r="CH206" s="40"/>
      <c r="CI206" s="40"/>
      <c r="CJ206" s="40"/>
      <c r="CK206" s="40"/>
      <c r="CL206" s="40"/>
      <c r="CM206" s="40"/>
      <c r="CN206" s="40"/>
      <c r="CO206" s="40"/>
      <c r="CP206" s="40"/>
      <c r="CQ206" s="40"/>
      <c r="CR206" s="40"/>
      <c r="CS206" s="40"/>
      <c r="CT206" s="40"/>
      <c r="CU206" s="40"/>
      <c r="CV206" s="40"/>
      <c r="CW206" s="40"/>
      <c r="CX206" s="40"/>
      <c r="CY206" s="40"/>
      <c r="CZ206" s="40"/>
      <c r="DA206" s="40"/>
      <c r="DB206" s="40"/>
      <c r="DC206" s="40"/>
      <c r="DD206" s="40"/>
      <c r="DE206" s="40"/>
      <c r="DF206" s="40"/>
      <c r="DG206" s="40"/>
      <c r="DH206" s="40"/>
      <c r="DI206" s="40"/>
      <c r="DJ206" s="40"/>
      <c r="DK206" s="40"/>
      <c r="DL206" s="40"/>
      <c r="DM206" s="40"/>
      <c r="DN206" s="40"/>
      <c r="DO206" s="40"/>
      <c r="DP206" s="40"/>
      <c r="DQ206" s="40"/>
      <c r="DR206" s="40"/>
      <c r="DS206" s="40"/>
      <c r="DT206" s="40"/>
      <c r="DU206" s="40"/>
      <c r="DV206" s="40"/>
      <c r="DW206" s="40"/>
      <c r="DX206" s="40"/>
      <c r="DY206" s="40"/>
      <c r="DZ206" s="40"/>
      <c r="EA206" s="40"/>
      <c r="EB206" s="40"/>
      <c r="EC206" s="40"/>
      <c r="ED206" s="40"/>
      <c r="EE206" s="40"/>
      <c r="EF206" s="40"/>
      <c r="EG206" s="40"/>
      <c r="EH206" s="40"/>
      <c r="EI206" s="40"/>
      <c r="EJ206" s="40"/>
      <c r="EK206" s="40"/>
      <c r="EL206" s="40"/>
      <c r="EM206" s="40"/>
      <c r="EN206" s="40"/>
      <c r="EO206" s="40"/>
      <c r="EP206" s="40"/>
      <c r="EQ206" s="40"/>
      <c r="ER206" s="40"/>
      <c r="ES206" s="40"/>
      <c r="ET206" s="40"/>
      <c r="EU206" s="40"/>
      <c r="EV206" s="40"/>
      <c r="EW206" s="40"/>
      <c r="EX206" s="40"/>
      <c r="EY206" s="40"/>
      <c r="EZ206" s="40"/>
      <c r="FA206" s="40"/>
      <c r="FB206" s="40"/>
      <c r="FC206" s="40"/>
      <c r="FD206" s="40"/>
      <c r="FE206" s="40"/>
      <c r="FF206" s="40"/>
      <c r="FG206" s="40"/>
      <c r="FH206" s="40"/>
      <c r="FI206" s="40"/>
      <c r="FJ206" s="40"/>
      <c r="FK206" s="40"/>
      <c r="FL206" s="40"/>
      <c r="FM206" s="40"/>
      <c r="FN206" s="40"/>
      <c r="FO206" s="40"/>
      <c r="FP206" s="40"/>
      <c r="FQ206" s="40"/>
      <c r="FR206" s="40"/>
      <c r="FS206" s="40"/>
      <c r="FT206" s="40"/>
      <c r="FU206" s="40"/>
      <c r="FV206" s="40"/>
      <c r="FW206" s="40"/>
      <c r="FX206" s="40"/>
      <c r="FY206" s="40"/>
      <c r="FZ206" s="40"/>
      <c r="GA206" s="40"/>
      <c r="GB206" s="40"/>
      <c r="GC206" s="40"/>
      <c r="GD206" s="40"/>
      <c r="GE206" s="40"/>
      <c r="GF206" s="40"/>
      <c r="GG206" s="40"/>
      <c r="GH206" s="40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40"/>
      <c r="HR206" s="40"/>
      <c r="HS206" s="40"/>
      <c r="HT206" s="40"/>
      <c r="HU206" s="40"/>
    </row>
    <row r="207" spans="1:229" s="41" customFormat="1" ht="28.8" customHeight="1">
      <c r="A207" s="124" t="s">
        <v>1168</v>
      </c>
      <c r="B207" s="80" t="s">
        <v>1169</v>
      </c>
      <c r="C207" s="80"/>
      <c r="D207" s="80" t="s">
        <v>1170</v>
      </c>
      <c r="E207" s="80" t="s">
        <v>1171</v>
      </c>
      <c r="F207" s="80" t="s">
        <v>2138</v>
      </c>
      <c r="G207" s="135" t="s">
        <v>2139</v>
      </c>
      <c r="H207" s="81">
        <v>0.4</v>
      </c>
      <c r="I207" s="81">
        <v>-0.05</v>
      </c>
      <c r="J207" s="79" t="s">
        <v>399</v>
      </c>
      <c r="K207" s="81"/>
      <c r="L207" s="79"/>
      <c r="M207" s="82"/>
      <c r="N207" s="82"/>
      <c r="O207" s="82" t="s">
        <v>316</v>
      </c>
      <c r="P207" s="142">
        <v>0.2</v>
      </c>
      <c r="Q207" s="40">
        <f>SUMIF(Data_P!A:A,CONCATENATE(A207,"_",R$1),Data_P!J:J)</f>
        <v>0</v>
      </c>
      <c r="R207" s="40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  <c r="BB207" s="40"/>
      <c r="BC207" s="40"/>
      <c r="BD207" s="40"/>
      <c r="BE207" s="40"/>
      <c r="BF207" s="40"/>
      <c r="BG207" s="40"/>
      <c r="BH207" s="40"/>
      <c r="BI207" s="40"/>
      <c r="BJ207" s="40"/>
      <c r="BK207" s="40"/>
      <c r="BL207" s="40"/>
      <c r="BM207" s="40"/>
      <c r="BN207" s="40"/>
      <c r="BO207" s="40"/>
      <c r="BP207" s="40"/>
      <c r="BQ207" s="40"/>
      <c r="BR207" s="40"/>
      <c r="BS207" s="40"/>
      <c r="BT207" s="40"/>
      <c r="BU207" s="40"/>
      <c r="BV207" s="40"/>
      <c r="BW207" s="40"/>
      <c r="BX207" s="40"/>
      <c r="BY207" s="40"/>
      <c r="BZ207" s="40"/>
      <c r="CA207" s="40"/>
      <c r="CB207" s="40"/>
      <c r="CC207" s="40"/>
      <c r="CD207" s="40"/>
      <c r="CE207" s="40"/>
      <c r="CF207" s="40"/>
      <c r="CG207" s="40"/>
      <c r="CH207" s="40"/>
      <c r="CI207" s="40"/>
      <c r="CJ207" s="40"/>
      <c r="CK207" s="40"/>
      <c r="CL207" s="40"/>
      <c r="CM207" s="40"/>
      <c r="CN207" s="40"/>
      <c r="CO207" s="40"/>
      <c r="CP207" s="40"/>
      <c r="CQ207" s="40"/>
      <c r="CR207" s="40"/>
      <c r="CS207" s="40"/>
      <c r="CT207" s="40"/>
      <c r="CU207" s="40"/>
      <c r="CV207" s="40"/>
      <c r="CW207" s="40"/>
      <c r="CX207" s="40"/>
      <c r="CY207" s="40"/>
      <c r="CZ207" s="40"/>
      <c r="DA207" s="40"/>
      <c r="DB207" s="40"/>
      <c r="DC207" s="40"/>
      <c r="DD207" s="40"/>
      <c r="DE207" s="40"/>
      <c r="DF207" s="40"/>
      <c r="DG207" s="40"/>
      <c r="DH207" s="40"/>
      <c r="DI207" s="40"/>
      <c r="DJ207" s="40"/>
      <c r="DK207" s="40"/>
      <c r="DL207" s="40"/>
      <c r="DM207" s="40"/>
      <c r="DN207" s="40"/>
      <c r="DO207" s="40"/>
      <c r="DP207" s="40"/>
      <c r="DQ207" s="40"/>
      <c r="DR207" s="40"/>
      <c r="DS207" s="40"/>
      <c r="DT207" s="40"/>
      <c r="DU207" s="40"/>
      <c r="DV207" s="40"/>
      <c r="DW207" s="40"/>
      <c r="DX207" s="40"/>
      <c r="DY207" s="40"/>
      <c r="DZ207" s="40"/>
      <c r="EA207" s="40"/>
      <c r="EB207" s="40"/>
      <c r="EC207" s="40"/>
      <c r="ED207" s="40"/>
      <c r="EE207" s="40"/>
      <c r="EF207" s="40"/>
      <c r="EG207" s="40"/>
      <c r="EH207" s="40"/>
      <c r="EI207" s="40"/>
      <c r="EJ207" s="40"/>
      <c r="EK207" s="40"/>
      <c r="EL207" s="40"/>
      <c r="EM207" s="40"/>
      <c r="EN207" s="40"/>
      <c r="EO207" s="40"/>
      <c r="EP207" s="40"/>
      <c r="EQ207" s="40"/>
      <c r="ER207" s="40"/>
      <c r="ES207" s="40"/>
      <c r="ET207" s="40"/>
      <c r="EU207" s="40"/>
      <c r="EV207" s="40"/>
      <c r="EW207" s="40"/>
      <c r="EX207" s="40"/>
      <c r="EY207" s="40"/>
      <c r="EZ207" s="40"/>
      <c r="FA207" s="40"/>
      <c r="FB207" s="40"/>
      <c r="FC207" s="40"/>
      <c r="FD207" s="40"/>
      <c r="FE207" s="40"/>
      <c r="FF207" s="40"/>
      <c r="FG207" s="40"/>
      <c r="FH207" s="40"/>
      <c r="FI207" s="40"/>
      <c r="FJ207" s="40"/>
      <c r="FK207" s="40"/>
      <c r="FL207" s="40"/>
      <c r="FM207" s="40"/>
      <c r="FN207" s="40"/>
      <c r="FO207" s="40"/>
      <c r="FP207" s="40"/>
      <c r="FQ207" s="40"/>
      <c r="FR207" s="40"/>
      <c r="FS207" s="40"/>
      <c r="FT207" s="40"/>
      <c r="FU207" s="40"/>
      <c r="FV207" s="40"/>
      <c r="FW207" s="40"/>
      <c r="FX207" s="40"/>
      <c r="FY207" s="40"/>
      <c r="FZ207" s="40"/>
      <c r="GA207" s="40"/>
      <c r="GB207" s="40"/>
      <c r="GC207" s="40"/>
      <c r="GD207" s="40"/>
      <c r="GE207" s="40"/>
      <c r="GF207" s="40"/>
      <c r="GG207" s="40"/>
      <c r="GH207" s="40"/>
      <c r="GI207" s="40"/>
      <c r="GJ207" s="40"/>
      <c r="GK207" s="40"/>
      <c r="GL207" s="40"/>
      <c r="GM207" s="40"/>
      <c r="GN207" s="40"/>
      <c r="GO207" s="40"/>
      <c r="GP207" s="40"/>
      <c r="GQ207" s="40"/>
      <c r="GR207" s="40"/>
      <c r="GS207" s="40"/>
      <c r="GT207" s="40"/>
      <c r="GU207" s="40"/>
      <c r="GV207" s="40"/>
      <c r="GW207" s="40"/>
      <c r="GX207" s="40"/>
      <c r="GY207" s="40"/>
      <c r="GZ207" s="40"/>
      <c r="HA207" s="40"/>
      <c r="HB207" s="40"/>
      <c r="HC207" s="40"/>
      <c r="HD207" s="40"/>
      <c r="HE207" s="40"/>
      <c r="HF207" s="40"/>
      <c r="HG207" s="40"/>
      <c r="HH207" s="40"/>
      <c r="HI207" s="40"/>
      <c r="HJ207" s="40"/>
      <c r="HK207" s="40"/>
      <c r="HL207" s="40"/>
      <c r="HM207" s="40"/>
      <c r="HN207" s="40"/>
      <c r="HO207" s="40"/>
      <c r="HP207" s="40"/>
      <c r="HQ207" s="40"/>
      <c r="HR207" s="40"/>
      <c r="HS207" s="40"/>
      <c r="HT207" s="40"/>
      <c r="HU207" s="40"/>
    </row>
    <row r="208" spans="1:229" s="41" customFormat="1" ht="28.8" customHeight="1">
      <c r="A208" s="124" t="s">
        <v>2140</v>
      </c>
      <c r="B208" s="80" t="s">
        <v>465</v>
      </c>
      <c r="C208" s="80"/>
      <c r="D208" s="80" t="s">
        <v>466</v>
      </c>
      <c r="E208" s="80" t="s">
        <v>467</v>
      </c>
      <c r="F208" s="80" t="s">
        <v>640</v>
      </c>
      <c r="G208" s="135" t="s">
        <v>641</v>
      </c>
      <c r="H208" s="81">
        <v>0.5</v>
      </c>
      <c r="I208" s="81">
        <v>-0.1</v>
      </c>
      <c r="J208" s="79" t="s">
        <v>399</v>
      </c>
      <c r="K208" s="81"/>
      <c r="L208" s="79"/>
      <c r="M208" s="82" t="s">
        <v>468</v>
      </c>
      <c r="N208" s="82" t="s">
        <v>240</v>
      </c>
      <c r="O208" s="82" t="s">
        <v>316</v>
      </c>
      <c r="P208" s="142">
        <v>0.2</v>
      </c>
      <c r="Q208" s="40">
        <f>SUMIF(Data_P!A:A,CONCATENATE(A208,"_",R$1),Data_P!J:J)</f>
        <v>272.2</v>
      </c>
      <c r="R208" s="40"/>
      <c r="S208" s="40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  <c r="BA208" s="40"/>
      <c r="BB208" s="40"/>
      <c r="BC208" s="40"/>
      <c r="BD208" s="40"/>
      <c r="BE208" s="40"/>
      <c r="BF208" s="40"/>
      <c r="BG208" s="40"/>
      <c r="BH208" s="40"/>
      <c r="BI208" s="40"/>
      <c r="BJ208" s="40"/>
      <c r="BK208" s="40"/>
      <c r="BL208" s="40"/>
      <c r="BM208" s="40"/>
      <c r="BN208" s="40"/>
      <c r="BO208" s="40"/>
      <c r="BP208" s="40"/>
      <c r="BQ208" s="40"/>
      <c r="BR208" s="40"/>
      <c r="BS208" s="40"/>
      <c r="BT208" s="40"/>
      <c r="BU208" s="40"/>
      <c r="BV208" s="40"/>
      <c r="BW208" s="40"/>
      <c r="BX208" s="40"/>
      <c r="BY208" s="40"/>
      <c r="BZ208" s="40"/>
      <c r="CA208" s="40"/>
      <c r="CB208" s="40"/>
      <c r="CC208" s="40"/>
      <c r="CD208" s="40"/>
      <c r="CE208" s="40"/>
      <c r="CF208" s="40"/>
      <c r="CG208" s="40"/>
      <c r="CH208" s="40"/>
      <c r="CI208" s="40"/>
      <c r="CJ208" s="40"/>
      <c r="CK208" s="40"/>
      <c r="CL208" s="40"/>
      <c r="CM208" s="40"/>
      <c r="CN208" s="40"/>
      <c r="CO208" s="40"/>
      <c r="CP208" s="40"/>
      <c r="CQ208" s="40"/>
      <c r="CR208" s="40"/>
      <c r="CS208" s="40"/>
      <c r="CT208" s="40"/>
      <c r="CU208" s="40"/>
      <c r="CV208" s="40"/>
      <c r="CW208" s="40"/>
      <c r="CX208" s="40"/>
      <c r="CY208" s="40"/>
      <c r="CZ208" s="40"/>
      <c r="DA208" s="40"/>
      <c r="DB208" s="40"/>
      <c r="DC208" s="40"/>
      <c r="DD208" s="40"/>
      <c r="DE208" s="40"/>
      <c r="DF208" s="40"/>
      <c r="DG208" s="40"/>
      <c r="DH208" s="40"/>
      <c r="DI208" s="40"/>
      <c r="DJ208" s="40"/>
      <c r="DK208" s="40"/>
      <c r="DL208" s="40"/>
      <c r="DM208" s="40"/>
      <c r="DN208" s="40"/>
      <c r="DO208" s="40"/>
      <c r="DP208" s="40"/>
      <c r="DQ208" s="40"/>
      <c r="DR208" s="40"/>
      <c r="DS208" s="40"/>
      <c r="DT208" s="40"/>
      <c r="DU208" s="40"/>
      <c r="DV208" s="40"/>
      <c r="DW208" s="40"/>
      <c r="DX208" s="40"/>
      <c r="DY208" s="40"/>
      <c r="DZ208" s="40"/>
      <c r="EA208" s="40"/>
      <c r="EB208" s="40"/>
      <c r="EC208" s="40"/>
      <c r="ED208" s="40"/>
      <c r="EE208" s="40"/>
      <c r="EF208" s="40"/>
      <c r="EG208" s="40"/>
      <c r="EH208" s="40"/>
      <c r="EI208" s="40"/>
      <c r="EJ208" s="40"/>
      <c r="EK208" s="40"/>
      <c r="EL208" s="40"/>
      <c r="EM208" s="40"/>
      <c r="EN208" s="40"/>
      <c r="EO208" s="40"/>
      <c r="EP208" s="40"/>
      <c r="EQ208" s="40"/>
      <c r="ER208" s="40"/>
      <c r="ES208" s="40"/>
      <c r="ET208" s="40"/>
      <c r="EU208" s="40"/>
      <c r="EV208" s="40"/>
      <c r="EW208" s="40"/>
      <c r="EX208" s="40"/>
      <c r="EY208" s="40"/>
      <c r="EZ208" s="40"/>
      <c r="FA208" s="40"/>
      <c r="FB208" s="40"/>
      <c r="FC208" s="40"/>
      <c r="FD208" s="40"/>
      <c r="FE208" s="40"/>
      <c r="FF208" s="40"/>
      <c r="FG208" s="40"/>
      <c r="FH208" s="40"/>
      <c r="FI208" s="40"/>
      <c r="FJ208" s="40"/>
      <c r="FK208" s="40"/>
      <c r="FL208" s="40"/>
      <c r="FM208" s="40"/>
      <c r="FN208" s="40"/>
      <c r="FO208" s="40"/>
      <c r="FP208" s="40"/>
      <c r="FQ208" s="40"/>
      <c r="FR208" s="40"/>
      <c r="FS208" s="40"/>
      <c r="FT208" s="40"/>
      <c r="FU208" s="40"/>
      <c r="FV208" s="40"/>
      <c r="FW208" s="40"/>
      <c r="FX208" s="40"/>
      <c r="FY208" s="40"/>
      <c r="FZ208" s="40"/>
      <c r="GA208" s="40"/>
      <c r="GB208" s="40"/>
      <c r="GC208" s="40"/>
      <c r="GD208" s="40"/>
      <c r="GE208" s="40"/>
      <c r="GF208" s="40"/>
      <c r="GG208" s="40"/>
      <c r="GH208" s="40"/>
      <c r="GI208" s="40"/>
      <c r="GJ208" s="40"/>
      <c r="GK208" s="40"/>
      <c r="GL208" s="40"/>
      <c r="GM208" s="40"/>
      <c r="GN208" s="40"/>
      <c r="GO208" s="40"/>
      <c r="GP208" s="40"/>
      <c r="GQ208" s="40"/>
      <c r="GR208" s="40"/>
      <c r="GS208" s="40"/>
      <c r="GT208" s="40"/>
      <c r="GU208" s="40"/>
      <c r="GV208" s="40"/>
      <c r="GW208" s="40"/>
      <c r="GX208" s="40"/>
      <c r="GY208" s="40"/>
      <c r="GZ208" s="40"/>
      <c r="HA208" s="40"/>
      <c r="HB208" s="40"/>
      <c r="HC208" s="40"/>
      <c r="HD208" s="40"/>
      <c r="HE208" s="40"/>
      <c r="HF208" s="40"/>
      <c r="HG208" s="40"/>
      <c r="HH208" s="40"/>
      <c r="HI208" s="40"/>
      <c r="HJ208" s="40"/>
      <c r="HK208" s="40"/>
      <c r="HL208" s="40"/>
      <c r="HM208" s="40"/>
      <c r="HN208" s="40"/>
      <c r="HO208" s="40"/>
      <c r="HP208" s="40"/>
      <c r="HQ208" s="40"/>
      <c r="HR208" s="40"/>
      <c r="HS208" s="40"/>
      <c r="HT208" s="40"/>
      <c r="HU208" s="40"/>
    </row>
    <row r="209" spans="1:229" s="41" customFormat="1" ht="28.8" customHeight="1">
      <c r="A209" s="124" t="s">
        <v>1008</v>
      </c>
      <c r="B209" s="80" t="s">
        <v>1009</v>
      </c>
      <c r="C209" s="80"/>
      <c r="D209" s="80" t="s">
        <v>1005</v>
      </c>
      <c r="E209" s="80" t="s">
        <v>1006</v>
      </c>
      <c r="F209" s="80" t="s">
        <v>1007</v>
      </c>
      <c r="G209" s="135" t="s">
        <v>2035</v>
      </c>
      <c r="H209" s="81">
        <v>0.4</v>
      </c>
      <c r="I209" s="81" t="s">
        <v>1010</v>
      </c>
      <c r="J209" s="79" t="s">
        <v>1011</v>
      </c>
      <c r="K209" s="81">
        <v>0.2</v>
      </c>
      <c r="L209" s="79" t="s">
        <v>1012</v>
      </c>
      <c r="M209" s="82" t="s">
        <v>1108</v>
      </c>
      <c r="N209" s="82" t="s">
        <v>373</v>
      </c>
      <c r="O209" s="82" t="s">
        <v>317</v>
      </c>
      <c r="P209" s="142">
        <v>0.2</v>
      </c>
      <c r="Q209" s="40">
        <f>SUMIF(Data_P!A:A,CONCATENATE(A209,"_",R$1),Data_P!J:J)</f>
        <v>861.11</v>
      </c>
      <c r="R209" s="40"/>
      <c r="S209" s="40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0"/>
      <c r="AK209" s="40"/>
      <c r="AL209" s="40"/>
      <c r="AM209" s="40"/>
      <c r="AN209" s="40"/>
      <c r="AO209" s="40"/>
      <c r="AP209" s="40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  <c r="BA209" s="40"/>
      <c r="BB209" s="40"/>
      <c r="BC209" s="40"/>
      <c r="BD209" s="40"/>
      <c r="BE209" s="40"/>
      <c r="BF209" s="40"/>
      <c r="BG209" s="40"/>
      <c r="BH209" s="40"/>
      <c r="BI209" s="40"/>
      <c r="BJ209" s="40"/>
      <c r="BK209" s="40"/>
      <c r="BL209" s="40"/>
      <c r="BM209" s="40"/>
      <c r="BN209" s="40"/>
      <c r="BO209" s="40"/>
      <c r="BP209" s="40"/>
      <c r="BQ209" s="40"/>
      <c r="BR209" s="40"/>
      <c r="BS209" s="40"/>
      <c r="BT209" s="40"/>
      <c r="BU209" s="40"/>
      <c r="BV209" s="40"/>
      <c r="BW209" s="40"/>
      <c r="BX209" s="40"/>
      <c r="BY209" s="40"/>
      <c r="BZ209" s="40"/>
      <c r="CA209" s="40"/>
      <c r="CB209" s="40"/>
      <c r="CC209" s="40"/>
      <c r="CD209" s="40"/>
      <c r="CE209" s="40"/>
      <c r="CF209" s="40"/>
      <c r="CG209" s="40"/>
      <c r="CH209" s="40"/>
      <c r="CI209" s="40"/>
      <c r="CJ209" s="40"/>
      <c r="CK209" s="40"/>
      <c r="CL209" s="40"/>
      <c r="CM209" s="40"/>
      <c r="CN209" s="40"/>
      <c r="CO209" s="40"/>
      <c r="CP209" s="40"/>
      <c r="CQ209" s="40"/>
      <c r="CR209" s="40"/>
      <c r="CS209" s="40"/>
      <c r="CT209" s="40"/>
      <c r="CU209" s="40"/>
      <c r="CV209" s="40"/>
      <c r="CW209" s="40"/>
      <c r="CX209" s="40"/>
      <c r="CY209" s="40"/>
      <c r="CZ209" s="40"/>
      <c r="DA209" s="40"/>
      <c r="DB209" s="40"/>
      <c r="DC209" s="40"/>
      <c r="DD209" s="40"/>
      <c r="DE209" s="40"/>
      <c r="DF209" s="40"/>
      <c r="DG209" s="40"/>
      <c r="DH209" s="40"/>
      <c r="DI209" s="40"/>
      <c r="DJ209" s="40"/>
      <c r="DK209" s="40"/>
      <c r="DL209" s="40"/>
      <c r="DM209" s="40"/>
      <c r="DN209" s="40"/>
      <c r="DO209" s="40"/>
      <c r="DP209" s="40"/>
      <c r="DQ209" s="40"/>
      <c r="DR209" s="40"/>
      <c r="DS209" s="40"/>
      <c r="DT209" s="40"/>
      <c r="DU209" s="40"/>
      <c r="DV209" s="40"/>
      <c r="DW209" s="40"/>
      <c r="DX209" s="40"/>
      <c r="DY209" s="40"/>
      <c r="DZ209" s="40"/>
      <c r="EA209" s="40"/>
      <c r="EB209" s="40"/>
      <c r="EC209" s="40"/>
      <c r="ED209" s="40"/>
      <c r="EE209" s="40"/>
      <c r="EF209" s="40"/>
      <c r="EG209" s="40"/>
      <c r="EH209" s="40"/>
      <c r="EI209" s="40"/>
      <c r="EJ209" s="40"/>
      <c r="EK209" s="40"/>
      <c r="EL209" s="40"/>
      <c r="EM209" s="40"/>
      <c r="EN209" s="40"/>
      <c r="EO209" s="40"/>
      <c r="EP209" s="40"/>
      <c r="EQ209" s="40"/>
      <c r="ER209" s="40"/>
      <c r="ES209" s="40"/>
      <c r="ET209" s="40"/>
      <c r="EU209" s="40"/>
      <c r="EV209" s="40"/>
      <c r="EW209" s="40"/>
      <c r="EX209" s="40"/>
      <c r="EY209" s="40"/>
      <c r="EZ209" s="40"/>
      <c r="FA209" s="40"/>
      <c r="FB209" s="40"/>
      <c r="FC209" s="40"/>
      <c r="FD209" s="40"/>
      <c r="FE209" s="40"/>
      <c r="FF209" s="40"/>
      <c r="FG209" s="40"/>
      <c r="FH209" s="40"/>
      <c r="FI209" s="40"/>
      <c r="FJ209" s="40"/>
      <c r="FK209" s="40"/>
      <c r="FL209" s="40"/>
      <c r="FM209" s="40"/>
      <c r="FN209" s="40"/>
      <c r="FO209" s="40"/>
      <c r="FP209" s="40"/>
      <c r="FQ209" s="40"/>
      <c r="FR209" s="40"/>
      <c r="FS209" s="40"/>
      <c r="FT209" s="40"/>
      <c r="FU209" s="40"/>
      <c r="FV209" s="40"/>
      <c r="FW209" s="40"/>
      <c r="FX209" s="40"/>
      <c r="FY209" s="40"/>
      <c r="FZ209" s="40"/>
      <c r="GA209" s="40"/>
      <c r="GB209" s="40"/>
      <c r="GC209" s="40"/>
      <c r="GD209" s="40"/>
      <c r="GE209" s="40"/>
      <c r="GF209" s="40"/>
      <c r="GG209" s="40"/>
      <c r="GH209" s="40"/>
      <c r="GI209" s="40"/>
      <c r="GJ209" s="40"/>
      <c r="GK209" s="40"/>
      <c r="GL209" s="40"/>
      <c r="GM209" s="40"/>
      <c r="GN209" s="40"/>
      <c r="GO209" s="40"/>
      <c r="GP209" s="40"/>
      <c r="GQ209" s="40"/>
      <c r="GR209" s="40"/>
      <c r="GS209" s="40"/>
      <c r="GT209" s="40"/>
      <c r="GU209" s="40"/>
      <c r="GV209" s="40"/>
      <c r="GW209" s="40"/>
      <c r="GX209" s="40"/>
      <c r="GY209" s="40"/>
      <c r="GZ209" s="40"/>
      <c r="HA209" s="40"/>
      <c r="HB209" s="40"/>
      <c r="HC209" s="40"/>
      <c r="HD209" s="40"/>
      <c r="HE209" s="40"/>
      <c r="HF209" s="40"/>
      <c r="HG209" s="40"/>
      <c r="HH209" s="40"/>
      <c r="HI209" s="40"/>
      <c r="HJ209" s="40"/>
      <c r="HK209" s="40"/>
      <c r="HL209" s="40"/>
      <c r="HM209" s="40"/>
      <c r="HN209" s="40"/>
      <c r="HO209" s="40"/>
      <c r="HP209" s="40"/>
      <c r="HQ209" s="40"/>
      <c r="HR209" s="40"/>
      <c r="HS209" s="40"/>
      <c r="HT209" s="40"/>
      <c r="HU209" s="40"/>
    </row>
    <row r="210" spans="1:229" s="41" customFormat="1" ht="28.8" customHeight="1">
      <c r="A210" s="124" t="s">
        <v>1287</v>
      </c>
      <c r="B210" s="80" t="s">
        <v>1027</v>
      </c>
      <c r="C210" s="80" t="s">
        <v>2141</v>
      </c>
      <c r="D210" s="80" t="s">
        <v>1325</v>
      </c>
      <c r="E210" s="80" t="s">
        <v>1028</v>
      </c>
      <c r="F210" s="80" t="s">
        <v>1029</v>
      </c>
      <c r="G210" s="135" t="s">
        <v>1030</v>
      </c>
      <c r="H210" s="81">
        <v>0.4</v>
      </c>
      <c r="I210" s="81"/>
      <c r="J210" s="79"/>
      <c r="K210" s="81"/>
      <c r="L210" s="79"/>
      <c r="M210" s="82" t="s">
        <v>1079</v>
      </c>
      <c r="N210" s="82" t="s">
        <v>1080</v>
      </c>
      <c r="O210" s="82" t="s">
        <v>317</v>
      </c>
      <c r="P210" s="142">
        <v>0.2</v>
      </c>
      <c r="Q210" s="40">
        <f>SUMIF(Data_P!A:A,CONCATENATE(A210,"_",R$1),Data_P!J:J)</f>
        <v>1159.75</v>
      </c>
      <c r="R210" s="40"/>
      <c r="S210" s="40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  <c r="BA210" s="40"/>
      <c r="BB210" s="40"/>
      <c r="BC210" s="40"/>
      <c r="BD210" s="40"/>
      <c r="BE210" s="40"/>
      <c r="BF210" s="40"/>
      <c r="BG210" s="40"/>
      <c r="BH210" s="40"/>
      <c r="BI210" s="40"/>
      <c r="BJ210" s="40"/>
      <c r="BK210" s="40"/>
      <c r="BL210" s="40"/>
      <c r="BM210" s="40"/>
      <c r="BN210" s="40"/>
      <c r="BO210" s="40"/>
      <c r="BP210" s="40"/>
      <c r="BQ210" s="40"/>
      <c r="BR210" s="40"/>
      <c r="BS210" s="40"/>
      <c r="BT210" s="40"/>
      <c r="BU210" s="40"/>
      <c r="BV210" s="40"/>
      <c r="BW210" s="40"/>
      <c r="BX210" s="40"/>
      <c r="BY210" s="40"/>
      <c r="BZ210" s="40"/>
      <c r="CA210" s="40"/>
      <c r="CB210" s="40"/>
      <c r="CC210" s="40"/>
      <c r="CD210" s="40"/>
      <c r="CE210" s="40"/>
      <c r="CF210" s="40"/>
      <c r="CG210" s="40"/>
      <c r="CH210" s="40"/>
      <c r="CI210" s="40"/>
      <c r="CJ210" s="40"/>
      <c r="CK210" s="40"/>
      <c r="CL210" s="40"/>
      <c r="CM210" s="40"/>
      <c r="CN210" s="40"/>
      <c r="CO210" s="40"/>
      <c r="CP210" s="40"/>
      <c r="CQ210" s="40"/>
      <c r="CR210" s="40"/>
      <c r="CS210" s="40"/>
      <c r="CT210" s="40"/>
      <c r="CU210" s="40"/>
      <c r="CV210" s="40"/>
      <c r="CW210" s="40"/>
      <c r="CX210" s="40"/>
      <c r="CY210" s="40"/>
      <c r="CZ210" s="40"/>
      <c r="DA210" s="40"/>
      <c r="DB210" s="40"/>
      <c r="DC210" s="40"/>
      <c r="DD210" s="40"/>
      <c r="DE210" s="40"/>
      <c r="DF210" s="40"/>
      <c r="DG210" s="40"/>
      <c r="DH210" s="40"/>
      <c r="DI210" s="40"/>
      <c r="DJ210" s="40"/>
      <c r="DK210" s="40"/>
      <c r="DL210" s="40"/>
      <c r="DM210" s="40"/>
      <c r="DN210" s="40"/>
      <c r="DO210" s="40"/>
      <c r="DP210" s="40"/>
      <c r="DQ210" s="40"/>
      <c r="DR210" s="40"/>
      <c r="DS210" s="40"/>
      <c r="DT210" s="40"/>
      <c r="DU210" s="40"/>
      <c r="DV210" s="40"/>
      <c r="DW210" s="40"/>
      <c r="DX210" s="40"/>
      <c r="DY210" s="40"/>
      <c r="DZ210" s="40"/>
      <c r="EA210" s="40"/>
      <c r="EB210" s="40"/>
      <c r="EC210" s="40"/>
      <c r="ED210" s="40"/>
      <c r="EE210" s="40"/>
      <c r="EF210" s="40"/>
      <c r="EG210" s="40"/>
      <c r="EH210" s="40"/>
      <c r="EI210" s="40"/>
      <c r="EJ210" s="40"/>
      <c r="EK210" s="40"/>
      <c r="EL210" s="40"/>
      <c r="EM210" s="40"/>
      <c r="EN210" s="40"/>
      <c r="EO210" s="40"/>
      <c r="EP210" s="40"/>
      <c r="EQ210" s="40"/>
      <c r="ER210" s="40"/>
      <c r="ES210" s="40"/>
      <c r="ET210" s="40"/>
      <c r="EU210" s="40"/>
      <c r="EV210" s="40"/>
      <c r="EW210" s="40"/>
      <c r="EX210" s="40"/>
      <c r="EY210" s="40"/>
      <c r="EZ210" s="40"/>
      <c r="FA210" s="40"/>
      <c r="FB210" s="40"/>
      <c r="FC210" s="40"/>
      <c r="FD210" s="40"/>
      <c r="FE210" s="40"/>
      <c r="FF210" s="40"/>
      <c r="FG210" s="40"/>
      <c r="FH210" s="40"/>
      <c r="FI210" s="40"/>
      <c r="FJ210" s="40"/>
      <c r="FK210" s="40"/>
      <c r="FL210" s="40"/>
      <c r="FM210" s="40"/>
      <c r="FN210" s="40"/>
      <c r="FO210" s="40"/>
      <c r="FP210" s="40"/>
      <c r="FQ210" s="40"/>
      <c r="FR210" s="40"/>
      <c r="FS210" s="40"/>
      <c r="FT210" s="40"/>
      <c r="FU210" s="40"/>
      <c r="FV210" s="40"/>
      <c r="FW210" s="40"/>
      <c r="FX210" s="40"/>
      <c r="FY210" s="40"/>
      <c r="FZ210" s="40"/>
      <c r="GA210" s="40"/>
      <c r="GB210" s="40"/>
      <c r="GC210" s="40"/>
      <c r="GD210" s="40"/>
      <c r="GE210" s="40"/>
      <c r="GF210" s="40"/>
      <c r="GG210" s="40"/>
      <c r="GH210" s="40"/>
      <c r="GI210" s="40"/>
      <c r="GJ210" s="40"/>
      <c r="GK210" s="40"/>
      <c r="GL210" s="40"/>
      <c r="GM210" s="40"/>
      <c r="GN210" s="40"/>
      <c r="GO210" s="40"/>
      <c r="GP210" s="40"/>
      <c r="GQ210" s="40"/>
      <c r="GR210" s="40"/>
      <c r="GS210" s="40"/>
      <c r="GT210" s="40"/>
      <c r="GU210" s="40"/>
      <c r="GV210" s="40"/>
      <c r="GW210" s="40"/>
      <c r="GX210" s="40"/>
      <c r="GY210" s="40"/>
      <c r="GZ210" s="40"/>
      <c r="HA210" s="40"/>
      <c r="HB210" s="40"/>
      <c r="HC210" s="40"/>
      <c r="HD210" s="40"/>
      <c r="HE210" s="40"/>
      <c r="HF210" s="40"/>
      <c r="HG210" s="40"/>
      <c r="HH210" s="40"/>
      <c r="HI210" s="40"/>
      <c r="HJ210" s="40"/>
      <c r="HK210" s="40"/>
      <c r="HL210" s="40"/>
      <c r="HM210" s="40"/>
      <c r="HN210" s="40"/>
      <c r="HO210" s="40"/>
      <c r="HP210" s="40"/>
      <c r="HQ210" s="40"/>
      <c r="HR210" s="40"/>
      <c r="HS210" s="40"/>
      <c r="HT210" s="40"/>
      <c r="HU210" s="40"/>
    </row>
    <row r="211" spans="1:229" s="41" customFormat="1" ht="28.8" hidden="1" customHeight="1">
      <c r="A211" s="124"/>
      <c r="B211" s="80"/>
      <c r="C211" s="80"/>
      <c r="D211" s="80"/>
      <c r="E211" s="80"/>
      <c r="F211" s="80"/>
      <c r="G211" s="135"/>
      <c r="H211" s="81"/>
      <c r="I211" s="81"/>
      <c r="J211" s="79"/>
      <c r="K211" s="81"/>
      <c r="L211" s="79"/>
      <c r="M211" s="82"/>
      <c r="N211" s="82"/>
      <c r="O211" s="82"/>
      <c r="P211" s="12"/>
      <c r="Q211" s="40"/>
      <c r="R211" s="40"/>
      <c r="S211" s="40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  <c r="BA211" s="40"/>
      <c r="BB211" s="40"/>
      <c r="BC211" s="40"/>
      <c r="BD211" s="40"/>
      <c r="BE211" s="40"/>
      <c r="BF211" s="40"/>
      <c r="BG211" s="40"/>
      <c r="BH211" s="40"/>
      <c r="BI211" s="40"/>
      <c r="BJ211" s="40"/>
      <c r="BK211" s="40"/>
      <c r="BL211" s="40"/>
      <c r="BM211" s="40"/>
      <c r="BN211" s="40"/>
      <c r="BO211" s="40"/>
      <c r="BP211" s="40"/>
      <c r="BQ211" s="40"/>
      <c r="BR211" s="40"/>
      <c r="BS211" s="40"/>
      <c r="BT211" s="40"/>
      <c r="BU211" s="40"/>
      <c r="BV211" s="40"/>
      <c r="BW211" s="40"/>
      <c r="BX211" s="40"/>
      <c r="BY211" s="40"/>
      <c r="BZ211" s="40"/>
      <c r="CA211" s="40"/>
      <c r="CB211" s="40"/>
      <c r="CC211" s="40"/>
      <c r="CD211" s="40"/>
      <c r="CE211" s="40"/>
      <c r="CF211" s="40"/>
      <c r="CG211" s="40"/>
      <c r="CH211" s="40"/>
      <c r="CI211" s="40"/>
      <c r="CJ211" s="40"/>
      <c r="CK211" s="40"/>
      <c r="CL211" s="40"/>
      <c r="CM211" s="40"/>
      <c r="CN211" s="40"/>
      <c r="CO211" s="40"/>
      <c r="CP211" s="40"/>
      <c r="CQ211" s="40"/>
      <c r="CR211" s="40"/>
      <c r="CS211" s="40"/>
      <c r="CT211" s="40"/>
      <c r="CU211" s="40"/>
      <c r="CV211" s="40"/>
      <c r="CW211" s="40"/>
      <c r="CX211" s="40"/>
      <c r="CY211" s="40"/>
      <c r="CZ211" s="40"/>
      <c r="DA211" s="40"/>
      <c r="DB211" s="40"/>
      <c r="DC211" s="40"/>
      <c r="DD211" s="40"/>
      <c r="DE211" s="40"/>
      <c r="DF211" s="40"/>
      <c r="DG211" s="40"/>
      <c r="DH211" s="40"/>
      <c r="DI211" s="40"/>
      <c r="DJ211" s="40"/>
      <c r="DK211" s="40"/>
      <c r="DL211" s="40"/>
      <c r="DM211" s="40"/>
      <c r="DN211" s="40"/>
      <c r="DO211" s="40"/>
      <c r="DP211" s="40"/>
      <c r="DQ211" s="40"/>
      <c r="DR211" s="40"/>
      <c r="DS211" s="40"/>
      <c r="DT211" s="40"/>
      <c r="DU211" s="40"/>
      <c r="DV211" s="40"/>
      <c r="DW211" s="40"/>
      <c r="DX211" s="40"/>
      <c r="DY211" s="40"/>
      <c r="DZ211" s="40"/>
      <c r="EA211" s="40"/>
      <c r="EB211" s="40"/>
      <c r="EC211" s="40"/>
      <c r="ED211" s="40"/>
      <c r="EE211" s="40"/>
      <c r="EF211" s="40"/>
      <c r="EG211" s="40"/>
      <c r="EH211" s="40"/>
      <c r="EI211" s="40"/>
      <c r="EJ211" s="40"/>
      <c r="EK211" s="40"/>
      <c r="EL211" s="40"/>
      <c r="EM211" s="40"/>
      <c r="EN211" s="40"/>
      <c r="EO211" s="40"/>
      <c r="EP211" s="40"/>
      <c r="EQ211" s="40"/>
      <c r="ER211" s="40"/>
      <c r="ES211" s="40"/>
      <c r="ET211" s="40"/>
      <c r="EU211" s="40"/>
      <c r="EV211" s="40"/>
      <c r="EW211" s="40"/>
      <c r="EX211" s="40"/>
      <c r="EY211" s="40"/>
      <c r="EZ211" s="40"/>
      <c r="FA211" s="40"/>
      <c r="FB211" s="40"/>
      <c r="FC211" s="40"/>
      <c r="FD211" s="40"/>
      <c r="FE211" s="40"/>
      <c r="FF211" s="40"/>
      <c r="FG211" s="40"/>
      <c r="FH211" s="40"/>
      <c r="FI211" s="40"/>
      <c r="FJ211" s="40"/>
      <c r="FK211" s="40"/>
      <c r="FL211" s="40"/>
      <c r="FM211" s="40"/>
      <c r="FN211" s="40"/>
      <c r="FO211" s="40"/>
      <c r="FP211" s="40"/>
      <c r="FQ211" s="40"/>
      <c r="FR211" s="40"/>
      <c r="FS211" s="40"/>
      <c r="FT211" s="40"/>
      <c r="FU211" s="40"/>
      <c r="FV211" s="40"/>
      <c r="FW211" s="40"/>
      <c r="FX211" s="40"/>
      <c r="FY211" s="40"/>
      <c r="FZ211" s="40"/>
      <c r="GA211" s="40"/>
      <c r="GB211" s="40"/>
      <c r="GC211" s="40"/>
      <c r="GD211" s="40"/>
      <c r="GE211" s="40"/>
      <c r="GF211" s="40"/>
      <c r="GG211" s="40"/>
      <c r="GH211" s="40"/>
      <c r="GI211" s="40"/>
      <c r="GJ211" s="40"/>
      <c r="GK211" s="40"/>
      <c r="GL211" s="40"/>
      <c r="GM211" s="40"/>
      <c r="GN211" s="40"/>
      <c r="GO211" s="40"/>
      <c r="GP211" s="40"/>
      <c r="GQ211" s="40"/>
      <c r="GR211" s="40"/>
      <c r="GS211" s="40"/>
      <c r="GT211" s="40"/>
      <c r="GU211" s="40"/>
      <c r="GV211" s="40"/>
      <c r="GW211" s="40"/>
      <c r="GX211" s="40"/>
      <c r="GY211" s="40"/>
      <c r="GZ211" s="40"/>
      <c r="HA211" s="40"/>
      <c r="HB211" s="40"/>
      <c r="HC211" s="40"/>
      <c r="HD211" s="40"/>
      <c r="HE211" s="40"/>
      <c r="HF211" s="40"/>
      <c r="HG211" s="40"/>
      <c r="HH211" s="40"/>
      <c r="HI211" s="40"/>
      <c r="HJ211" s="40"/>
      <c r="HK211" s="40"/>
      <c r="HL211" s="40"/>
      <c r="HM211" s="40"/>
      <c r="HN211" s="40"/>
      <c r="HO211" s="40"/>
      <c r="HP211" s="40"/>
      <c r="HQ211" s="40"/>
      <c r="HR211" s="40"/>
      <c r="HS211" s="40"/>
      <c r="HT211" s="40"/>
      <c r="HU211" s="40"/>
    </row>
    <row r="212" spans="1:229" s="41" customFormat="1" ht="28.8" hidden="1" customHeight="1">
      <c r="A212" s="124"/>
      <c r="B212" s="80"/>
      <c r="C212" s="80"/>
      <c r="D212" s="80"/>
      <c r="E212" s="80"/>
      <c r="F212" s="80"/>
      <c r="G212" s="135"/>
      <c r="H212" s="81"/>
      <c r="I212" s="81"/>
      <c r="J212" s="79"/>
      <c r="K212" s="81"/>
      <c r="L212" s="79"/>
      <c r="M212" s="82"/>
      <c r="N212" s="82"/>
      <c r="O212" s="82"/>
      <c r="P212" s="12"/>
      <c r="Q212" s="40"/>
      <c r="R212" s="40"/>
      <c r="S212" s="40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  <c r="BA212" s="40"/>
      <c r="BB212" s="40"/>
      <c r="BC212" s="40"/>
      <c r="BD212" s="40"/>
      <c r="BE212" s="40"/>
      <c r="BF212" s="40"/>
      <c r="BG212" s="40"/>
      <c r="BH212" s="40"/>
      <c r="BI212" s="40"/>
      <c r="BJ212" s="40"/>
      <c r="BK212" s="40"/>
      <c r="BL212" s="40"/>
      <c r="BM212" s="40"/>
      <c r="BN212" s="40"/>
      <c r="BO212" s="40"/>
      <c r="BP212" s="40"/>
      <c r="BQ212" s="40"/>
      <c r="BR212" s="40"/>
      <c r="BS212" s="40"/>
      <c r="BT212" s="40"/>
      <c r="BU212" s="40"/>
      <c r="BV212" s="40"/>
      <c r="BW212" s="40"/>
      <c r="BX212" s="40"/>
      <c r="BY212" s="40"/>
      <c r="BZ212" s="40"/>
      <c r="CA212" s="40"/>
      <c r="CB212" s="40"/>
      <c r="CC212" s="40"/>
      <c r="CD212" s="40"/>
      <c r="CE212" s="40"/>
      <c r="CF212" s="40"/>
      <c r="CG212" s="40"/>
      <c r="CH212" s="40"/>
      <c r="CI212" s="40"/>
      <c r="CJ212" s="40"/>
      <c r="CK212" s="40"/>
      <c r="CL212" s="40"/>
      <c r="CM212" s="40"/>
      <c r="CN212" s="40"/>
      <c r="CO212" s="40"/>
      <c r="CP212" s="40"/>
      <c r="CQ212" s="40"/>
      <c r="CR212" s="40"/>
      <c r="CS212" s="40"/>
      <c r="CT212" s="40"/>
      <c r="CU212" s="40"/>
      <c r="CV212" s="40"/>
      <c r="CW212" s="40"/>
      <c r="CX212" s="40"/>
      <c r="CY212" s="40"/>
      <c r="CZ212" s="40"/>
      <c r="DA212" s="40"/>
      <c r="DB212" s="40"/>
      <c r="DC212" s="40"/>
      <c r="DD212" s="40"/>
      <c r="DE212" s="40"/>
      <c r="DF212" s="40"/>
      <c r="DG212" s="40"/>
      <c r="DH212" s="40"/>
      <c r="DI212" s="40"/>
      <c r="DJ212" s="40"/>
      <c r="DK212" s="40"/>
      <c r="DL212" s="40"/>
      <c r="DM212" s="40"/>
      <c r="DN212" s="40"/>
      <c r="DO212" s="40"/>
      <c r="DP212" s="40"/>
      <c r="DQ212" s="40"/>
      <c r="DR212" s="40"/>
      <c r="DS212" s="40"/>
      <c r="DT212" s="40"/>
      <c r="DU212" s="40"/>
      <c r="DV212" s="40"/>
      <c r="DW212" s="40"/>
      <c r="DX212" s="40"/>
      <c r="DY212" s="40"/>
      <c r="DZ212" s="40"/>
      <c r="EA212" s="40"/>
      <c r="EB212" s="40"/>
      <c r="EC212" s="40"/>
      <c r="ED212" s="40"/>
      <c r="EE212" s="40"/>
      <c r="EF212" s="40"/>
      <c r="EG212" s="40"/>
      <c r="EH212" s="40"/>
      <c r="EI212" s="40"/>
      <c r="EJ212" s="40"/>
      <c r="EK212" s="40"/>
      <c r="EL212" s="40"/>
      <c r="EM212" s="40"/>
      <c r="EN212" s="40"/>
      <c r="EO212" s="40"/>
      <c r="EP212" s="40"/>
      <c r="EQ212" s="40"/>
      <c r="ER212" s="40"/>
      <c r="ES212" s="40"/>
      <c r="ET212" s="40"/>
      <c r="EU212" s="40"/>
      <c r="EV212" s="40"/>
      <c r="EW212" s="40"/>
      <c r="EX212" s="40"/>
      <c r="EY212" s="40"/>
      <c r="EZ212" s="40"/>
      <c r="FA212" s="40"/>
      <c r="FB212" s="40"/>
      <c r="FC212" s="40"/>
      <c r="FD212" s="40"/>
      <c r="FE212" s="40"/>
      <c r="FF212" s="40"/>
      <c r="FG212" s="40"/>
      <c r="FH212" s="40"/>
      <c r="FI212" s="40"/>
      <c r="FJ212" s="40"/>
      <c r="FK212" s="40"/>
      <c r="FL212" s="40"/>
      <c r="FM212" s="40"/>
      <c r="FN212" s="40"/>
      <c r="FO212" s="40"/>
      <c r="FP212" s="40"/>
      <c r="FQ212" s="40"/>
      <c r="FR212" s="40"/>
      <c r="FS212" s="40"/>
      <c r="FT212" s="40"/>
      <c r="FU212" s="40"/>
      <c r="FV212" s="40"/>
      <c r="FW212" s="40"/>
      <c r="FX212" s="40"/>
      <c r="FY212" s="40"/>
      <c r="FZ212" s="40"/>
      <c r="GA212" s="40"/>
      <c r="GB212" s="40"/>
      <c r="GC212" s="40"/>
      <c r="GD212" s="40"/>
      <c r="GE212" s="40"/>
      <c r="GF212" s="40"/>
      <c r="GG212" s="40"/>
      <c r="GH212" s="40"/>
      <c r="GI212" s="40"/>
      <c r="GJ212" s="40"/>
      <c r="GK212" s="40"/>
      <c r="GL212" s="40"/>
      <c r="GM212" s="40"/>
      <c r="GN212" s="40"/>
      <c r="GO212" s="40"/>
      <c r="GP212" s="40"/>
      <c r="GQ212" s="40"/>
      <c r="GR212" s="40"/>
      <c r="GS212" s="40"/>
      <c r="GT212" s="40"/>
      <c r="GU212" s="40"/>
      <c r="GV212" s="40"/>
      <c r="GW212" s="40"/>
      <c r="GX212" s="40"/>
      <c r="GY212" s="40"/>
      <c r="GZ212" s="40"/>
      <c r="HA212" s="40"/>
      <c r="HB212" s="40"/>
      <c r="HC212" s="40"/>
      <c r="HD212" s="40"/>
      <c r="HE212" s="40"/>
      <c r="HF212" s="40"/>
      <c r="HG212" s="40"/>
      <c r="HH212" s="40"/>
      <c r="HI212" s="40"/>
      <c r="HJ212" s="40"/>
      <c r="HK212" s="40"/>
      <c r="HL212" s="40"/>
      <c r="HM212" s="40"/>
      <c r="HN212" s="40"/>
      <c r="HO212" s="40"/>
      <c r="HP212" s="40"/>
      <c r="HQ212" s="40"/>
      <c r="HR212" s="40"/>
      <c r="HS212" s="40"/>
      <c r="HT212" s="40"/>
      <c r="HU212" s="40"/>
    </row>
    <row r="213" spans="1:229" s="41" customFormat="1" ht="28.8" hidden="1" customHeight="1">
      <c r="A213" s="124"/>
      <c r="B213" s="80"/>
      <c r="C213" s="80"/>
      <c r="D213" s="80"/>
      <c r="E213" s="80"/>
      <c r="F213" s="80"/>
      <c r="G213" s="135"/>
      <c r="H213" s="81"/>
      <c r="I213" s="81"/>
      <c r="J213" s="79"/>
      <c r="K213" s="81"/>
      <c r="L213" s="79"/>
      <c r="M213" s="82"/>
      <c r="N213" s="82"/>
      <c r="O213" s="82"/>
      <c r="P213" s="12"/>
      <c r="Q213" s="40"/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  <c r="BA213" s="40"/>
      <c r="BB213" s="40"/>
      <c r="BC213" s="40"/>
      <c r="BD213" s="40"/>
      <c r="BE213" s="40"/>
      <c r="BF213" s="40"/>
      <c r="BG213" s="40"/>
      <c r="BH213" s="40"/>
      <c r="BI213" s="40"/>
      <c r="BJ213" s="40"/>
      <c r="BK213" s="40"/>
      <c r="BL213" s="40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  <c r="BW213" s="40"/>
      <c r="BX213" s="40"/>
      <c r="BY213" s="40"/>
      <c r="BZ213" s="40"/>
      <c r="CA213" s="40"/>
      <c r="CB213" s="40"/>
      <c r="CC213" s="40"/>
      <c r="CD213" s="40"/>
      <c r="CE213" s="40"/>
      <c r="CF213" s="40"/>
      <c r="CG213" s="40"/>
      <c r="CH213" s="40"/>
      <c r="CI213" s="40"/>
      <c r="CJ213" s="40"/>
      <c r="CK213" s="40"/>
      <c r="CL213" s="40"/>
      <c r="CM213" s="40"/>
      <c r="CN213" s="40"/>
      <c r="CO213" s="40"/>
      <c r="CP213" s="40"/>
      <c r="CQ213" s="40"/>
      <c r="CR213" s="40"/>
      <c r="CS213" s="40"/>
      <c r="CT213" s="40"/>
      <c r="CU213" s="40"/>
      <c r="CV213" s="40"/>
      <c r="CW213" s="40"/>
      <c r="CX213" s="40"/>
      <c r="CY213" s="40"/>
      <c r="CZ213" s="40"/>
      <c r="DA213" s="40"/>
      <c r="DB213" s="40"/>
      <c r="DC213" s="40"/>
      <c r="DD213" s="40"/>
      <c r="DE213" s="40"/>
      <c r="DF213" s="40"/>
      <c r="DG213" s="40"/>
      <c r="DH213" s="40"/>
      <c r="DI213" s="40"/>
      <c r="DJ213" s="40"/>
      <c r="DK213" s="40"/>
      <c r="DL213" s="40"/>
      <c r="DM213" s="40"/>
      <c r="DN213" s="40"/>
      <c r="DO213" s="40"/>
      <c r="DP213" s="40"/>
      <c r="DQ213" s="40"/>
      <c r="DR213" s="40"/>
      <c r="DS213" s="40"/>
      <c r="DT213" s="40"/>
      <c r="DU213" s="40"/>
      <c r="DV213" s="40"/>
      <c r="DW213" s="40"/>
      <c r="DX213" s="40"/>
      <c r="DY213" s="40"/>
      <c r="DZ213" s="40"/>
      <c r="EA213" s="40"/>
      <c r="EB213" s="40"/>
      <c r="EC213" s="40"/>
      <c r="ED213" s="40"/>
      <c r="EE213" s="40"/>
      <c r="EF213" s="40"/>
      <c r="EG213" s="40"/>
      <c r="EH213" s="40"/>
      <c r="EI213" s="40"/>
      <c r="EJ213" s="40"/>
      <c r="EK213" s="40"/>
      <c r="EL213" s="40"/>
      <c r="EM213" s="40"/>
      <c r="EN213" s="40"/>
      <c r="EO213" s="40"/>
      <c r="EP213" s="40"/>
      <c r="EQ213" s="40"/>
      <c r="ER213" s="40"/>
      <c r="ES213" s="40"/>
      <c r="ET213" s="40"/>
      <c r="EU213" s="40"/>
      <c r="EV213" s="40"/>
      <c r="EW213" s="40"/>
      <c r="EX213" s="40"/>
      <c r="EY213" s="40"/>
      <c r="EZ213" s="40"/>
      <c r="FA213" s="40"/>
      <c r="FB213" s="40"/>
      <c r="FC213" s="40"/>
      <c r="FD213" s="40"/>
      <c r="FE213" s="40"/>
      <c r="FF213" s="40"/>
      <c r="FG213" s="40"/>
      <c r="FH213" s="40"/>
      <c r="FI213" s="40"/>
      <c r="FJ213" s="40"/>
      <c r="FK213" s="40"/>
      <c r="FL213" s="40"/>
      <c r="FM213" s="40"/>
      <c r="FN213" s="40"/>
      <c r="FO213" s="40"/>
      <c r="FP213" s="40"/>
      <c r="FQ213" s="40"/>
      <c r="FR213" s="40"/>
      <c r="FS213" s="40"/>
      <c r="FT213" s="40"/>
      <c r="FU213" s="40"/>
      <c r="FV213" s="40"/>
      <c r="FW213" s="40"/>
      <c r="FX213" s="40"/>
      <c r="FY213" s="40"/>
      <c r="FZ213" s="40"/>
      <c r="GA213" s="40"/>
      <c r="GB213" s="40"/>
      <c r="GC213" s="40"/>
      <c r="GD213" s="40"/>
      <c r="GE213" s="40"/>
      <c r="GF213" s="40"/>
      <c r="GG213" s="40"/>
      <c r="GH213" s="40"/>
      <c r="GI213" s="40"/>
      <c r="GJ213" s="40"/>
      <c r="GK213" s="40"/>
      <c r="GL213" s="40"/>
      <c r="GM213" s="40"/>
      <c r="GN213" s="40"/>
      <c r="GO213" s="40"/>
      <c r="GP213" s="40"/>
      <c r="GQ213" s="40"/>
      <c r="GR213" s="40"/>
      <c r="GS213" s="40"/>
      <c r="GT213" s="40"/>
      <c r="GU213" s="40"/>
      <c r="GV213" s="40"/>
      <c r="GW213" s="40"/>
      <c r="GX213" s="40"/>
      <c r="GY213" s="40"/>
      <c r="GZ213" s="40"/>
      <c r="HA213" s="40"/>
      <c r="HB213" s="40"/>
      <c r="HC213" s="40"/>
      <c r="HD213" s="40"/>
      <c r="HE213" s="40"/>
      <c r="HF213" s="40"/>
      <c r="HG213" s="40"/>
      <c r="HH213" s="40"/>
      <c r="HI213" s="40"/>
      <c r="HJ213" s="40"/>
      <c r="HK213" s="40"/>
      <c r="HL213" s="40"/>
      <c r="HM213" s="40"/>
      <c r="HN213" s="40"/>
      <c r="HO213" s="40"/>
      <c r="HP213" s="40"/>
      <c r="HQ213" s="40"/>
      <c r="HR213" s="40"/>
      <c r="HS213" s="40"/>
      <c r="HT213" s="40"/>
      <c r="HU213" s="40"/>
    </row>
    <row r="214" spans="1:229" s="41" customFormat="1" ht="28.8" customHeight="1">
      <c r="A214" s="124" t="s">
        <v>635</v>
      </c>
      <c r="B214" s="80" t="s">
        <v>411</v>
      </c>
      <c r="C214" s="80"/>
      <c r="D214" s="80" t="s">
        <v>410</v>
      </c>
      <c r="E214" s="80" t="s">
        <v>337</v>
      </c>
      <c r="F214" s="80" t="s">
        <v>338</v>
      </c>
      <c r="G214" s="135" t="s">
        <v>339</v>
      </c>
      <c r="H214" s="81">
        <v>0.4</v>
      </c>
      <c r="I214" s="81"/>
      <c r="J214" s="79"/>
      <c r="K214" s="81"/>
      <c r="L214" s="79"/>
      <c r="M214" s="82" t="s">
        <v>432</v>
      </c>
      <c r="N214" s="82" t="s">
        <v>433</v>
      </c>
      <c r="O214" s="82" t="s">
        <v>316</v>
      </c>
      <c r="P214" s="142">
        <v>0.2</v>
      </c>
      <c r="Q214" s="40">
        <f>SUMIF(Data_P!A:A,CONCATENATE(A214,"_",R$1),Data_P!J:J)</f>
        <v>451.03</v>
      </c>
      <c r="R214" s="40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K214" s="40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  <c r="BK214" s="40"/>
      <c r="BL214" s="40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  <c r="BW214" s="40"/>
      <c r="BX214" s="40"/>
      <c r="BY214" s="40"/>
      <c r="BZ214" s="40"/>
      <c r="CA214" s="40"/>
      <c r="CB214" s="40"/>
      <c r="CC214" s="40"/>
      <c r="CD214" s="40"/>
      <c r="CE214" s="40"/>
      <c r="CF214" s="40"/>
      <c r="CG214" s="40"/>
      <c r="CH214" s="40"/>
      <c r="CI214" s="40"/>
      <c r="CJ214" s="40"/>
      <c r="CK214" s="40"/>
      <c r="CL214" s="40"/>
      <c r="CM214" s="40"/>
      <c r="CN214" s="40"/>
      <c r="CO214" s="40"/>
      <c r="CP214" s="40"/>
      <c r="CQ214" s="40"/>
      <c r="CR214" s="40"/>
      <c r="CS214" s="40"/>
      <c r="CT214" s="40"/>
      <c r="CU214" s="40"/>
      <c r="CV214" s="40"/>
      <c r="CW214" s="40"/>
      <c r="CX214" s="40"/>
      <c r="CY214" s="40"/>
      <c r="CZ214" s="40"/>
      <c r="DA214" s="40"/>
      <c r="DB214" s="40"/>
      <c r="DC214" s="40"/>
      <c r="DD214" s="40"/>
      <c r="DE214" s="40"/>
      <c r="DF214" s="40"/>
      <c r="DG214" s="40"/>
      <c r="DH214" s="40"/>
      <c r="DI214" s="40"/>
      <c r="DJ214" s="40"/>
      <c r="DK214" s="40"/>
      <c r="DL214" s="40"/>
      <c r="DM214" s="40"/>
      <c r="DN214" s="40"/>
      <c r="DO214" s="40"/>
      <c r="DP214" s="40"/>
      <c r="DQ214" s="40"/>
      <c r="DR214" s="40"/>
      <c r="DS214" s="40"/>
      <c r="DT214" s="40"/>
      <c r="DU214" s="40"/>
      <c r="DV214" s="40"/>
      <c r="DW214" s="40"/>
      <c r="DX214" s="40"/>
      <c r="DY214" s="40"/>
      <c r="DZ214" s="40"/>
      <c r="EA214" s="40"/>
      <c r="EB214" s="40"/>
      <c r="EC214" s="40"/>
      <c r="ED214" s="40"/>
      <c r="EE214" s="40"/>
      <c r="EF214" s="40"/>
      <c r="EG214" s="40"/>
      <c r="EH214" s="40"/>
      <c r="EI214" s="40"/>
      <c r="EJ214" s="40"/>
      <c r="EK214" s="40"/>
      <c r="EL214" s="40"/>
      <c r="EM214" s="40"/>
      <c r="EN214" s="40"/>
      <c r="EO214" s="40"/>
      <c r="EP214" s="40"/>
      <c r="EQ214" s="40"/>
      <c r="ER214" s="40"/>
      <c r="ES214" s="40"/>
      <c r="ET214" s="40"/>
      <c r="EU214" s="40"/>
      <c r="EV214" s="40"/>
      <c r="EW214" s="40"/>
      <c r="EX214" s="40"/>
      <c r="EY214" s="40"/>
      <c r="EZ214" s="40"/>
      <c r="FA214" s="40"/>
      <c r="FB214" s="40"/>
      <c r="FC214" s="40"/>
      <c r="FD214" s="40"/>
      <c r="FE214" s="40"/>
      <c r="FF214" s="40"/>
      <c r="FG214" s="40"/>
      <c r="FH214" s="40"/>
      <c r="FI214" s="40"/>
      <c r="FJ214" s="40"/>
      <c r="FK214" s="40"/>
      <c r="FL214" s="40"/>
      <c r="FM214" s="40"/>
      <c r="FN214" s="40"/>
      <c r="FO214" s="40"/>
      <c r="FP214" s="40"/>
      <c r="FQ214" s="40"/>
      <c r="FR214" s="40"/>
      <c r="FS214" s="40"/>
      <c r="FT214" s="40"/>
      <c r="FU214" s="40"/>
      <c r="FV214" s="40"/>
      <c r="FW214" s="40"/>
      <c r="FX214" s="40"/>
      <c r="FY214" s="40"/>
      <c r="FZ214" s="40"/>
      <c r="GA214" s="40"/>
      <c r="GB214" s="40"/>
      <c r="GC214" s="40"/>
      <c r="GD214" s="40"/>
      <c r="GE214" s="40"/>
      <c r="GF214" s="40"/>
      <c r="GG214" s="40"/>
      <c r="GH214" s="40"/>
      <c r="GI214" s="40"/>
      <c r="GJ214" s="40"/>
      <c r="GK214" s="40"/>
      <c r="GL214" s="40"/>
      <c r="GM214" s="40"/>
      <c r="GN214" s="40"/>
      <c r="GO214" s="40"/>
      <c r="GP214" s="40"/>
      <c r="GQ214" s="40"/>
      <c r="GR214" s="40"/>
      <c r="GS214" s="40"/>
      <c r="GT214" s="40"/>
      <c r="GU214" s="40"/>
      <c r="GV214" s="40"/>
      <c r="GW214" s="40"/>
      <c r="GX214" s="40"/>
      <c r="GY214" s="40"/>
      <c r="GZ214" s="40"/>
      <c r="HA214" s="40"/>
      <c r="HB214" s="40"/>
      <c r="HC214" s="40"/>
      <c r="HD214" s="40"/>
      <c r="HE214" s="40"/>
      <c r="HF214" s="40"/>
      <c r="HG214" s="40"/>
      <c r="HH214" s="40"/>
      <c r="HI214" s="40"/>
      <c r="HJ214" s="40"/>
      <c r="HK214" s="40"/>
      <c r="HL214" s="40"/>
      <c r="HM214" s="40"/>
      <c r="HN214" s="40"/>
      <c r="HO214" s="40"/>
      <c r="HP214" s="40"/>
      <c r="HQ214" s="40"/>
      <c r="HR214" s="40"/>
      <c r="HS214" s="40"/>
      <c r="HT214" s="40"/>
      <c r="HU214" s="40"/>
    </row>
    <row r="215" spans="1:229" s="41" customFormat="1" ht="28.8" customHeight="1">
      <c r="A215" s="124" t="s">
        <v>480</v>
      </c>
      <c r="B215" s="80" t="s">
        <v>491</v>
      </c>
      <c r="C215" s="80"/>
      <c r="D215" s="80" t="s">
        <v>492</v>
      </c>
      <c r="E215" s="80" t="s">
        <v>208</v>
      </c>
      <c r="F215" s="80" t="s">
        <v>494</v>
      </c>
      <c r="G215" s="135" t="s">
        <v>493</v>
      </c>
      <c r="H215" s="81">
        <v>0.5</v>
      </c>
      <c r="I215" s="81">
        <v>-0.1</v>
      </c>
      <c r="J215" s="79" t="s">
        <v>399</v>
      </c>
      <c r="K215" s="81"/>
      <c r="L215" s="79"/>
      <c r="M215" s="82" t="s">
        <v>520</v>
      </c>
      <c r="N215" s="82" t="s">
        <v>521</v>
      </c>
      <c r="O215" s="82" t="s">
        <v>316</v>
      </c>
      <c r="P215" s="142">
        <v>0.2</v>
      </c>
      <c r="Q215" s="40">
        <f>SUMIF(Data_P!A:A,CONCATENATE(A215,"_",R$1),Data_P!J:J)</f>
        <v>510</v>
      </c>
      <c r="R215" s="40"/>
      <c r="S215" s="40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  <c r="BA215" s="40"/>
      <c r="BB215" s="40"/>
      <c r="BC215" s="40"/>
      <c r="BD215" s="40"/>
      <c r="BE215" s="40"/>
      <c r="BF215" s="40"/>
      <c r="BG215" s="40"/>
      <c r="BH215" s="40"/>
      <c r="BI215" s="40"/>
      <c r="BJ215" s="40"/>
      <c r="BK215" s="40"/>
      <c r="BL215" s="40"/>
      <c r="BM215" s="40"/>
      <c r="BN215" s="40"/>
      <c r="BO215" s="40"/>
      <c r="BP215" s="40"/>
      <c r="BQ215" s="40"/>
      <c r="BR215" s="40"/>
      <c r="BS215" s="40"/>
      <c r="BT215" s="40"/>
      <c r="BU215" s="40"/>
      <c r="BV215" s="40"/>
      <c r="BW215" s="40"/>
      <c r="BX215" s="40"/>
      <c r="BY215" s="40"/>
      <c r="BZ215" s="40"/>
      <c r="CA215" s="40"/>
      <c r="CB215" s="40"/>
      <c r="CC215" s="40"/>
      <c r="CD215" s="40"/>
      <c r="CE215" s="40"/>
      <c r="CF215" s="40"/>
      <c r="CG215" s="40"/>
      <c r="CH215" s="40"/>
      <c r="CI215" s="40"/>
      <c r="CJ215" s="40"/>
      <c r="CK215" s="40"/>
      <c r="CL215" s="40"/>
      <c r="CM215" s="40"/>
      <c r="CN215" s="40"/>
      <c r="CO215" s="40"/>
      <c r="CP215" s="40"/>
      <c r="CQ215" s="40"/>
      <c r="CR215" s="40"/>
      <c r="CS215" s="40"/>
      <c r="CT215" s="40"/>
      <c r="CU215" s="40"/>
      <c r="CV215" s="40"/>
      <c r="CW215" s="40"/>
      <c r="CX215" s="40"/>
      <c r="CY215" s="40"/>
      <c r="CZ215" s="40"/>
      <c r="DA215" s="40"/>
      <c r="DB215" s="40"/>
      <c r="DC215" s="40"/>
      <c r="DD215" s="40"/>
      <c r="DE215" s="40"/>
      <c r="DF215" s="40"/>
      <c r="DG215" s="40"/>
      <c r="DH215" s="40"/>
      <c r="DI215" s="40"/>
      <c r="DJ215" s="40"/>
      <c r="DK215" s="40"/>
      <c r="DL215" s="40"/>
      <c r="DM215" s="40"/>
      <c r="DN215" s="40"/>
      <c r="DO215" s="40"/>
      <c r="DP215" s="40"/>
      <c r="DQ215" s="40"/>
      <c r="DR215" s="40"/>
      <c r="DS215" s="40"/>
      <c r="DT215" s="40"/>
      <c r="DU215" s="40"/>
      <c r="DV215" s="40"/>
      <c r="DW215" s="40"/>
      <c r="DX215" s="40"/>
      <c r="DY215" s="40"/>
      <c r="DZ215" s="40"/>
      <c r="EA215" s="40"/>
      <c r="EB215" s="40"/>
      <c r="EC215" s="40"/>
      <c r="ED215" s="40"/>
      <c r="EE215" s="40"/>
      <c r="EF215" s="40"/>
      <c r="EG215" s="40"/>
      <c r="EH215" s="40"/>
      <c r="EI215" s="40"/>
      <c r="EJ215" s="40"/>
      <c r="EK215" s="40"/>
      <c r="EL215" s="40"/>
      <c r="EM215" s="40"/>
      <c r="EN215" s="40"/>
      <c r="EO215" s="40"/>
      <c r="EP215" s="40"/>
      <c r="EQ215" s="40"/>
      <c r="ER215" s="40"/>
      <c r="ES215" s="40"/>
      <c r="ET215" s="40"/>
      <c r="EU215" s="40"/>
      <c r="EV215" s="40"/>
      <c r="EW215" s="40"/>
      <c r="EX215" s="40"/>
      <c r="EY215" s="40"/>
      <c r="EZ215" s="40"/>
      <c r="FA215" s="40"/>
      <c r="FB215" s="40"/>
      <c r="FC215" s="40"/>
      <c r="FD215" s="40"/>
      <c r="FE215" s="40"/>
      <c r="FF215" s="40"/>
      <c r="FG215" s="40"/>
      <c r="FH215" s="40"/>
      <c r="FI215" s="40"/>
      <c r="FJ215" s="40"/>
      <c r="FK215" s="40"/>
      <c r="FL215" s="40"/>
      <c r="FM215" s="40"/>
      <c r="FN215" s="40"/>
      <c r="FO215" s="40"/>
      <c r="FP215" s="40"/>
      <c r="FQ215" s="40"/>
      <c r="FR215" s="40"/>
      <c r="FS215" s="40"/>
      <c r="FT215" s="40"/>
      <c r="FU215" s="40"/>
      <c r="FV215" s="40"/>
      <c r="FW215" s="40"/>
      <c r="FX215" s="40"/>
      <c r="FY215" s="40"/>
      <c r="FZ215" s="40"/>
      <c r="GA215" s="40"/>
      <c r="GB215" s="40"/>
      <c r="GC215" s="40"/>
      <c r="GD215" s="40"/>
      <c r="GE215" s="40"/>
      <c r="GF215" s="40"/>
      <c r="GG215" s="40"/>
      <c r="GH215" s="40"/>
      <c r="GI215" s="40"/>
      <c r="GJ215" s="40"/>
      <c r="GK215" s="40"/>
      <c r="GL215" s="40"/>
      <c r="GM215" s="40"/>
      <c r="GN215" s="40"/>
      <c r="GO215" s="40"/>
      <c r="GP215" s="40"/>
      <c r="GQ215" s="40"/>
      <c r="GR215" s="40"/>
      <c r="GS215" s="40"/>
      <c r="GT215" s="40"/>
      <c r="GU215" s="40"/>
      <c r="GV215" s="40"/>
      <c r="GW215" s="40"/>
      <c r="GX215" s="40"/>
      <c r="GY215" s="40"/>
      <c r="GZ215" s="40"/>
      <c r="HA215" s="40"/>
      <c r="HB215" s="40"/>
      <c r="HC215" s="40"/>
      <c r="HD215" s="40"/>
      <c r="HE215" s="40"/>
      <c r="HF215" s="40"/>
      <c r="HG215" s="40"/>
      <c r="HH215" s="40"/>
      <c r="HI215" s="40"/>
      <c r="HJ215" s="40"/>
      <c r="HK215" s="40"/>
      <c r="HL215" s="40"/>
      <c r="HM215" s="40"/>
      <c r="HN215" s="40"/>
      <c r="HO215" s="40"/>
      <c r="HP215" s="40"/>
      <c r="HQ215" s="40"/>
      <c r="HR215" s="40"/>
      <c r="HS215" s="40"/>
      <c r="HT215" s="40"/>
      <c r="HU215" s="40"/>
    </row>
    <row r="216" spans="1:229" s="41" customFormat="1" ht="28.8" customHeight="1">
      <c r="A216" s="124" t="s">
        <v>454</v>
      </c>
      <c r="B216" s="80" t="s">
        <v>186</v>
      </c>
      <c r="C216" s="80"/>
      <c r="D216" s="80" t="s">
        <v>197</v>
      </c>
      <c r="E216" s="80" t="s">
        <v>198</v>
      </c>
      <c r="F216" s="80" t="s">
        <v>196</v>
      </c>
      <c r="G216" s="135" t="s">
        <v>199</v>
      </c>
      <c r="H216" s="81">
        <v>0.3</v>
      </c>
      <c r="I216" s="81"/>
      <c r="J216" s="79"/>
      <c r="K216" s="81"/>
      <c r="L216" s="79"/>
      <c r="M216" s="82" t="s">
        <v>1081</v>
      </c>
      <c r="N216" s="82" t="s">
        <v>373</v>
      </c>
      <c r="O216" s="82" t="s">
        <v>316</v>
      </c>
      <c r="P216" s="142">
        <v>0.2</v>
      </c>
      <c r="Q216" s="40">
        <f>SUMIF(Data_P!A:A,CONCATENATE(A216,"_",R$1),Data_P!J:J)</f>
        <v>252</v>
      </c>
      <c r="R216" s="40"/>
      <c r="S216" s="40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0"/>
      <c r="AK216" s="40"/>
      <c r="AL216" s="40"/>
      <c r="AM216" s="40"/>
      <c r="AN216" s="40"/>
      <c r="AO216" s="40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  <c r="BA216" s="40"/>
      <c r="BB216" s="40"/>
      <c r="BC216" s="40"/>
      <c r="BD216" s="40"/>
      <c r="BE216" s="40"/>
      <c r="BF216" s="40"/>
      <c r="BG216" s="40"/>
      <c r="BH216" s="40"/>
      <c r="BI216" s="40"/>
      <c r="BJ216" s="40"/>
      <c r="BK216" s="40"/>
      <c r="BL216" s="40"/>
      <c r="BM216" s="40"/>
      <c r="BN216" s="40"/>
      <c r="BO216" s="40"/>
      <c r="BP216" s="40"/>
      <c r="BQ216" s="40"/>
      <c r="BR216" s="40"/>
      <c r="BS216" s="40"/>
      <c r="BT216" s="40"/>
      <c r="BU216" s="40"/>
      <c r="BV216" s="40"/>
      <c r="BW216" s="40"/>
      <c r="BX216" s="40"/>
      <c r="BY216" s="40"/>
      <c r="BZ216" s="40"/>
      <c r="CA216" s="40"/>
      <c r="CB216" s="40"/>
      <c r="CC216" s="40"/>
      <c r="CD216" s="40"/>
      <c r="CE216" s="40"/>
      <c r="CF216" s="40"/>
      <c r="CG216" s="40"/>
      <c r="CH216" s="40"/>
      <c r="CI216" s="40"/>
      <c r="CJ216" s="40"/>
      <c r="CK216" s="40"/>
      <c r="CL216" s="40"/>
      <c r="CM216" s="40"/>
      <c r="CN216" s="40"/>
      <c r="CO216" s="40"/>
      <c r="CP216" s="40"/>
      <c r="CQ216" s="40"/>
      <c r="CR216" s="40"/>
      <c r="CS216" s="40"/>
      <c r="CT216" s="40"/>
      <c r="CU216" s="40"/>
      <c r="CV216" s="40"/>
      <c r="CW216" s="40"/>
      <c r="CX216" s="40"/>
      <c r="CY216" s="40"/>
      <c r="CZ216" s="40"/>
      <c r="DA216" s="40"/>
      <c r="DB216" s="40"/>
      <c r="DC216" s="40"/>
      <c r="DD216" s="40"/>
      <c r="DE216" s="40"/>
      <c r="DF216" s="40"/>
      <c r="DG216" s="40"/>
      <c r="DH216" s="40"/>
      <c r="DI216" s="40"/>
      <c r="DJ216" s="40"/>
      <c r="DK216" s="40"/>
      <c r="DL216" s="40"/>
      <c r="DM216" s="40"/>
      <c r="DN216" s="40"/>
      <c r="DO216" s="40"/>
      <c r="DP216" s="40"/>
      <c r="DQ216" s="40"/>
      <c r="DR216" s="40"/>
      <c r="DS216" s="40"/>
      <c r="DT216" s="40"/>
      <c r="DU216" s="40"/>
      <c r="DV216" s="40"/>
      <c r="DW216" s="40"/>
      <c r="DX216" s="40"/>
      <c r="DY216" s="40"/>
      <c r="DZ216" s="40"/>
      <c r="EA216" s="40"/>
      <c r="EB216" s="40"/>
      <c r="EC216" s="40"/>
      <c r="ED216" s="40"/>
      <c r="EE216" s="40"/>
      <c r="EF216" s="40"/>
      <c r="EG216" s="40"/>
      <c r="EH216" s="40"/>
      <c r="EI216" s="40"/>
      <c r="EJ216" s="40"/>
      <c r="EK216" s="40"/>
      <c r="EL216" s="40"/>
      <c r="EM216" s="40"/>
      <c r="EN216" s="40"/>
      <c r="EO216" s="40"/>
      <c r="EP216" s="40"/>
      <c r="EQ216" s="40"/>
      <c r="ER216" s="40"/>
      <c r="ES216" s="40"/>
      <c r="ET216" s="40"/>
      <c r="EU216" s="40"/>
      <c r="EV216" s="40"/>
      <c r="EW216" s="40"/>
      <c r="EX216" s="40"/>
      <c r="EY216" s="40"/>
      <c r="EZ216" s="40"/>
      <c r="FA216" s="40"/>
      <c r="FB216" s="40"/>
      <c r="FC216" s="40"/>
      <c r="FD216" s="40"/>
      <c r="FE216" s="40"/>
      <c r="FF216" s="40"/>
      <c r="FG216" s="40"/>
      <c r="FH216" s="40"/>
      <c r="FI216" s="40"/>
      <c r="FJ216" s="40"/>
      <c r="FK216" s="40"/>
      <c r="FL216" s="40"/>
      <c r="FM216" s="40"/>
      <c r="FN216" s="40"/>
      <c r="FO216" s="40"/>
      <c r="FP216" s="40"/>
      <c r="FQ216" s="40"/>
      <c r="FR216" s="40"/>
      <c r="FS216" s="40"/>
      <c r="FT216" s="40"/>
      <c r="FU216" s="40"/>
      <c r="FV216" s="40"/>
      <c r="FW216" s="40"/>
      <c r="FX216" s="40"/>
      <c r="FY216" s="40"/>
      <c r="FZ216" s="40"/>
      <c r="GA216" s="40"/>
      <c r="GB216" s="40"/>
      <c r="GC216" s="40"/>
      <c r="GD216" s="40"/>
      <c r="GE216" s="40"/>
      <c r="GF216" s="40"/>
      <c r="GG216" s="40"/>
      <c r="GH216" s="40"/>
      <c r="GI216" s="40"/>
      <c r="GJ216" s="40"/>
      <c r="GK216" s="40"/>
      <c r="GL216" s="40"/>
      <c r="GM216" s="40"/>
      <c r="GN216" s="40"/>
      <c r="GO216" s="40"/>
      <c r="GP216" s="40"/>
      <c r="GQ216" s="40"/>
      <c r="GR216" s="40"/>
      <c r="GS216" s="40"/>
      <c r="GT216" s="40"/>
      <c r="GU216" s="40"/>
      <c r="GV216" s="40"/>
      <c r="GW216" s="40"/>
      <c r="GX216" s="40"/>
      <c r="GY216" s="40"/>
      <c r="GZ216" s="40"/>
      <c r="HA216" s="40"/>
      <c r="HB216" s="40"/>
      <c r="HC216" s="40"/>
      <c r="HD216" s="40"/>
      <c r="HE216" s="40"/>
      <c r="HF216" s="40"/>
      <c r="HG216" s="40"/>
      <c r="HH216" s="40"/>
      <c r="HI216" s="40"/>
      <c r="HJ216" s="40"/>
      <c r="HK216" s="40"/>
      <c r="HL216" s="40"/>
      <c r="HM216" s="40"/>
      <c r="HN216" s="40"/>
      <c r="HO216" s="40"/>
      <c r="HP216" s="40"/>
      <c r="HQ216" s="40"/>
      <c r="HR216" s="40"/>
      <c r="HS216" s="40"/>
      <c r="HT216" s="40"/>
      <c r="HU216" s="40"/>
    </row>
    <row r="217" spans="1:229" s="41" customFormat="1" ht="28.8" customHeight="1">
      <c r="A217" s="124" t="s">
        <v>636</v>
      </c>
      <c r="B217" s="80" t="s">
        <v>637</v>
      </c>
      <c r="C217" s="80"/>
      <c r="D217" s="80" t="s">
        <v>638</v>
      </c>
      <c r="E217" s="80" t="s">
        <v>266</v>
      </c>
      <c r="F217" s="80" t="s">
        <v>267</v>
      </c>
      <c r="G217" s="135" t="s">
        <v>268</v>
      </c>
      <c r="H217" s="81">
        <v>0.25</v>
      </c>
      <c r="I217" s="81"/>
      <c r="J217" s="79"/>
      <c r="K217" s="81"/>
      <c r="L217" s="79"/>
      <c r="M217" s="82" t="s">
        <v>639</v>
      </c>
      <c r="N217" s="82" t="s">
        <v>550</v>
      </c>
      <c r="O217" s="82" t="s">
        <v>316</v>
      </c>
      <c r="P217" s="142">
        <v>0.2</v>
      </c>
      <c r="Q217" s="40">
        <f>SUMIF(Data_P!A:A,CONCATENATE(A217,"_",R$1),Data_P!J:J)</f>
        <v>2146.5</v>
      </c>
      <c r="R217" s="40"/>
      <c r="S217" s="40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/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  <c r="BA217" s="40"/>
      <c r="BB217" s="40"/>
      <c r="BC217" s="40"/>
      <c r="BD217" s="40"/>
      <c r="BE217" s="40"/>
      <c r="BF217" s="40"/>
      <c r="BG217" s="40"/>
      <c r="BH217" s="40"/>
      <c r="BI217" s="40"/>
      <c r="BJ217" s="40"/>
      <c r="BK217" s="40"/>
      <c r="BL217" s="40"/>
      <c r="BM217" s="40"/>
      <c r="BN217" s="40"/>
      <c r="BO217" s="40"/>
      <c r="BP217" s="40"/>
      <c r="BQ217" s="40"/>
      <c r="BR217" s="40"/>
      <c r="BS217" s="40"/>
      <c r="BT217" s="40"/>
      <c r="BU217" s="40"/>
      <c r="BV217" s="40"/>
      <c r="BW217" s="40"/>
      <c r="BX217" s="40"/>
      <c r="BY217" s="40"/>
      <c r="BZ217" s="40"/>
      <c r="CA217" s="40"/>
      <c r="CB217" s="40"/>
      <c r="CC217" s="40"/>
      <c r="CD217" s="40"/>
      <c r="CE217" s="40"/>
      <c r="CF217" s="40"/>
      <c r="CG217" s="40"/>
      <c r="CH217" s="40"/>
      <c r="CI217" s="40"/>
      <c r="CJ217" s="40"/>
      <c r="CK217" s="40"/>
      <c r="CL217" s="40"/>
      <c r="CM217" s="40"/>
      <c r="CN217" s="40"/>
      <c r="CO217" s="40"/>
      <c r="CP217" s="40"/>
      <c r="CQ217" s="40"/>
      <c r="CR217" s="40"/>
      <c r="CS217" s="40"/>
      <c r="CT217" s="40"/>
      <c r="CU217" s="40"/>
      <c r="CV217" s="40"/>
      <c r="CW217" s="40"/>
      <c r="CX217" s="40"/>
      <c r="CY217" s="40"/>
      <c r="CZ217" s="40"/>
      <c r="DA217" s="40"/>
      <c r="DB217" s="40"/>
      <c r="DC217" s="40"/>
      <c r="DD217" s="40"/>
      <c r="DE217" s="40"/>
      <c r="DF217" s="40"/>
      <c r="DG217" s="40"/>
      <c r="DH217" s="40"/>
      <c r="DI217" s="40"/>
      <c r="DJ217" s="40"/>
      <c r="DK217" s="40"/>
      <c r="DL217" s="40"/>
      <c r="DM217" s="40"/>
      <c r="DN217" s="40"/>
      <c r="DO217" s="40"/>
      <c r="DP217" s="40"/>
      <c r="DQ217" s="40"/>
      <c r="DR217" s="40"/>
      <c r="DS217" s="40"/>
      <c r="DT217" s="40"/>
      <c r="DU217" s="40"/>
      <c r="DV217" s="40"/>
      <c r="DW217" s="40"/>
      <c r="DX217" s="40"/>
      <c r="DY217" s="40"/>
      <c r="DZ217" s="40"/>
      <c r="EA217" s="40"/>
      <c r="EB217" s="40"/>
      <c r="EC217" s="40"/>
      <c r="ED217" s="40"/>
      <c r="EE217" s="40"/>
      <c r="EF217" s="40"/>
      <c r="EG217" s="40"/>
      <c r="EH217" s="40"/>
      <c r="EI217" s="40"/>
      <c r="EJ217" s="40"/>
      <c r="EK217" s="40"/>
      <c r="EL217" s="40"/>
      <c r="EM217" s="40"/>
      <c r="EN217" s="40"/>
      <c r="EO217" s="40"/>
      <c r="EP217" s="40"/>
      <c r="EQ217" s="40"/>
      <c r="ER217" s="40"/>
      <c r="ES217" s="40"/>
      <c r="ET217" s="40"/>
      <c r="EU217" s="40"/>
      <c r="EV217" s="40"/>
      <c r="EW217" s="40"/>
      <c r="EX217" s="40"/>
      <c r="EY217" s="40"/>
      <c r="EZ217" s="40"/>
      <c r="FA217" s="40"/>
      <c r="FB217" s="40"/>
      <c r="FC217" s="40"/>
      <c r="FD217" s="40"/>
      <c r="FE217" s="40"/>
      <c r="FF217" s="40"/>
      <c r="FG217" s="40"/>
      <c r="FH217" s="40"/>
      <c r="FI217" s="40"/>
      <c r="FJ217" s="40"/>
      <c r="FK217" s="40"/>
      <c r="FL217" s="40"/>
      <c r="FM217" s="40"/>
      <c r="FN217" s="40"/>
      <c r="FO217" s="40"/>
      <c r="FP217" s="40"/>
      <c r="FQ217" s="40"/>
      <c r="FR217" s="40"/>
      <c r="FS217" s="40"/>
      <c r="FT217" s="40"/>
      <c r="FU217" s="40"/>
      <c r="FV217" s="40"/>
      <c r="FW217" s="40"/>
      <c r="FX217" s="40"/>
      <c r="FY217" s="40"/>
      <c r="FZ217" s="40"/>
      <c r="GA217" s="40"/>
      <c r="GB217" s="40"/>
      <c r="GC217" s="40"/>
      <c r="GD217" s="40"/>
      <c r="GE217" s="40"/>
      <c r="GF217" s="40"/>
      <c r="GG217" s="40"/>
      <c r="GH217" s="40"/>
      <c r="GI217" s="40"/>
      <c r="GJ217" s="40"/>
      <c r="GK217" s="40"/>
      <c r="GL217" s="40"/>
      <c r="GM217" s="40"/>
      <c r="GN217" s="40"/>
      <c r="GO217" s="40"/>
      <c r="GP217" s="40"/>
      <c r="GQ217" s="40"/>
      <c r="GR217" s="40"/>
      <c r="GS217" s="40"/>
      <c r="GT217" s="40"/>
      <c r="GU217" s="40"/>
      <c r="GV217" s="40"/>
      <c r="GW217" s="40"/>
      <c r="GX217" s="40"/>
      <c r="GY217" s="40"/>
      <c r="GZ217" s="40"/>
      <c r="HA217" s="40"/>
      <c r="HB217" s="40"/>
      <c r="HC217" s="40"/>
      <c r="HD217" s="40"/>
      <c r="HE217" s="40"/>
      <c r="HF217" s="40"/>
      <c r="HG217" s="40"/>
      <c r="HH217" s="40"/>
      <c r="HI217" s="40"/>
      <c r="HJ217" s="40"/>
      <c r="HK217" s="40"/>
      <c r="HL217" s="40"/>
      <c r="HM217" s="40"/>
      <c r="HN217" s="40"/>
      <c r="HO217" s="40"/>
      <c r="HP217" s="40"/>
      <c r="HQ217" s="40"/>
      <c r="HR217" s="40"/>
      <c r="HS217" s="40"/>
      <c r="HT217" s="40"/>
      <c r="HU217" s="40"/>
    </row>
    <row r="218" spans="1:229" s="41" customFormat="1" ht="28.8" customHeight="1">
      <c r="A218" s="124" t="s">
        <v>588</v>
      </c>
      <c r="B218" s="80" t="s">
        <v>610</v>
      </c>
      <c r="C218" s="80"/>
      <c r="D218" s="80" t="s">
        <v>611</v>
      </c>
      <c r="E218" s="80" t="s">
        <v>612</v>
      </c>
      <c r="F218" s="80" t="s">
        <v>1562</v>
      </c>
      <c r="G218" s="135" t="s">
        <v>1563</v>
      </c>
      <c r="H218" s="81">
        <v>0.2</v>
      </c>
      <c r="I218" s="81" t="s">
        <v>613</v>
      </c>
      <c r="J218" s="79"/>
      <c r="K218" s="81"/>
      <c r="L218" s="79"/>
      <c r="M218" s="82"/>
      <c r="N218" s="82"/>
      <c r="O218" s="82" t="s">
        <v>316</v>
      </c>
      <c r="P218" s="142">
        <v>0.2</v>
      </c>
      <c r="Q218" s="40">
        <f>SUMIF(Data_P!A:A,CONCATENATE(A218,"_",R$1),Data_P!J:J)</f>
        <v>4829.92</v>
      </c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K218" s="40"/>
      <c r="AL218" s="40"/>
      <c r="AM218" s="40"/>
      <c r="AN218" s="40"/>
      <c r="AO218" s="40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  <c r="BA218" s="40"/>
      <c r="BB218" s="40"/>
      <c r="BC218" s="40"/>
      <c r="BD218" s="40"/>
      <c r="BE218" s="40"/>
      <c r="BF218" s="40"/>
      <c r="BG218" s="40"/>
      <c r="BH218" s="40"/>
      <c r="BI218" s="40"/>
      <c r="BJ218" s="40"/>
      <c r="BK218" s="40"/>
      <c r="BL218" s="40"/>
      <c r="BM218" s="40"/>
      <c r="BN218" s="40"/>
      <c r="BO218" s="40"/>
      <c r="BP218" s="40"/>
      <c r="BQ218" s="40"/>
      <c r="BR218" s="40"/>
      <c r="BS218" s="40"/>
      <c r="BT218" s="40"/>
      <c r="BU218" s="40"/>
      <c r="BV218" s="40"/>
      <c r="BW218" s="40"/>
      <c r="BX218" s="40"/>
      <c r="BY218" s="40"/>
      <c r="BZ218" s="40"/>
      <c r="CA218" s="40"/>
      <c r="CB218" s="40"/>
      <c r="CC218" s="40"/>
      <c r="CD218" s="40"/>
      <c r="CE218" s="40"/>
      <c r="CF218" s="40"/>
      <c r="CG218" s="40"/>
      <c r="CH218" s="40"/>
      <c r="CI218" s="40"/>
      <c r="CJ218" s="40"/>
      <c r="CK218" s="40"/>
      <c r="CL218" s="40"/>
      <c r="CM218" s="40"/>
      <c r="CN218" s="40"/>
      <c r="CO218" s="40"/>
      <c r="CP218" s="40"/>
      <c r="CQ218" s="40"/>
      <c r="CR218" s="40"/>
      <c r="CS218" s="40"/>
      <c r="CT218" s="40"/>
      <c r="CU218" s="40"/>
      <c r="CV218" s="40"/>
      <c r="CW218" s="40"/>
      <c r="CX218" s="40"/>
      <c r="CY218" s="40"/>
      <c r="CZ218" s="40"/>
      <c r="DA218" s="40"/>
      <c r="DB218" s="40"/>
      <c r="DC218" s="40"/>
      <c r="DD218" s="40"/>
      <c r="DE218" s="40"/>
      <c r="DF218" s="40"/>
      <c r="DG218" s="40"/>
      <c r="DH218" s="40"/>
      <c r="DI218" s="40"/>
      <c r="DJ218" s="40"/>
      <c r="DK218" s="40"/>
      <c r="DL218" s="40"/>
      <c r="DM218" s="40"/>
      <c r="DN218" s="40"/>
      <c r="DO218" s="40"/>
      <c r="DP218" s="40"/>
      <c r="DQ218" s="40"/>
      <c r="DR218" s="40"/>
      <c r="DS218" s="40"/>
      <c r="DT218" s="40"/>
      <c r="DU218" s="40"/>
      <c r="DV218" s="40"/>
      <c r="DW218" s="40"/>
      <c r="DX218" s="40"/>
      <c r="DY218" s="40"/>
      <c r="DZ218" s="40"/>
      <c r="EA218" s="40"/>
      <c r="EB218" s="40"/>
      <c r="EC218" s="40"/>
      <c r="ED218" s="40"/>
      <c r="EE218" s="40"/>
      <c r="EF218" s="40"/>
      <c r="EG218" s="40"/>
      <c r="EH218" s="40"/>
      <c r="EI218" s="40"/>
      <c r="EJ218" s="40"/>
      <c r="EK218" s="40"/>
      <c r="EL218" s="40"/>
      <c r="EM218" s="40"/>
      <c r="EN218" s="40"/>
      <c r="EO218" s="40"/>
      <c r="EP218" s="40"/>
      <c r="EQ218" s="40"/>
      <c r="ER218" s="40"/>
      <c r="ES218" s="40"/>
      <c r="ET218" s="40"/>
      <c r="EU218" s="40"/>
      <c r="EV218" s="40"/>
      <c r="EW218" s="40"/>
      <c r="EX218" s="40"/>
      <c r="EY218" s="40"/>
      <c r="EZ218" s="40"/>
      <c r="FA218" s="40"/>
      <c r="FB218" s="40"/>
      <c r="FC218" s="40"/>
      <c r="FD218" s="40"/>
      <c r="FE218" s="40"/>
      <c r="FF218" s="40"/>
      <c r="FG218" s="40"/>
      <c r="FH218" s="40"/>
      <c r="FI218" s="40"/>
      <c r="FJ218" s="40"/>
      <c r="FK218" s="40"/>
      <c r="FL218" s="40"/>
      <c r="FM218" s="40"/>
      <c r="FN218" s="40"/>
      <c r="FO218" s="40"/>
      <c r="FP218" s="40"/>
      <c r="FQ218" s="40"/>
      <c r="FR218" s="40"/>
      <c r="FS218" s="40"/>
      <c r="FT218" s="40"/>
      <c r="FU218" s="40"/>
      <c r="FV218" s="40"/>
      <c r="FW218" s="40"/>
      <c r="FX218" s="40"/>
      <c r="FY218" s="40"/>
      <c r="FZ218" s="40"/>
      <c r="GA218" s="40"/>
      <c r="GB218" s="40"/>
      <c r="GC218" s="40"/>
      <c r="GD218" s="40"/>
      <c r="GE218" s="40"/>
      <c r="GF218" s="40"/>
      <c r="GG218" s="40"/>
      <c r="GH218" s="40"/>
      <c r="GI218" s="40"/>
      <c r="GJ218" s="40"/>
      <c r="GK218" s="40"/>
      <c r="GL218" s="40"/>
      <c r="GM218" s="40"/>
      <c r="GN218" s="40"/>
      <c r="GO218" s="40"/>
      <c r="GP218" s="40"/>
      <c r="GQ218" s="40"/>
      <c r="GR218" s="40"/>
      <c r="GS218" s="40"/>
      <c r="GT218" s="40"/>
      <c r="GU218" s="40"/>
      <c r="GV218" s="40"/>
      <c r="GW218" s="40"/>
      <c r="GX218" s="40"/>
      <c r="GY218" s="40"/>
      <c r="GZ218" s="40"/>
      <c r="HA218" s="40"/>
      <c r="HB218" s="40"/>
      <c r="HC218" s="40"/>
      <c r="HD218" s="40"/>
      <c r="HE218" s="40"/>
      <c r="HF218" s="40"/>
      <c r="HG218" s="40"/>
      <c r="HH218" s="40"/>
      <c r="HI218" s="40"/>
      <c r="HJ218" s="40"/>
      <c r="HK218" s="40"/>
      <c r="HL218" s="40"/>
      <c r="HM218" s="40"/>
      <c r="HN218" s="40"/>
      <c r="HO218" s="40"/>
      <c r="HP218" s="40"/>
      <c r="HQ218" s="40"/>
      <c r="HR218" s="40"/>
      <c r="HS218" s="40"/>
      <c r="HT218" s="40"/>
      <c r="HU218" s="40"/>
    </row>
    <row r="219" spans="1:229" s="41" customFormat="1" ht="28.8" customHeight="1">
      <c r="A219" s="124" t="s">
        <v>1961</v>
      </c>
      <c r="B219" s="80" t="s">
        <v>1965</v>
      </c>
      <c r="C219" s="80"/>
      <c r="D219" s="80" t="s">
        <v>1962</v>
      </c>
      <c r="E219" s="80" t="s">
        <v>371</v>
      </c>
      <c r="F219" s="80" t="s">
        <v>1963</v>
      </c>
      <c r="G219" s="135" t="s">
        <v>1964</v>
      </c>
      <c r="H219" s="81">
        <v>0.3</v>
      </c>
      <c r="I219" s="81"/>
      <c r="J219" s="79"/>
      <c r="K219" s="81"/>
      <c r="L219" s="79"/>
      <c r="M219" s="82"/>
      <c r="N219" s="82"/>
      <c r="O219" s="82" t="s">
        <v>316</v>
      </c>
      <c r="P219" s="142">
        <v>0.2</v>
      </c>
      <c r="Q219" s="40">
        <f>SUMIF(Data_P!A:A,CONCATENATE(A219,"_",R$1),Data_P!J:J)</f>
        <v>336.76000000000005</v>
      </c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  <c r="BA219" s="40"/>
      <c r="BB219" s="40"/>
      <c r="BC219" s="40"/>
      <c r="BD219" s="40"/>
      <c r="BE219" s="40"/>
      <c r="BF219" s="40"/>
      <c r="BG219" s="40"/>
      <c r="BH219" s="40"/>
      <c r="BI219" s="40"/>
      <c r="BJ219" s="40"/>
      <c r="BK219" s="40"/>
      <c r="BL219" s="40"/>
      <c r="BM219" s="40"/>
      <c r="BN219" s="40"/>
      <c r="BO219" s="40"/>
      <c r="BP219" s="40"/>
      <c r="BQ219" s="40"/>
      <c r="BR219" s="40"/>
      <c r="BS219" s="40"/>
      <c r="BT219" s="40"/>
      <c r="BU219" s="40"/>
      <c r="BV219" s="40"/>
      <c r="BW219" s="40"/>
      <c r="BX219" s="40"/>
      <c r="BY219" s="40"/>
      <c r="BZ219" s="40"/>
      <c r="CA219" s="40"/>
      <c r="CB219" s="40"/>
      <c r="CC219" s="40"/>
      <c r="CD219" s="40"/>
      <c r="CE219" s="40"/>
      <c r="CF219" s="40"/>
      <c r="CG219" s="40"/>
      <c r="CH219" s="40"/>
      <c r="CI219" s="40"/>
      <c r="CJ219" s="40"/>
      <c r="CK219" s="40"/>
      <c r="CL219" s="40"/>
      <c r="CM219" s="40"/>
      <c r="CN219" s="40"/>
      <c r="CO219" s="40"/>
      <c r="CP219" s="40"/>
      <c r="CQ219" s="40"/>
      <c r="CR219" s="40"/>
      <c r="CS219" s="40"/>
      <c r="CT219" s="40"/>
      <c r="CU219" s="40"/>
      <c r="CV219" s="40"/>
      <c r="CW219" s="40"/>
      <c r="CX219" s="40"/>
      <c r="CY219" s="40"/>
      <c r="CZ219" s="40"/>
      <c r="DA219" s="40"/>
      <c r="DB219" s="40"/>
      <c r="DC219" s="40"/>
      <c r="DD219" s="40"/>
      <c r="DE219" s="40"/>
      <c r="DF219" s="40"/>
      <c r="DG219" s="40"/>
      <c r="DH219" s="40"/>
      <c r="DI219" s="40"/>
      <c r="DJ219" s="40"/>
      <c r="DK219" s="40"/>
      <c r="DL219" s="40"/>
      <c r="DM219" s="40"/>
      <c r="DN219" s="40"/>
      <c r="DO219" s="40"/>
      <c r="DP219" s="40"/>
      <c r="DQ219" s="40"/>
      <c r="DR219" s="40"/>
      <c r="DS219" s="40"/>
      <c r="DT219" s="40"/>
      <c r="DU219" s="40"/>
      <c r="DV219" s="40"/>
      <c r="DW219" s="40"/>
      <c r="DX219" s="40"/>
      <c r="DY219" s="40"/>
      <c r="DZ219" s="40"/>
      <c r="EA219" s="40"/>
      <c r="EB219" s="40"/>
      <c r="EC219" s="40"/>
      <c r="ED219" s="40"/>
      <c r="EE219" s="40"/>
      <c r="EF219" s="40"/>
      <c r="EG219" s="40"/>
      <c r="EH219" s="40"/>
      <c r="EI219" s="40"/>
      <c r="EJ219" s="40"/>
      <c r="EK219" s="40"/>
      <c r="EL219" s="40"/>
      <c r="EM219" s="40"/>
      <c r="EN219" s="40"/>
      <c r="EO219" s="40"/>
      <c r="EP219" s="40"/>
      <c r="EQ219" s="40"/>
      <c r="ER219" s="40"/>
      <c r="ES219" s="40"/>
      <c r="ET219" s="40"/>
      <c r="EU219" s="40"/>
      <c r="EV219" s="40"/>
      <c r="EW219" s="40"/>
      <c r="EX219" s="40"/>
      <c r="EY219" s="40"/>
      <c r="EZ219" s="40"/>
      <c r="FA219" s="40"/>
      <c r="FB219" s="40"/>
      <c r="FC219" s="40"/>
      <c r="FD219" s="40"/>
      <c r="FE219" s="40"/>
      <c r="FF219" s="40"/>
      <c r="FG219" s="40"/>
      <c r="FH219" s="40"/>
      <c r="FI219" s="40"/>
      <c r="FJ219" s="40"/>
      <c r="FK219" s="40"/>
      <c r="FL219" s="40"/>
      <c r="FM219" s="40"/>
      <c r="FN219" s="40"/>
      <c r="FO219" s="40"/>
      <c r="FP219" s="40"/>
      <c r="FQ219" s="40"/>
      <c r="FR219" s="40"/>
      <c r="FS219" s="40"/>
      <c r="FT219" s="40"/>
      <c r="FU219" s="40"/>
      <c r="FV219" s="40"/>
      <c r="FW219" s="40"/>
      <c r="FX219" s="40"/>
      <c r="FY219" s="40"/>
      <c r="FZ219" s="40"/>
      <c r="GA219" s="40"/>
      <c r="GB219" s="40"/>
      <c r="GC219" s="40"/>
      <c r="GD219" s="40"/>
      <c r="GE219" s="40"/>
      <c r="GF219" s="40"/>
      <c r="GG219" s="40"/>
      <c r="GH219" s="40"/>
      <c r="GI219" s="40"/>
      <c r="GJ219" s="40"/>
      <c r="GK219" s="40"/>
      <c r="GL219" s="40"/>
      <c r="GM219" s="40"/>
      <c r="GN219" s="40"/>
      <c r="GO219" s="40"/>
      <c r="GP219" s="40"/>
      <c r="GQ219" s="40"/>
      <c r="GR219" s="40"/>
      <c r="GS219" s="40"/>
      <c r="GT219" s="40"/>
      <c r="GU219" s="40"/>
      <c r="GV219" s="40"/>
      <c r="GW219" s="40"/>
      <c r="GX219" s="40"/>
      <c r="GY219" s="40"/>
      <c r="GZ219" s="40"/>
      <c r="HA219" s="40"/>
      <c r="HB219" s="40"/>
      <c r="HC219" s="40"/>
      <c r="HD219" s="40"/>
      <c r="HE219" s="40"/>
      <c r="HF219" s="40"/>
      <c r="HG219" s="40"/>
      <c r="HH219" s="40"/>
      <c r="HI219" s="40"/>
      <c r="HJ219" s="40"/>
      <c r="HK219" s="40"/>
      <c r="HL219" s="40"/>
      <c r="HM219" s="40"/>
      <c r="HN219" s="40"/>
      <c r="HO219" s="40"/>
      <c r="HP219" s="40"/>
      <c r="HQ219" s="40"/>
      <c r="HR219" s="40"/>
      <c r="HS219" s="40"/>
      <c r="HT219" s="40"/>
      <c r="HU219" s="40"/>
    </row>
    <row r="220" spans="1:229" s="41" customFormat="1" ht="28.8" customHeight="1">
      <c r="A220" s="124" t="s">
        <v>2142</v>
      </c>
      <c r="B220" s="80" t="s">
        <v>1216</v>
      </c>
      <c r="C220" s="80"/>
      <c r="D220" s="80" t="s">
        <v>1217</v>
      </c>
      <c r="E220" s="80" t="s">
        <v>1218</v>
      </c>
      <c r="F220" s="80" t="s">
        <v>1587</v>
      </c>
      <c r="G220" s="135" t="s">
        <v>1225</v>
      </c>
      <c r="H220" s="81">
        <v>0.45</v>
      </c>
      <c r="I220" s="81">
        <v>-0.05</v>
      </c>
      <c r="J220" s="79" t="s">
        <v>399</v>
      </c>
      <c r="K220" s="81"/>
      <c r="L220" s="79"/>
      <c r="M220" s="82" t="s">
        <v>1608</v>
      </c>
      <c r="N220" s="82" t="s">
        <v>1609</v>
      </c>
      <c r="O220" s="82" t="s">
        <v>316</v>
      </c>
      <c r="P220" s="142">
        <v>0.2</v>
      </c>
      <c r="Q220" s="40">
        <f>SUMIF(Data_P!A:A,CONCATENATE(A220,"_",R$1),Data_P!J:J)</f>
        <v>71.099999999999994</v>
      </c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0"/>
      <c r="AN220" s="40"/>
      <c r="AO220" s="40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  <c r="BA220" s="40"/>
      <c r="BB220" s="40"/>
      <c r="BC220" s="40"/>
      <c r="BD220" s="40"/>
      <c r="BE220" s="40"/>
      <c r="BF220" s="40"/>
      <c r="BG220" s="40"/>
      <c r="BH220" s="40"/>
      <c r="BI220" s="40"/>
      <c r="BJ220" s="40"/>
      <c r="BK220" s="40"/>
      <c r="BL220" s="40"/>
      <c r="BM220" s="40"/>
      <c r="BN220" s="40"/>
      <c r="BO220" s="40"/>
      <c r="BP220" s="40"/>
      <c r="BQ220" s="40"/>
      <c r="BR220" s="40"/>
      <c r="BS220" s="40"/>
      <c r="BT220" s="40"/>
      <c r="BU220" s="40"/>
      <c r="BV220" s="40"/>
      <c r="BW220" s="40"/>
      <c r="BX220" s="40"/>
      <c r="BY220" s="40"/>
      <c r="BZ220" s="40"/>
      <c r="CA220" s="40"/>
      <c r="CB220" s="40"/>
      <c r="CC220" s="40"/>
      <c r="CD220" s="40"/>
      <c r="CE220" s="40"/>
      <c r="CF220" s="40"/>
      <c r="CG220" s="40"/>
      <c r="CH220" s="40"/>
      <c r="CI220" s="40"/>
      <c r="CJ220" s="40"/>
      <c r="CK220" s="40"/>
      <c r="CL220" s="40"/>
      <c r="CM220" s="40"/>
      <c r="CN220" s="40"/>
      <c r="CO220" s="40"/>
      <c r="CP220" s="40"/>
      <c r="CQ220" s="40"/>
      <c r="CR220" s="40"/>
      <c r="CS220" s="40"/>
      <c r="CT220" s="40"/>
      <c r="CU220" s="40"/>
      <c r="CV220" s="40"/>
      <c r="CW220" s="40"/>
      <c r="CX220" s="40"/>
      <c r="CY220" s="40"/>
      <c r="CZ220" s="40"/>
      <c r="DA220" s="40"/>
      <c r="DB220" s="40"/>
      <c r="DC220" s="40"/>
      <c r="DD220" s="40"/>
      <c r="DE220" s="40"/>
      <c r="DF220" s="40"/>
      <c r="DG220" s="40"/>
      <c r="DH220" s="40"/>
      <c r="DI220" s="40"/>
      <c r="DJ220" s="40"/>
      <c r="DK220" s="40"/>
      <c r="DL220" s="40"/>
      <c r="DM220" s="40"/>
      <c r="DN220" s="40"/>
      <c r="DO220" s="40"/>
      <c r="DP220" s="40"/>
      <c r="DQ220" s="40"/>
      <c r="DR220" s="40"/>
      <c r="DS220" s="40"/>
      <c r="DT220" s="40"/>
      <c r="DU220" s="40"/>
      <c r="DV220" s="40"/>
      <c r="DW220" s="40"/>
      <c r="DX220" s="40"/>
      <c r="DY220" s="40"/>
      <c r="DZ220" s="40"/>
      <c r="EA220" s="40"/>
      <c r="EB220" s="40"/>
      <c r="EC220" s="40"/>
      <c r="ED220" s="40"/>
      <c r="EE220" s="40"/>
      <c r="EF220" s="40"/>
      <c r="EG220" s="40"/>
      <c r="EH220" s="40"/>
      <c r="EI220" s="40"/>
      <c r="EJ220" s="40"/>
      <c r="EK220" s="40"/>
      <c r="EL220" s="40"/>
      <c r="EM220" s="40"/>
      <c r="EN220" s="40"/>
      <c r="EO220" s="40"/>
      <c r="EP220" s="40"/>
      <c r="EQ220" s="40"/>
      <c r="ER220" s="40"/>
      <c r="ES220" s="40"/>
      <c r="ET220" s="40"/>
      <c r="EU220" s="40"/>
      <c r="EV220" s="40"/>
      <c r="EW220" s="40"/>
      <c r="EX220" s="40"/>
      <c r="EY220" s="40"/>
      <c r="EZ220" s="40"/>
      <c r="FA220" s="40"/>
      <c r="FB220" s="40"/>
      <c r="FC220" s="40"/>
      <c r="FD220" s="40"/>
      <c r="FE220" s="40"/>
      <c r="FF220" s="40"/>
      <c r="FG220" s="40"/>
      <c r="FH220" s="40"/>
      <c r="FI220" s="40"/>
      <c r="FJ220" s="40"/>
      <c r="FK220" s="40"/>
      <c r="FL220" s="40"/>
      <c r="FM220" s="40"/>
      <c r="FN220" s="40"/>
      <c r="FO220" s="40"/>
      <c r="FP220" s="40"/>
      <c r="FQ220" s="40"/>
      <c r="FR220" s="40"/>
      <c r="FS220" s="40"/>
      <c r="FT220" s="40"/>
      <c r="FU220" s="40"/>
      <c r="FV220" s="40"/>
      <c r="FW220" s="40"/>
      <c r="FX220" s="40"/>
      <c r="FY220" s="40"/>
      <c r="FZ220" s="40"/>
      <c r="GA220" s="40"/>
      <c r="GB220" s="40"/>
      <c r="GC220" s="40"/>
      <c r="GD220" s="40"/>
      <c r="GE220" s="40"/>
      <c r="GF220" s="40"/>
      <c r="GG220" s="40"/>
      <c r="GH220" s="40"/>
      <c r="GI220" s="40"/>
      <c r="GJ220" s="40"/>
      <c r="GK220" s="40"/>
      <c r="GL220" s="40"/>
      <c r="GM220" s="40"/>
      <c r="GN220" s="40"/>
      <c r="GO220" s="40"/>
      <c r="GP220" s="40"/>
      <c r="GQ220" s="40"/>
      <c r="GR220" s="40"/>
      <c r="GS220" s="40"/>
      <c r="GT220" s="40"/>
      <c r="GU220" s="40"/>
      <c r="GV220" s="40"/>
      <c r="GW220" s="40"/>
      <c r="GX220" s="40"/>
      <c r="GY220" s="40"/>
      <c r="GZ220" s="40"/>
      <c r="HA220" s="40"/>
      <c r="HB220" s="40"/>
      <c r="HC220" s="40"/>
      <c r="HD220" s="40"/>
      <c r="HE220" s="40"/>
      <c r="HF220" s="40"/>
      <c r="HG220" s="40"/>
      <c r="HH220" s="40"/>
      <c r="HI220" s="40"/>
      <c r="HJ220" s="40"/>
      <c r="HK220" s="40"/>
      <c r="HL220" s="40"/>
      <c r="HM220" s="40"/>
      <c r="HN220" s="40"/>
      <c r="HO220" s="40"/>
      <c r="HP220" s="40"/>
      <c r="HQ220" s="40"/>
      <c r="HR220" s="40"/>
      <c r="HS220" s="40"/>
      <c r="HT220" s="40"/>
      <c r="HU220" s="40"/>
    </row>
    <row r="221" spans="1:229" s="41" customFormat="1" ht="28.8" customHeight="1">
      <c r="A221" s="124" t="s">
        <v>1915</v>
      </c>
      <c r="B221" s="80" t="s">
        <v>1937</v>
      </c>
      <c r="C221" s="80"/>
      <c r="D221" s="80" t="s">
        <v>1951</v>
      </c>
      <c r="E221" s="80" t="s">
        <v>1952</v>
      </c>
      <c r="F221" s="80" t="s">
        <v>1953</v>
      </c>
      <c r="G221" s="135" t="s">
        <v>1954</v>
      </c>
      <c r="H221" s="81">
        <v>0.3</v>
      </c>
      <c r="I221" s="81"/>
      <c r="J221" s="79"/>
      <c r="K221" s="81"/>
      <c r="L221" s="79"/>
      <c r="M221" s="82"/>
      <c r="N221" s="82"/>
      <c r="O221" s="82" t="s">
        <v>316</v>
      </c>
      <c r="P221" s="142">
        <v>0.2</v>
      </c>
      <c r="Q221" s="40">
        <f>SUMIF(Data_P!A:A,CONCATENATE(A221,"_",R$1),Data_P!J:J)</f>
        <v>542.43000000000006</v>
      </c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0"/>
      <c r="AK221" s="40"/>
      <c r="AL221" s="40"/>
      <c r="AM221" s="40"/>
      <c r="AN221" s="40"/>
      <c r="AO221" s="40"/>
      <c r="AP221" s="40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  <c r="BA221" s="40"/>
      <c r="BB221" s="40"/>
      <c r="BC221" s="40"/>
      <c r="BD221" s="40"/>
      <c r="BE221" s="40"/>
      <c r="BF221" s="40"/>
      <c r="BG221" s="40"/>
      <c r="BH221" s="40"/>
      <c r="BI221" s="40"/>
      <c r="BJ221" s="40"/>
      <c r="BK221" s="40"/>
      <c r="BL221" s="40"/>
      <c r="BM221" s="40"/>
      <c r="BN221" s="40"/>
      <c r="BO221" s="40"/>
      <c r="BP221" s="40"/>
      <c r="BQ221" s="40"/>
      <c r="BR221" s="40"/>
      <c r="BS221" s="40"/>
      <c r="BT221" s="40"/>
      <c r="BU221" s="40"/>
      <c r="BV221" s="40"/>
      <c r="BW221" s="40"/>
      <c r="BX221" s="40"/>
      <c r="BY221" s="40"/>
      <c r="BZ221" s="40"/>
      <c r="CA221" s="40"/>
      <c r="CB221" s="40"/>
      <c r="CC221" s="40"/>
      <c r="CD221" s="40"/>
      <c r="CE221" s="40"/>
      <c r="CF221" s="40"/>
      <c r="CG221" s="40"/>
      <c r="CH221" s="40"/>
      <c r="CI221" s="40"/>
      <c r="CJ221" s="40"/>
      <c r="CK221" s="40"/>
      <c r="CL221" s="40"/>
      <c r="CM221" s="40"/>
      <c r="CN221" s="40"/>
      <c r="CO221" s="40"/>
      <c r="CP221" s="40"/>
      <c r="CQ221" s="40"/>
      <c r="CR221" s="40"/>
      <c r="CS221" s="40"/>
      <c r="CT221" s="40"/>
      <c r="CU221" s="40"/>
      <c r="CV221" s="40"/>
      <c r="CW221" s="40"/>
      <c r="CX221" s="40"/>
      <c r="CY221" s="40"/>
      <c r="CZ221" s="40"/>
      <c r="DA221" s="40"/>
      <c r="DB221" s="40"/>
      <c r="DC221" s="40"/>
      <c r="DD221" s="40"/>
      <c r="DE221" s="40"/>
      <c r="DF221" s="40"/>
      <c r="DG221" s="40"/>
      <c r="DH221" s="40"/>
      <c r="DI221" s="40"/>
      <c r="DJ221" s="40"/>
      <c r="DK221" s="40"/>
      <c r="DL221" s="40"/>
      <c r="DM221" s="40"/>
      <c r="DN221" s="40"/>
      <c r="DO221" s="40"/>
      <c r="DP221" s="40"/>
      <c r="DQ221" s="40"/>
      <c r="DR221" s="40"/>
      <c r="DS221" s="40"/>
      <c r="DT221" s="40"/>
      <c r="DU221" s="40"/>
      <c r="DV221" s="40"/>
      <c r="DW221" s="40"/>
      <c r="DX221" s="40"/>
      <c r="DY221" s="40"/>
      <c r="DZ221" s="40"/>
      <c r="EA221" s="40"/>
      <c r="EB221" s="40"/>
      <c r="EC221" s="40"/>
      <c r="ED221" s="40"/>
      <c r="EE221" s="40"/>
      <c r="EF221" s="40"/>
      <c r="EG221" s="40"/>
      <c r="EH221" s="40"/>
      <c r="EI221" s="40"/>
      <c r="EJ221" s="40"/>
      <c r="EK221" s="40"/>
      <c r="EL221" s="40"/>
      <c r="EM221" s="40"/>
      <c r="EN221" s="40"/>
      <c r="EO221" s="40"/>
      <c r="EP221" s="40"/>
      <c r="EQ221" s="40"/>
      <c r="ER221" s="40"/>
      <c r="ES221" s="40"/>
      <c r="ET221" s="40"/>
      <c r="EU221" s="40"/>
      <c r="EV221" s="40"/>
      <c r="EW221" s="40"/>
      <c r="EX221" s="40"/>
      <c r="EY221" s="40"/>
      <c r="EZ221" s="40"/>
      <c r="FA221" s="40"/>
      <c r="FB221" s="40"/>
      <c r="FC221" s="40"/>
      <c r="FD221" s="40"/>
      <c r="FE221" s="40"/>
      <c r="FF221" s="40"/>
      <c r="FG221" s="40"/>
      <c r="FH221" s="40"/>
      <c r="FI221" s="40"/>
      <c r="FJ221" s="40"/>
      <c r="FK221" s="40"/>
      <c r="FL221" s="40"/>
      <c r="FM221" s="40"/>
      <c r="FN221" s="40"/>
      <c r="FO221" s="40"/>
      <c r="FP221" s="40"/>
      <c r="FQ221" s="40"/>
      <c r="FR221" s="40"/>
      <c r="FS221" s="40"/>
      <c r="FT221" s="40"/>
      <c r="FU221" s="40"/>
      <c r="FV221" s="40"/>
      <c r="FW221" s="40"/>
      <c r="FX221" s="40"/>
      <c r="FY221" s="40"/>
      <c r="FZ221" s="40"/>
      <c r="GA221" s="40"/>
      <c r="GB221" s="40"/>
      <c r="GC221" s="40"/>
      <c r="GD221" s="40"/>
      <c r="GE221" s="40"/>
      <c r="GF221" s="40"/>
      <c r="GG221" s="40"/>
      <c r="GH221" s="40"/>
      <c r="GI221" s="40"/>
      <c r="GJ221" s="40"/>
      <c r="GK221" s="40"/>
      <c r="GL221" s="40"/>
      <c r="GM221" s="40"/>
      <c r="GN221" s="40"/>
      <c r="GO221" s="40"/>
      <c r="GP221" s="40"/>
      <c r="GQ221" s="40"/>
      <c r="GR221" s="40"/>
      <c r="GS221" s="40"/>
      <c r="GT221" s="40"/>
      <c r="GU221" s="40"/>
      <c r="GV221" s="40"/>
      <c r="GW221" s="40"/>
      <c r="GX221" s="40"/>
      <c r="GY221" s="40"/>
      <c r="GZ221" s="40"/>
      <c r="HA221" s="40"/>
      <c r="HB221" s="40"/>
      <c r="HC221" s="40"/>
      <c r="HD221" s="40"/>
      <c r="HE221" s="40"/>
      <c r="HF221" s="40"/>
      <c r="HG221" s="40"/>
      <c r="HH221" s="40"/>
      <c r="HI221" s="40"/>
      <c r="HJ221" s="40"/>
      <c r="HK221" s="40"/>
      <c r="HL221" s="40"/>
      <c r="HM221" s="40"/>
      <c r="HN221" s="40"/>
      <c r="HO221" s="40"/>
      <c r="HP221" s="40"/>
      <c r="HQ221" s="40"/>
      <c r="HR221" s="40"/>
      <c r="HS221" s="40"/>
      <c r="HT221" s="40"/>
      <c r="HU221" s="40"/>
    </row>
    <row r="222" spans="1:229" s="41" customFormat="1" ht="28.8" customHeight="1">
      <c r="A222" s="124"/>
      <c r="B222" s="80"/>
      <c r="C222" s="80"/>
      <c r="D222" s="80"/>
      <c r="E222" s="80"/>
      <c r="F222" s="80"/>
      <c r="G222" s="135"/>
      <c r="H222" s="81"/>
      <c r="I222" s="81"/>
      <c r="J222" s="79"/>
      <c r="K222" s="81"/>
      <c r="L222" s="79"/>
      <c r="M222" s="82"/>
      <c r="N222" s="82"/>
      <c r="O222" s="82"/>
      <c r="P222" s="142"/>
      <c r="Q222" s="40"/>
      <c r="R222" s="40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  <c r="AJ222" s="40"/>
      <c r="AK222" s="40"/>
      <c r="AL222" s="40"/>
      <c r="AM222" s="40"/>
      <c r="AN222" s="40"/>
      <c r="AO222" s="40"/>
      <c r="AP222" s="40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  <c r="BA222" s="40"/>
      <c r="BB222" s="40"/>
      <c r="BC222" s="40"/>
      <c r="BD222" s="40"/>
      <c r="BE222" s="40"/>
      <c r="BF222" s="40"/>
      <c r="BG222" s="40"/>
      <c r="BH222" s="40"/>
      <c r="BI222" s="40"/>
      <c r="BJ222" s="40"/>
      <c r="BK222" s="40"/>
      <c r="BL222" s="40"/>
      <c r="BM222" s="40"/>
      <c r="BN222" s="40"/>
      <c r="BO222" s="40"/>
      <c r="BP222" s="40"/>
      <c r="BQ222" s="40"/>
      <c r="BR222" s="40"/>
      <c r="BS222" s="40"/>
      <c r="BT222" s="40"/>
      <c r="BU222" s="40"/>
      <c r="BV222" s="40"/>
      <c r="BW222" s="40"/>
      <c r="BX222" s="40"/>
      <c r="BY222" s="40"/>
      <c r="BZ222" s="40"/>
      <c r="CA222" s="40"/>
      <c r="CB222" s="40"/>
      <c r="CC222" s="40"/>
      <c r="CD222" s="40"/>
      <c r="CE222" s="40"/>
      <c r="CF222" s="40"/>
      <c r="CG222" s="40"/>
      <c r="CH222" s="40"/>
      <c r="CI222" s="40"/>
      <c r="CJ222" s="40"/>
      <c r="CK222" s="40"/>
      <c r="CL222" s="40"/>
      <c r="CM222" s="40"/>
      <c r="CN222" s="40"/>
      <c r="CO222" s="40"/>
      <c r="CP222" s="40"/>
      <c r="CQ222" s="40"/>
      <c r="CR222" s="40"/>
      <c r="CS222" s="40"/>
      <c r="CT222" s="40"/>
      <c r="CU222" s="40"/>
      <c r="CV222" s="40"/>
      <c r="CW222" s="40"/>
      <c r="CX222" s="40"/>
      <c r="CY222" s="40"/>
      <c r="CZ222" s="40"/>
      <c r="DA222" s="40"/>
      <c r="DB222" s="40"/>
      <c r="DC222" s="40"/>
      <c r="DD222" s="40"/>
      <c r="DE222" s="40"/>
      <c r="DF222" s="40"/>
      <c r="DG222" s="40"/>
      <c r="DH222" s="40"/>
      <c r="DI222" s="40"/>
      <c r="DJ222" s="40"/>
      <c r="DK222" s="40"/>
      <c r="DL222" s="40"/>
      <c r="DM222" s="40"/>
      <c r="DN222" s="40"/>
      <c r="DO222" s="40"/>
      <c r="DP222" s="40"/>
      <c r="DQ222" s="40"/>
      <c r="DR222" s="40"/>
      <c r="DS222" s="40"/>
      <c r="DT222" s="40"/>
      <c r="DU222" s="40"/>
      <c r="DV222" s="40"/>
      <c r="DW222" s="40"/>
      <c r="DX222" s="40"/>
      <c r="DY222" s="40"/>
      <c r="DZ222" s="40"/>
      <c r="EA222" s="40"/>
      <c r="EB222" s="40"/>
      <c r="EC222" s="40"/>
      <c r="ED222" s="40"/>
      <c r="EE222" s="40"/>
      <c r="EF222" s="40"/>
      <c r="EG222" s="40"/>
      <c r="EH222" s="40"/>
      <c r="EI222" s="40"/>
      <c r="EJ222" s="40"/>
      <c r="EK222" s="40"/>
      <c r="EL222" s="40"/>
      <c r="EM222" s="40"/>
      <c r="EN222" s="40"/>
      <c r="EO222" s="40"/>
      <c r="EP222" s="40"/>
      <c r="EQ222" s="40"/>
      <c r="ER222" s="40"/>
      <c r="ES222" s="40"/>
      <c r="ET222" s="40"/>
      <c r="EU222" s="40"/>
      <c r="EV222" s="40"/>
      <c r="EW222" s="40"/>
      <c r="EX222" s="40"/>
      <c r="EY222" s="40"/>
      <c r="EZ222" s="40"/>
      <c r="FA222" s="40"/>
      <c r="FB222" s="40"/>
      <c r="FC222" s="40"/>
      <c r="FD222" s="40"/>
      <c r="FE222" s="40"/>
      <c r="FF222" s="40"/>
      <c r="FG222" s="40"/>
      <c r="FH222" s="40"/>
      <c r="FI222" s="40"/>
      <c r="FJ222" s="40"/>
      <c r="FK222" s="40"/>
      <c r="FL222" s="40"/>
      <c r="FM222" s="40"/>
      <c r="FN222" s="40"/>
      <c r="FO222" s="40"/>
      <c r="FP222" s="40"/>
      <c r="FQ222" s="40"/>
      <c r="FR222" s="40"/>
      <c r="FS222" s="40"/>
      <c r="FT222" s="40"/>
      <c r="FU222" s="40"/>
      <c r="FV222" s="40"/>
      <c r="FW222" s="40"/>
      <c r="FX222" s="40"/>
      <c r="FY222" s="40"/>
      <c r="FZ222" s="40"/>
      <c r="GA222" s="40"/>
      <c r="GB222" s="40"/>
      <c r="GC222" s="40"/>
      <c r="GD222" s="40"/>
      <c r="GE222" s="40"/>
      <c r="GF222" s="40"/>
      <c r="GG222" s="40"/>
      <c r="GH222" s="40"/>
      <c r="GI222" s="40"/>
      <c r="GJ222" s="40"/>
      <c r="GK222" s="40"/>
      <c r="GL222" s="40"/>
      <c r="GM222" s="40"/>
      <c r="GN222" s="40"/>
      <c r="GO222" s="40"/>
      <c r="GP222" s="40"/>
      <c r="GQ222" s="40"/>
      <c r="GR222" s="40"/>
      <c r="GS222" s="40"/>
      <c r="GT222" s="40"/>
      <c r="GU222" s="40"/>
      <c r="GV222" s="40"/>
      <c r="GW222" s="40"/>
      <c r="GX222" s="40"/>
      <c r="GY222" s="40"/>
      <c r="GZ222" s="40"/>
      <c r="HA222" s="40"/>
      <c r="HB222" s="40"/>
      <c r="HC222" s="40"/>
      <c r="HD222" s="40"/>
      <c r="HE222" s="40"/>
      <c r="HF222" s="40"/>
      <c r="HG222" s="40"/>
      <c r="HH222" s="40"/>
      <c r="HI222" s="40"/>
      <c r="HJ222" s="40"/>
      <c r="HK222" s="40"/>
      <c r="HL222" s="40"/>
      <c r="HM222" s="40"/>
      <c r="HN222" s="40"/>
      <c r="HO222" s="40"/>
      <c r="HP222" s="40"/>
      <c r="HQ222" s="40"/>
      <c r="HR222" s="40"/>
      <c r="HS222" s="40"/>
      <c r="HT222" s="40"/>
      <c r="HU222" s="40"/>
    </row>
    <row r="223" spans="1:229" s="41" customFormat="1" ht="28.8" customHeight="1">
      <c r="A223" s="124"/>
      <c r="B223" s="80"/>
      <c r="C223" s="80"/>
      <c r="D223" s="80"/>
      <c r="E223" s="80"/>
      <c r="F223" s="80"/>
      <c r="G223" s="135"/>
      <c r="H223" s="81"/>
      <c r="I223" s="81"/>
      <c r="J223" s="79"/>
      <c r="K223" s="81"/>
      <c r="L223" s="79"/>
      <c r="M223" s="82"/>
      <c r="N223" s="82"/>
      <c r="O223" s="82"/>
      <c r="P223" s="142"/>
      <c r="Q223" s="40"/>
      <c r="R223" s="40"/>
      <c r="S223" s="40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0"/>
      <c r="AJ223" s="40"/>
      <c r="AK223" s="40"/>
      <c r="AL223" s="40"/>
      <c r="AM223" s="40"/>
      <c r="AN223" s="40"/>
      <c r="AO223" s="40"/>
      <c r="AP223" s="40"/>
      <c r="AQ223" s="40"/>
      <c r="AR223" s="40"/>
      <c r="AS223" s="40"/>
      <c r="AT223" s="40"/>
      <c r="AU223" s="40"/>
      <c r="AV223" s="40"/>
      <c r="AW223" s="40"/>
      <c r="AX223" s="40"/>
      <c r="AY223" s="40"/>
      <c r="AZ223" s="40"/>
      <c r="BA223" s="40"/>
      <c r="BB223" s="40"/>
      <c r="BC223" s="40"/>
      <c r="BD223" s="40"/>
      <c r="BE223" s="40"/>
      <c r="BF223" s="40"/>
      <c r="BG223" s="40"/>
      <c r="BH223" s="40"/>
      <c r="BI223" s="40"/>
      <c r="BJ223" s="40"/>
      <c r="BK223" s="40"/>
      <c r="BL223" s="40"/>
      <c r="BM223" s="40"/>
      <c r="BN223" s="40"/>
      <c r="BO223" s="40"/>
      <c r="BP223" s="40"/>
      <c r="BQ223" s="40"/>
      <c r="BR223" s="40"/>
      <c r="BS223" s="40"/>
      <c r="BT223" s="40"/>
      <c r="BU223" s="40"/>
      <c r="BV223" s="40"/>
      <c r="BW223" s="40"/>
      <c r="BX223" s="40"/>
      <c r="BY223" s="40"/>
      <c r="BZ223" s="40"/>
      <c r="CA223" s="40"/>
      <c r="CB223" s="40"/>
      <c r="CC223" s="40"/>
      <c r="CD223" s="40"/>
      <c r="CE223" s="40"/>
      <c r="CF223" s="40"/>
      <c r="CG223" s="40"/>
      <c r="CH223" s="40"/>
      <c r="CI223" s="40"/>
      <c r="CJ223" s="40"/>
      <c r="CK223" s="40"/>
      <c r="CL223" s="40"/>
      <c r="CM223" s="40"/>
      <c r="CN223" s="40"/>
      <c r="CO223" s="40"/>
      <c r="CP223" s="40"/>
      <c r="CQ223" s="40"/>
      <c r="CR223" s="40"/>
      <c r="CS223" s="40"/>
      <c r="CT223" s="40"/>
      <c r="CU223" s="40"/>
      <c r="CV223" s="40"/>
      <c r="CW223" s="40"/>
      <c r="CX223" s="40"/>
      <c r="CY223" s="40"/>
      <c r="CZ223" s="40"/>
      <c r="DA223" s="40"/>
      <c r="DB223" s="40"/>
      <c r="DC223" s="40"/>
      <c r="DD223" s="40"/>
      <c r="DE223" s="40"/>
      <c r="DF223" s="40"/>
      <c r="DG223" s="40"/>
      <c r="DH223" s="40"/>
      <c r="DI223" s="40"/>
      <c r="DJ223" s="40"/>
      <c r="DK223" s="40"/>
      <c r="DL223" s="40"/>
      <c r="DM223" s="40"/>
      <c r="DN223" s="40"/>
      <c r="DO223" s="40"/>
      <c r="DP223" s="40"/>
      <c r="DQ223" s="40"/>
      <c r="DR223" s="40"/>
      <c r="DS223" s="40"/>
      <c r="DT223" s="40"/>
      <c r="DU223" s="40"/>
      <c r="DV223" s="40"/>
      <c r="DW223" s="40"/>
      <c r="DX223" s="40"/>
      <c r="DY223" s="40"/>
      <c r="DZ223" s="40"/>
      <c r="EA223" s="40"/>
      <c r="EB223" s="40"/>
      <c r="EC223" s="40"/>
      <c r="ED223" s="40"/>
      <c r="EE223" s="40"/>
      <c r="EF223" s="40"/>
      <c r="EG223" s="40"/>
      <c r="EH223" s="40"/>
      <c r="EI223" s="40"/>
      <c r="EJ223" s="40"/>
      <c r="EK223" s="40"/>
      <c r="EL223" s="40"/>
      <c r="EM223" s="40"/>
      <c r="EN223" s="40"/>
      <c r="EO223" s="40"/>
      <c r="EP223" s="40"/>
      <c r="EQ223" s="40"/>
      <c r="ER223" s="40"/>
      <c r="ES223" s="40"/>
      <c r="ET223" s="40"/>
      <c r="EU223" s="40"/>
      <c r="EV223" s="40"/>
      <c r="EW223" s="40"/>
      <c r="EX223" s="40"/>
      <c r="EY223" s="40"/>
      <c r="EZ223" s="40"/>
      <c r="FA223" s="40"/>
      <c r="FB223" s="40"/>
      <c r="FC223" s="40"/>
      <c r="FD223" s="40"/>
      <c r="FE223" s="40"/>
      <c r="FF223" s="40"/>
      <c r="FG223" s="40"/>
      <c r="FH223" s="40"/>
      <c r="FI223" s="40"/>
      <c r="FJ223" s="40"/>
      <c r="FK223" s="40"/>
      <c r="FL223" s="40"/>
      <c r="FM223" s="40"/>
      <c r="FN223" s="40"/>
      <c r="FO223" s="40"/>
      <c r="FP223" s="40"/>
      <c r="FQ223" s="40"/>
      <c r="FR223" s="40"/>
      <c r="FS223" s="40"/>
      <c r="FT223" s="40"/>
      <c r="FU223" s="40"/>
      <c r="FV223" s="40"/>
      <c r="FW223" s="40"/>
      <c r="FX223" s="40"/>
      <c r="FY223" s="40"/>
      <c r="FZ223" s="40"/>
      <c r="GA223" s="40"/>
      <c r="GB223" s="40"/>
      <c r="GC223" s="40"/>
      <c r="GD223" s="40"/>
      <c r="GE223" s="40"/>
      <c r="GF223" s="40"/>
      <c r="GG223" s="40"/>
      <c r="GH223" s="40"/>
      <c r="GI223" s="40"/>
      <c r="GJ223" s="40"/>
      <c r="GK223" s="40"/>
      <c r="GL223" s="40"/>
      <c r="GM223" s="40"/>
      <c r="GN223" s="40"/>
      <c r="GO223" s="40"/>
      <c r="GP223" s="40"/>
      <c r="GQ223" s="40"/>
      <c r="GR223" s="40"/>
      <c r="GS223" s="40"/>
      <c r="GT223" s="40"/>
      <c r="GU223" s="40"/>
      <c r="GV223" s="40"/>
      <c r="GW223" s="40"/>
      <c r="GX223" s="40"/>
      <c r="GY223" s="40"/>
      <c r="GZ223" s="40"/>
      <c r="HA223" s="40"/>
      <c r="HB223" s="40"/>
      <c r="HC223" s="40"/>
      <c r="HD223" s="40"/>
      <c r="HE223" s="40"/>
      <c r="HF223" s="40"/>
      <c r="HG223" s="40"/>
      <c r="HH223" s="40"/>
      <c r="HI223" s="40"/>
      <c r="HJ223" s="40"/>
      <c r="HK223" s="40"/>
      <c r="HL223" s="40"/>
      <c r="HM223" s="40"/>
      <c r="HN223" s="40"/>
      <c r="HO223" s="40"/>
      <c r="HP223" s="40"/>
      <c r="HQ223" s="40"/>
      <c r="HR223" s="40"/>
      <c r="HS223" s="40"/>
      <c r="HT223" s="40"/>
      <c r="HU223" s="40"/>
    </row>
    <row r="224" spans="1:229" s="41" customFormat="1" ht="28.8" customHeight="1">
      <c r="A224" s="124"/>
      <c r="B224" s="80"/>
      <c r="C224" s="80"/>
      <c r="D224" s="80"/>
      <c r="E224" s="80"/>
      <c r="F224" s="80"/>
      <c r="G224" s="135"/>
      <c r="H224" s="81"/>
      <c r="I224" s="81"/>
      <c r="J224" s="79"/>
      <c r="K224" s="81"/>
      <c r="L224" s="79"/>
      <c r="M224" s="82"/>
      <c r="N224" s="82"/>
      <c r="O224" s="82"/>
      <c r="P224" s="142"/>
      <c r="Q224" s="40"/>
      <c r="R224" s="40"/>
      <c r="S224" s="40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0"/>
      <c r="AJ224" s="40"/>
      <c r="AK224" s="40"/>
      <c r="AL224" s="40"/>
      <c r="AM224" s="40"/>
      <c r="AN224" s="40"/>
      <c r="AO224" s="40"/>
      <c r="AP224" s="40"/>
      <c r="AQ224" s="40"/>
      <c r="AR224" s="40"/>
      <c r="AS224" s="40"/>
      <c r="AT224" s="40"/>
      <c r="AU224" s="40"/>
      <c r="AV224" s="40"/>
      <c r="AW224" s="40"/>
      <c r="AX224" s="40"/>
      <c r="AY224" s="40"/>
      <c r="AZ224" s="40"/>
      <c r="BA224" s="40"/>
      <c r="BB224" s="40"/>
      <c r="BC224" s="40"/>
      <c r="BD224" s="40"/>
      <c r="BE224" s="40"/>
      <c r="BF224" s="40"/>
      <c r="BG224" s="40"/>
      <c r="BH224" s="40"/>
      <c r="BI224" s="40"/>
      <c r="BJ224" s="40"/>
      <c r="BK224" s="40"/>
      <c r="BL224" s="40"/>
      <c r="BM224" s="40"/>
      <c r="BN224" s="40"/>
      <c r="BO224" s="40"/>
      <c r="BP224" s="40"/>
      <c r="BQ224" s="40"/>
      <c r="BR224" s="40"/>
      <c r="BS224" s="40"/>
      <c r="BT224" s="40"/>
      <c r="BU224" s="40"/>
      <c r="BV224" s="40"/>
      <c r="BW224" s="40"/>
      <c r="BX224" s="40"/>
      <c r="BY224" s="40"/>
      <c r="BZ224" s="40"/>
      <c r="CA224" s="40"/>
      <c r="CB224" s="40"/>
      <c r="CC224" s="40"/>
      <c r="CD224" s="40"/>
      <c r="CE224" s="40"/>
      <c r="CF224" s="40"/>
      <c r="CG224" s="40"/>
      <c r="CH224" s="40"/>
      <c r="CI224" s="40"/>
      <c r="CJ224" s="40"/>
      <c r="CK224" s="40"/>
      <c r="CL224" s="40"/>
      <c r="CM224" s="40"/>
      <c r="CN224" s="40"/>
      <c r="CO224" s="40"/>
      <c r="CP224" s="40"/>
      <c r="CQ224" s="40"/>
      <c r="CR224" s="40"/>
      <c r="CS224" s="40"/>
      <c r="CT224" s="40"/>
      <c r="CU224" s="40"/>
      <c r="CV224" s="40"/>
      <c r="CW224" s="40"/>
      <c r="CX224" s="40"/>
      <c r="CY224" s="40"/>
      <c r="CZ224" s="40"/>
      <c r="DA224" s="40"/>
      <c r="DB224" s="40"/>
      <c r="DC224" s="40"/>
      <c r="DD224" s="40"/>
      <c r="DE224" s="40"/>
      <c r="DF224" s="40"/>
      <c r="DG224" s="40"/>
      <c r="DH224" s="40"/>
      <c r="DI224" s="40"/>
      <c r="DJ224" s="40"/>
      <c r="DK224" s="40"/>
      <c r="DL224" s="40"/>
      <c r="DM224" s="40"/>
      <c r="DN224" s="40"/>
      <c r="DO224" s="40"/>
      <c r="DP224" s="40"/>
      <c r="DQ224" s="40"/>
      <c r="DR224" s="40"/>
      <c r="DS224" s="40"/>
      <c r="DT224" s="40"/>
      <c r="DU224" s="40"/>
      <c r="DV224" s="40"/>
      <c r="DW224" s="40"/>
      <c r="DX224" s="40"/>
      <c r="DY224" s="40"/>
      <c r="DZ224" s="40"/>
      <c r="EA224" s="40"/>
      <c r="EB224" s="40"/>
      <c r="EC224" s="40"/>
      <c r="ED224" s="40"/>
      <c r="EE224" s="40"/>
      <c r="EF224" s="40"/>
      <c r="EG224" s="40"/>
      <c r="EH224" s="40"/>
      <c r="EI224" s="40"/>
      <c r="EJ224" s="40"/>
      <c r="EK224" s="40"/>
      <c r="EL224" s="40"/>
      <c r="EM224" s="40"/>
      <c r="EN224" s="40"/>
      <c r="EO224" s="40"/>
      <c r="EP224" s="40"/>
      <c r="EQ224" s="40"/>
      <c r="ER224" s="40"/>
      <c r="ES224" s="40"/>
      <c r="ET224" s="40"/>
      <c r="EU224" s="40"/>
      <c r="EV224" s="40"/>
      <c r="EW224" s="40"/>
      <c r="EX224" s="40"/>
      <c r="EY224" s="40"/>
      <c r="EZ224" s="40"/>
      <c r="FA224" s="40"/>
      <c r="FB224" s="40"/>
      <c r="FC224" s="40"/>
      <c r="FD224" s="40"/>
      <c r="FE224" s="40"/>
      <c r="FF224" s="40"/>
      <c r="FG224" s="40"/>
      <c r="FH224" s="40"/>
      <c r="FI224" s="40"/>
      <c r="FJ224" s="40"/>
      <c r="FK224" s="40"/>
      <c r="FL224" s="40"/>
      <c r="FM224" s="40"/>
      <c r="FN224" s="40"/>
      <c r="FO224" s="40"/>
      <c r="FP224" s="40"/>
      <c r="FQ224" s="40"/>
      <c r="FR224" s="40"/>
      <c r="FS224" s="40"/>
      <c r="FT224" s="40"/>
      <c r="FU224" s="40"/>
      <c r="FV224" s="40"/>
      <c r="FW224" s="40"/>
      <c r="FX224" s="40"/>
      <c r="FY224" s="40"/>
      <c r="FZ224" s="40"/>
      <c r="GA224" s="40"/>
      <c r="GB224" s="40"/>
      <c r="GC224" s="40"/>
      <c r="GD224" s="40"/>
      <c r="GE224" s="40"/>
      <c r="GF224" s="40"/>
      <c r="GG224" s="40"/>
      <c r="GH224" s="40"/>
      <c r="GI224" s="40"/>
      <c r="GJ224" s="40"/>
      <c r="GK224" s="40"/>
      <c r="GL224" s="40"/>
      <c r="GM224" s="40"/>
      <c r="GN224" s="40"/>
      <c r="GO224" s="40"/>
      <c r="GP224" s="40"/>
      <c r="GQ224" s="40"/>
      <c r="GR224" s="40"/>
      <c r="GS224" s="40"/>
      <c r="GT224" s="40"/>
      <c r="GU224" s="40"/>
      <c r="GV224" s="40"/>
      <c r="GW224" s="40"/>
      <c r="GX224" s="40"/>
      <c r="GY224" s="40"/>
      <c r="GZ224" s="40"/>
      <c r="HA224" s="40"/>
      <c r="HB224" s="40"/>
      <c r="HC224" s="40"/>
      <c r="HD224" s="40"/>
      <c r="HE224" s="40"/>
      <c r="HF224" s="40"/>
      <c r="HG224" s="40"/>
      <c r="HH224" s="40"/>
      <c r="HI224" s="40"/>
      <c r="HJ224" s="40"/>
      <c r="HK224" s="40"/>
      <c r="HL224" s="40"/>
      <c r="HM224" s="40"/>
      <c r="HN224" s="40"/>
      <c r="HO224" s="40"/>
      <c r="HP224" s="40"/>
      <c r="HQ224" s="40"/>
      <c r="HR224" s="40"/>
      <c r="HS224" s="40"/>
      <c r="HT224" s="40"/>
      <c r="HU224" s="40"/>
    </row>
  </sheetData>
  <autoFilter ref="A1:Q213" xr:uid="{7C4ACC63-5409-4C05-AA88-9505680C6EC8}">
    <filterColumn colId="14">
      <filters>
        <filter val="Facturation Mensuelle (M) / Trimestriel (T) ?"/>
        <filter val="M"/>
      </filters>
    </filterColumn>
  </autoFilter>
  <sortState ref="A3:S227">
    <sortCondition ref="A1"/>
  </sortState>
  <phoneticPr fontId="3" type="noConversion"/>
  <conditionalFormatting sqref="A222:H224 A214:G221 M4:O213 A4:H213 P4:Q210">
    <cfRule type="cellIs" dxfId="86" priority="211" stopIfTrue="1" operator="lessThan">
      <formula>0</formula>
    </cfRule>
    <cfRule type="cellIs" dxfId="85" priority="212" stopIfTrue="1" operator="greaterThan">
      <formula>0</formula>
    </cfRule>
    <cfRule type="cellIs" dxfId="84" priority="213" stopIfTrue="1" operator="equal">
      <formula>0</formula>
    </cfRule>
  </conditionalFormatting>
  <conditionalFormatting sqref="A1:P1">
    <cfRule type="cellIs" dxfId="83" priority="217" stopIfTrue="1" operator="lessThan">
      <formula>0</formula>
    </cfRule>
    <cfRule type="cellIs" dxfId="82" priority="218" stopIfTrue="1" operator="greaterThan">
      <formula>0</formula>
    </cfRule>
    <cfRule type="cellIs" dxfId="81" priority="219" stopIfTrue="1" operator="equal">
      <formula>0</formula>
    </cfRule>
  </conditionalFormatting>
  <conditionalFormatting sqref="M210:O210 A210:H210">
    <cfRule type="cellIs" dxfId="80" priority="136" stopIfTrue="1" operator="lessThan">
      <formula>0</formula>
    </cfRule>
    <cfRule type="cellIs" dxfId="79" priority="137" stopIfTrue="1" operator="greaterThan">
      <formula>0</formula>
    </cfRule>
    <cfRule type="cellIs" dxfId="78" priority="138" stopIfTrue="1" operator="equal">
      <formula>0</formula>
    </cfRule>
  </conditionalFormatting>
  <conditionalFormatting sqref="M3:O3 A3:H3">
    <cfRule type="cellIs" dxfId="77" priority="121" stopIfTrue="1" operator="lessThan">
      <formula>0</formula>
    </cfRule>
    <cfRule type="cellIs" dxfId="76" priority="122" stopIfTrue="1" operator="greaterThan">
      <formula>0</formula>
    </cfRule>
    <cfRule type="cellIs" dxfId="75" priority="123" stopIfTrue="1" operator="equal">
      <formula>0</formula>
    </cfRule>
  </conditionalFormatting>
  <conditionalFormatting sqref="Q1">
    <cfRule type="cellIs" dxfId="74" priority="127" stopIfTrue="1" operator="lessThan">
      <formula>0</formula>
    </cfRule>
    <cfRule type="cellIs" dxfId="73" priority="128" stopIfTrue="1" operator="greaterThan">
      <formula>0</formula>
    </cfRule>
    <cfRule type="cellIs" dxfId="72" priority="129" stopIfTrue="1" operator="equal">
      <formula>0</formula>
    </cfRule>
  </conditionalFormatting>
  <conditionalFormatting sqref="P214:Q221">
    <cfRule type="cellIs" dxfId="71" priority="103" stopIfTrue="1" operator="lessThan">
      <formula>0</formula>
    </cfRule>
    <cfRule type="cellIs" dxfId="70" priority="104" stopIfTrue="1" operator="greaterThan">
      <formula>0</formula>
    </cfRule>
    <cfRule type="cellIs" dxfId="69" priority="105" stopIfTrue="1" operator="equal">
      <formula>0</formula>
    </cfRule>
  </conditionalFormatting>
  <conditionalFormatting sqref="M222:O224">
    <cfRule type="cellIs" dxfId="68" priority="55" stopIfTrue="1" operator="lessThan">
      <formula>0</formula>
    </cfRule>
    <cfRule type="cellIs" dxfId="67" priority="56" stopIfTrue="1" operator="greaterThan">
      <formula>0</formula>
    </cfRule>
    <cfRule type="cellIs" dxfId="66" priority="57" stopIfTrue="1" operator="equal">
      <formula>0</formula>
    </cfRule>
  </conditionalFormatting>
  <conditionalFormatting sqref="M222:O224">
    <cfRule type="cellIs" dxfId="65" priority="52" stopIfTrue="1" operator="lessThan">
      <formula>0</formula>
    </cfRule>
    <cfRule type="cellIs" dxfId="64" priority="53" stopIfTrue="1" operator="greaterThan">
      <formula>0</formula>
    </cfRule>
    <cfRule type="cellIs" dxfId="63" priority="54" stopIfTrue="1" operator="equal">
      <formula>0</formula>
    </cfRule>
  </conditionalFormatting>
  <conditionalFormatting sqref="P222:Q224">
    <cfRule type="cellIs" dxfId="62" priority="49" stopIfTrue="1" operator="lessThan">
      <formula>0</formula>
    </cfRule>
    <cfRule type="cellIs" dxfId="61" priority="50" stopIfTrue="1" operator="greaterThan">
      <formula>0</formula>
    </cfRule>
    <cfRule type="cellIs" dxfId="60" priority="51" stopIfTrue="1" operator="equal">
      <formula>0</formula>
    </cfRule>
  </conditionalFormatting>
  <conditionalFormatting sqref="O221">
    <cfRule type="cellIs" dxfId="59" priority="13" stopIfTrue="1" operator="lessThan">
      <formula>0</formula>
    </cfRule>
    <cfRule type="cellIs" dxfId="58" priority="14" stopIfTrue="1" operator="greaterThan">
      <formula>0</formula>
    </cfRule>
    <cfRule type="cellIs" dxfId="57" priority="15" stopIfTrue="1" operator="equal">
      <formula>0</formula>
    </cfRule>
  </conditionalFormatting>
  <conditionalFormatting sqref="H214:H215 H217">
    <cfRule type="cellIs" dxfId="56" priority="46" stopIfTrue="1" operator="lessThan">
      <formula>0</formula>
    </cfRule>
    <cfRule type="cellIs" dxfId="55" priority="47" stopIfTrue="1" operator="greaterThan">
      <formula>0</formula>
    </cfRule>
    <cfRule type="cellIs" dxfId="54" priority="48" stopIfTrue="1" operator="equal">
      <formula>0</formula>
    </cfRule>
  </conditionalFormatting>
  <conditionalFormatting sqref="H218">
    <cfRule type="cellIs" dxfId="53" priority="43" stopIfTrue="1" operator="lessThan">
      <formula>0</formula>
    </cfRule>
    <cfRule type="cellIs" dxfId="52" priority="44" stopIfTrue="1" operator="greaterThan">
      <formula>0</formula>
    </cfRule>
    <cfRule type="cellIs" dxfId="51" priority="45" stopIfTrue="1" operator="equal">
      <formula>0</formula>
    </cfRule>
  </conditionalFormatting>
  <conditionalFormatting sqref="H219">
    <cfRule type="cellIs" dxfId="50" priority="40" stopIfTrue="1" operator="lessThan">
      <formula>0</formula>
    </cfRule>
    <cfRule type="cellIs" dxfId="49" priority="41" stopIfTrue="1" operator="greaterThan">
      <formula>0</formula>
    </cfRule>
    <cfRule type="cellIs" dxfId="48" priority="42" stopIfTrue="1" operator="equal">
      <formula>0</formula>
    </cfRule>
  </conditionalFormatting>
  <conditionalFormatting sqref="H216">
    <cfRule type="cellIs" dxfId="47" priority="37" stopIfTrue="1" operator="lessThan">
      <formula>0</formula>
    </cfRule>
    <cfRule type="cellIs" dxfId="46" priority="38" stopIfTrue="1" operator="greaterThan">
      <formula>0</formula>
    </cfRule>
    <cfRule type="cellIs" dxfId="45" priority="39" stopIfTrue="1" operator="equal">
      <formula>0</formula>
    </cfRule>
  </conditionalFormatting>
  <conditionalFormatting sqref="H220">
    <cfRule type="cellIs" dxfId="44" priority="34" stopIfTrue="1" operator="lessThan">
      <formula>0</formula>
    </cfRule>
    <cfRule type="cellIs" dxfId="43" priority="35" stopIfTrue="1" operator="greaterThan">
      <formula>0</formula>
    </cfRule>
    <cfRule type="cellIs" dxfId="42" priority="36" stopIfTrue="1" operator="equal">
      <formula>0</formula>
    </cfRule>
  </conditionalFormatting>
  <conditionalFormatting sqref="H221">
    <cfRule type="cellIs" dxfId="41" priority="31" stopIfTrue="1" operator="lessThan">
      <formula>0</formula>
    </cfRule>
    <cfRule type="cellIs" dxfId="40" priority="32" stopIfTrue="1" operator="greaterThan">
      <formula>0</formula>
    </cfRule>
    <cfRule type="cellIs" dxfId="39" priority="33" stopIfTrue="1" operator="equal">
      <formula>0</formula>
    </cfRule>
  </conditionalFormatting>
  <conditionalFormatting sqref="O220 M214:O218">
    <cfRule type="cellIs" dxfId="38" priority="28" stopIfTrue="1" operator="lessThan">
      <formula>0</formula>
    </cfRule>
    <cfRule type="cellIs" dxfId="37" priority="29" stopIfTrue="1" operator="greaterThan">
      <formula>0</formula>
    </cfRule>
    <cfRule type="cellIs" dxfId="36" priority="30" stopIfTrue="1" operator="equal">
      <formula>0</formula>
    </cfRule>
  </conditionalFormatting>
  <conditionalFormatting sqref="O219">
    <cfRule type="cellIs" dxfId="35" priority="22" stopIfTrue="1" operator="lessThan">
      <formula>0</formula>
    </cfRule>
    <cfRule type="cellIs" dxfId="34" priority="23" stopIfTrue="1" operator="greaterThan">
      <formula>0</formula>
    </cfRule>
    <cfRule type="cellIs" dxfId="33" priority="24" stopIfTrue="1" operator="equal">
      <formula>0</formula>
    </cfRule>
  </conditionalFormatting>
  <conditionalFormatting sqref="M219:N219">
    <cfRule type="cellIs" dxfId="32" priority="25" stopIfTrue="1" operator="lessThan">
      <formula>0</formula>
    </cfRule>
    <cfRule type="cellIs" dxfId="31" priority="26" stopIfTrue="1" operator="greaterThan">
      <formula>0</formula>
    </cfRule>
    <cfRule type="cellIs" dxfId="30" priority="27" stopIfTrue="1" operator="equal">
      <formula>0</formula>
    </cfRule>
  </conditionalFormatting>
  <conditionalFormatting sqref="M221:N221">
    <cfRule type="cellIs" dxfId="29" priority="16" stopIfTrue="1" operator="lessThan">
      <formula>0</formula>
    </cfRule>
    <cfRule type="cellIs" dxfId="28" priority="17" stopIfTrue="1" operator="greaterThan">
      <formula>0</formula>
    </cfRule>
    <cfRule type="cellIs" dxfId="27" priority="18" stopIfTrue="1" operator="equal">
      <formula>0</formula>
    </cfRule>
  </conditionalFormatting>
  <conditionalFormatting sqref="M2:O2 A2:H2">
    <cfRule type="cellIs" dxfId="26" priority="10" stopIfTrue="1" operator="lessThan">
      <formula>0</formula>
    </cfRule>
    <cfRule type="cellIs" dxfId="25" priority="11" stopIfTrue="1" operator="greaterThan">
      <formula>0</formula>
    </cfRule>
    <cfRule type="cellIs" dxfId="24" priority="12" stopIfTrue="1" operator="equal">
      <formula>0</formula>
    </cfRule>
  </conditionalFormatting>
  <conditionalFormatting sqref="M2:O2 A2:H2">
    <cfRule type="cellIs" dxfId="23" priority="7" stopIfTrue="1" operator="lessThan">
      <formula>0</formula>
    </cfRule>
    <cfRule type="cellIs" dxfId="22" priority="8" stopIfTrue="1" operator="greaterThan">
      <formula>0</formula>
    </cfRule>
    <cfRule type="cellIs" dxfId="21" priority="9" stopIfTrue="1" operator="equal">
      <formula>0</formula>
    </cfRule>
  </conditionalFormatting>
  <conditionalFormatting sqref="P2:Q2">
    <cfRule type="cellIs" dxfId="20" priority="4" stopIfTrue="1" operator="lessThan">
      <formula>0</formula>
    </cfRule>
    <cfRule type="cellIs" dxfId="19" priority="5" stopIfTrue="1" operator="greaterThan">
      <formula>0</formula>
    </cfRule>
    <cfRule type="cellIs" dxfId="18" priority="6" stopIfTrue="1" operator="equal">
      <formula>0</formula>
    </cfRule>
  </conditionalFormatting>
  <conditionalFormatting sqref="P3">
    <cfRule type="cellIs" dxfId="17" priority="1" stopIfTrue="1" operator="lessThan">
      <formula>0</formula>
    </cfRule>
    <cfRule type="cellIs" dxfId="16" priority="2" stopIfTrue="1" operator="greaterThan">
      <formula>0</formula>
    </cfRule>
    <cfRule type="cellIs" dxfId="15" priority="3" stopIfTrue="1" operator="equal">
      <formula>0</formula>
    </cfRule>
  </conditionalFormatting>
  <hyperlinks>
    <hyperlink ref="G218" r:id="rId1" xr:uid="{BDDAA60D-4305-4CCF-A348-0060BB8AA434}"/>
    <hyperlink ref="G214" r:id="rId2" xr:uid="{1FB43634-81BF-46D8-BDEB-8716D0BDD7A2}"/>
    <hyperlink ref="G197" r:id="rId3" xr:uid="{3953197A-9894-4B5F-9EB0-DE4A5012B6D7}"/>
    <hyperlink ref="G194" r:id="rId4" xr:uid="{F7F02164-F917-4988-8A47-461E8663970D}"/>
    <hyperlink ref="G162" r:id="rId5" xr:uid="{84B734D7-14BB-41C4-94E6-EAE6E81B1F03}"/>
    <hyperlink ref="G155" r:id="rId6" xr:uid="{3476EF0D-4843-42DA-BE2C-F86C0F6C8E84}"/>
    <hyperlink ref="G106" r:id="rId7" xr:uid="{8A6165CF-F9A4-460F-86AA-501F2C4625C5}"/>
    <hyperlink ref="G121" r:id="rId8" xr:uid="{57155B9D-D453-470B-A801-64708C7C66A5}"/>
    <hyperlink ref="G136" r:id="rId9" xr:uid="{007993D0-C2FF-4F0E-B5C5-99A2C1EBC1E2}"/>
    <hyperlink ref="G151" r:id="rId10" xr:uid="{DF01AF22-08F4-4C86-959C-24B859476A9E}"/>
    <hyperlink ref="G15" r:id="rId11" xr:uid="{2CBF4205-6168-47FE-890E-0C390390A5E9}"/>
    <hyperlink ref="G10" r:id="rId12" xr:uid="{9A342F5F-B35F-4A68-8D1A-5F505C3883E5}"/>
    <hyperlink ref="G177" r:id="rId13" display="mailto:steeven.sanna@gmail.com" xr:uid="{4649998D-DFD4-4EDF-A4E9-596773503957}"/>
    <hyperlink ref="G115" r:id="rId14" display="mailto:H9401-BO@accor.com" xr:uid="{A13DD9BD-093B-44AD-AB67-9FDD09008311}"/>
    <hyperlink ref="G58" r:id="rId15" xr:uid="{AA2A5443-35CF-447D-B3E6-A047B392D3EE}"/>
    <hyperlink ref="G84" r:id="rId16" display="mailto:mdemeyer@octa-architecture.fr" xr:uid="{9D7366B1-35FB-48FC-9445-0809CBC56126}"/>
    <hyperlink ref="G113" r:id="rId17" xr:uid="{67979D19-E3DC-4E90-A1E3-97A7265CFFE2}"/>
    <hyperlink ref="G75" r:id="rId18" display="alexandra.delumeau@domaxis.fr" xr:uid="{4F012C46-56B6-4928-ACBA-C77589E08CB3}"/>
    <hyperlink ref="G169" r:id="rId19" xr:uid="{BED55380-8724-4ECB-8FD6-58EC9C032F17}"/>
    <hyperlink ref="G183" r:id="rId20" xr:uid="{87E01FF0-A092-40D6-8D8A-8A916AB03865}"/>
    <hyperlink ref="G14" r:id="rId21" xr:uid="{AB3778DD-118B-40B5-9752-2FC53C1B9478}"/>
    <hyperlink ref="G83" r:id="rId22" xr:uid="{2DC724E4-B61D-4ED4-B567-6684A35CEBC7}"/>
    <hyperlink ref="G101" r:id="rId23" xr:uid="{DDE40E4E-B2E8-4312-BCD8-4815197B7917}"/>
  </hyperlinks>
  <pageMargins left="0" right="0" top="0" bottom="0" header="0" footer="0"/>
  <pageSetup paperSize="9" scale="10" orientation="portrait" r:id="rId24"/>
  <headerFooter>
    <oddFooter>&amp;"HelveticaNeue-Light,Regular"&amp;11&amp;P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 filterMode="1"/>
  <dimension ref="A1:V1404"/>
  <sheetViews>
    <sheetView zoomScale="60" zoomScaleNormal="60" zoomScalePageLayoutView="150" workbookViewId="0">
      <pane xSplit="1" ySplit="2" topLeftCell="B25" activePane="bottomRight" state="frozen"/>
      <selection pane="topRight" activeCell="B1" sqref="B1"/>
      <selection pane="bottomLeft" activeCell="A3" sqref="A3"/>
      <selection pane="bottomRight" activeCell="G70" sqref="A67:G70"/>
    </sheetView>
  </sheetViews>
  <sheetFormatPr baseColWidth="10" defaultColWidth="11.23046875" defaultRowHeight="16.2"/>
  <cols>
    <col min="1" max="1" width="33.4609375" style="131" customWidth="1"/>
    <col min="2" max="2" width="35.3828125" customWidth="1"/>
    <col min="3" max="3" width="41.921875" bestFit="1" customWidth="1"/>
    <col min="4" max="4" width="26.3828125" bestFit="1" customWidth="1"/>
    <col min="10" max="10" width="17.69140625" customWidth="1"/>
    <col min="11" max="11" width="11.07421875" bestFit="1" customWidth="1"/>
    <col min="12" max="12" width="11" bestFit="1" customWidth="1"/>
  </cols>
  <sheetData>
    <row r="1" spans="1:11" s="56" customFormat="1">
      <c r="A1" s="130">
        <v>1</v>
      </c>
      <c r="B1" s="98">
        <v>2</v>
      </c>
      <c r="C1" s="98">
        <v>3</v>
      </c>
      <c r="D1" s="98">
        <v>4</v>
      </c>
      <c r="E1" s="98">
        <v>5</v>
      </c>
      <c r="F1" s="98">
        <v>6</v>
      </c>
      <c r="G1" s="98">
        <v>7</v>
      </c>
      <c r="H1" s="98">
        <v>8</v>
      </c>
      <c r="I1" s="98">
        <v>9</v>
      </c>
      <c r="J1" s="98">
        <v>10</v>
      </c>
    </row>
    <row r="2" spans="1:11">
      <c r="A2" s="131" t="s">
        <v>243</v>
      </c>
      <c r="B2" s="15" t="s">
        <v>215</v>
      </c>
      <c r="C2" s="15" t="s">
        <v>64</v>
      </c>
      <c r="D2" s="15" t="s">
        <v>216</v>
      </c>
      <c r="E2" s="15" t="s">
        <v>217</v>
      </c>
      <c r="F2" s="15" t="s">
        <v>218</v>
      </c>
      <c r="G2" s="15" t="s">
        <v>219</v>
      </c>
      <c r="H2" s="15" t="s">
        <v>220</v>
      </c>
      <c r="I2" s="15" t="s">
        <v>221</v>
      </c>
      <c r="J2" s="15" t="s">
        <v>222</v>
      </c>
      <c r="K2" s="15" t="s">
        <v>642</v>
      </c>
    </row>
    <row r="3" spans="1:11" hidden="1">
      <c r="A3" s="131" t="str">
        <f>CONCATENATE(B3,"_",E3)</f>
        <v>AB Parcs Charenton_2018-07</v>
      </c>
      <c r="B3" s="14" t="s">
        <v>2143</v>
      </c>
      <c r="C3" s="14" t="s">
        <v>668</v>
      </c>
      <c r="D3" s="14" t="s">
        <v>535</v>
      </c>
      <c r="E3" s="14" t="s">
        <v>2144</v>
      </c>
      <c r="F3" s="14">
        <v>15</v>
      </c>
      <c r="G3" s="14">
        <v>504.5</v>
      </c>
      <c r="H3" s="14">
        <v>33.630000000000003</v>
      </c>
      <c r="I3" s="14">
        <v>20</v>
      </c>
      <c r="J3" s="14">
        <v>403.6</v>
      </c>
      <c r="K3" s="110" t="str">
        <f>IF(J3=J2,1,"")</f>
        <v/>
      </c>
    </row>
    <row r="4" spans="1:11">
      <c r="A4" s="131" t="str">
        <f>CONCATENATE(B4,"_",E4)</f>
        <v>AB Parcs Charenton_2018-08</v>
      </c>
      <c r="B4" s="14" t="s">
        <v>2143</v>
      </c>
      <c r="C4" s="14" t="s">
        <v>668</v>
      </c>
      <c r="D4" s="14" t="s">
        <v>535</v>
      </c>
      <c r="E4" s="14" t="s">
        <v>2189</v>
      </c>
      <c r="F4" s="14">
        <v>15</v>
      </c>
      <c r="G4" s="14">
        <v>237.77</v>
      </c>
      <c r="H4" s="14">
        <v>15.85</v>
      </c>
      <c r="I4" s="14">
        <v>20</v>
      </c>
      <c r="J4" s="14">
        <v>190.22</v>
      </c>
      <c r="K4" s="110" t="str">
        <f>IF(J4=J3,1,"")</f>
        <v/>
      </c>
    </row>
    <row r="5" spans="1:11" hidden="1">
      <c r="A5" s="131" t="str">
        <f>CONCATENATE(B5,"_",E5)</f>
        <v>AB Parcs Charenton_2018-09</v>
      </c>
      <c r="B5" s="14" t="s">
        <v>2143</v>
      </c>
      <c r="C5" s="14" t="s">
        <v>668</v>
      </c>
      <c r="D5" s="14" t="s">
        <v>535</v>
      </c>
      <c r="E5" s="14" t="s">
        <v>2268</v>
      </c>
      <c r="F5" s="14">
        <v>15</v>
      </c>
      <c r="G5" s="14">
        <v>359</v>
      </c>
      <c r="H5" s="14">
        <v>23.93</v>
      </c>
      <c r="I5" s="14">
        <v>20</v>
      </c>
      <c r="J5" s="14">
        <v>287.2</v>
      </c>
      <c r="K5" s="110" t="str">
        <f>IF(J5=J4,1,"")</f>
        <v/>
      </c>
    </row>
    <row r="6" spans="1:11" hidden="1">
      <c r="A6" s="131" t="str">
        <f t="shared" ref="A6:A69" si="0">CONCATENATE(B6,"_",E6)</f>
        <v>AB Parcs Sentier_2018-07</v>
      </c>
      <c r="B6" s="14" t="s">
        <v>2145</v>
      </c>
      <c r="C6" s="14" t="s">
        <v>669</v>
      </c>
      <c r="D6" s="14" t="s">
        <v>535</v>
      </c>
      <c r="E6" s="14" t="s">
        <v>2144</v>
      </c>
      <c r="F6" s="14">
        <v>10</v>
      </c>
      <c r="G6" s="14">
        <v>2476.8200000000002</v>
      </c>
      <c r="H6" s="14">
        <v>247.68</v>
      </c>
      <c r="I6" s="14">
        <v>20</v>
      </c>
      <c r="J6" s="14">
        <v>1981.46</v>
      </c>
      <c r="K6" s="110"/>
    </row>
    <row r="7" spans="1:11">
      <c r="A7" s="131" t="str">
        <f t="shared" si="0"/>
        <v>AB Parcs Sentier_2018-08</v>
      </c>
      <c r="B7" s="14" t="s">
        <v>2145</v>
      </c>
      <c r="C7" s="14" t="s">
        <v>669</v>
      </c>
      <c r="D7" s="14" t="s">
        <v>535</v>
      </c>
      <c r="E7" s="14" t="s">
        <v>2189</v>
      </c>
      <c r="F7" s="14">
        <v>10</v>
      </c>
      <c r="G7" s="14">
        <v>2400.5500000000002</v>
      </c>
      <c r="H7" s="14">
        <v>240.06</v>
      </c>
      <c r="I7" s="14">
        <v>20</v>
      </c>
      <c r="J7" s="14">
        <v>1920.44</v>
      </c>
      <c r="K7" s="110"/>
    </row>
    <row r="8" spans="1:11" hidden="1">
      <c r="A8" s="131" t="str">
        <f t="shared" si="0"/>
        <v>AB Parcs Sentier_2018-09</v>
      </c>
      <c r="B8" s="14" t="s">
        <v>2145</v>
      </c>
      <c r="C8" s="14" t="s">
        <v>669</v>
      </c>
      <c r="D8" s="14" t="s">
        <v>535</v>
      </c>
      <c r="E8" s="14" t="s">
        <v>2268</v>
      </c>
      <c r="F8" s="14">
        <v>10</v>
      </c>
      <c r="G8" s="14">
        <v>2492.5700000000002</v>
      </c>
      <c r="H8" s="14">
        <v>249.26</v>
      </c>
      <c r="I8" s="14">
        <v>20</v>
      </c>
      <c r="J8" s="14">
        <v>1994.06</v>
      </c>
      <c r="K8" s="110"/>
    </row>
    <row r="9" spans="1:11" hidden="1">
      <c r="A9" s="131" t="str">
        <f t="shared" si="0"/>
        <v>Actis_2018-07</v>
      </c>
      <c r="B9" s="14" t="s">
        <v>1250</v>
      </c>
      <c r="C9" s="14" t="s">
        <v>1251</v>
      </c>
      <c r="D9" s="14" t="s">
        <v>535</v>
      </c>
      <c r="E9" s="14" t="s">
        <v>2144</v>
      </c>
      <c r="F9" s="14">
        <v>3</v>
      </c>
      <c r="G9" s="14">
        <v>67.28</v>
      </c>
      <c r="H9" s="14">
        <v>22.43</v>
      </c>
      <c r="I9" s="14">
        <v>50</v>
      </c>
      <c r="J9" s="14">
        <v>33.64</v>
      </c>
      <c r="K9" s="110"/>
    </row>
    <row r="10" spans="1:11" hidden="1">
      <c r="A10" s="131" t="str">
        <f t="shared" si="0"/>
        <v>Actis_2018-09</v>
      </c>
      <c r="B10" s="14" t="s">
        <v>1250</v>
      </c>
      <c r="C10" s="14" t="s">
        <v>1251</v>
      </c>
      <c r="D10" s="14" t="s">
        <v>535</v>
      </c>
      <c r="E10" s="14" t="s">
        <v>2268</v>
      </c>
      <c r="F10" s="14">
        <v>2</v>
      </c>
      <c r="G10" s="14">
        <v>97.75</v>
      </c>
      <c r="H10" s="14">
        <v>48.88</v>
      </c>
      <c r="I10" s="14">
        <v>40</v>
      </c>
      <c r="J10" s="14">
        <v>58.65</v>
      </c>
      <c r="K10" s="110"/>
    </row>
    <row r="11" spans="1:11" hidden="1">
      <c r="A11" s="131" t="str">
        <f t="shared" si="0"/>
        <v>Actis_2018-07</v>
      </c>
      <c r="B11" s="14" t="s">
        <v>1250</v>
      </c>
      <c r="C11" s="14" t="s">
        <v>1797</v>
      </c>
      <c r="D11" s="14" t="s">
        <v>535</v>
      </c>
      <c r="E11" s="14" t="s">
        <v>2144</v>
      </c>
      <c r="F11" s="14">
        <v>7</v>
      </c>
      <c r="G11" s="14">
        <v>80.67</v>
      </c>
      <c r="H11" s="14">
        <v>11.52</v>
      </c>
      <c r="I11" s="14">
        <v>50</v>
      </c>
      <c r="J11" s="14">
        <v>40.340000000000003</v>
      </c>
      <c r="K11" s="110"/>
    </row>
    <row r="12" spans="1:11">
      <c r="A12" s="131" t="str">
        <f t="shared" si="0"/>
        <v>Actis_2018-08</v>
      </c>
      <c r="B12" s="14" t="s">
        <v>1250</v>
      </c>
      <c r="C12" s="14" t="s">
        <v>1797</v>
      </c>
      <c r="D12" s="14" t="s">
        <v>535</v>
      </c>
      <c r="E12" s="14" t="s">
        <v>2189</v>
      </c>
      <c r="F12" s="14">
        <v>7</v>
      </c>
      <c r="G12" s="14">
        <v>45</v>
      </c>
      <c r="H12" s="14">
        <v>6.43</v>
      </c>
      <c r="I12" s="14">
        <v>40</v>
      </c>
      <c r="J12" s="14">
        <v>27</v>
      </c>
      <c r="K12" s="110"/>
    </row>
    <row r="13" spans="1:11" hidden="1">
      <c r="A13" s="131" t="str">
        <f t="shared" si="0"/>
        <v>Actis_2018-09</v>
      </c>
      <c r="B13" s="14" t="s">
        <v>1250</v>
      </c>
      <c r="C13" s="14" t="s">
        <v>1797</v>
      </c>
      <c r="D13" s="14" t="s">
        <v>535</v>
      </c>
      <c r="E13" s="14" t="s">
        <v>2268</v>
      </c>
      <c r="F13" s="14">
        <v>7</v>
      </c>
      <c r="G13" s="14">
        <v>229.34</v>
      </c>
      <c r="H13" s="14">
        <v>32.76</v>
      </c>
      <c r="I13" s="14">
        <v>40</v>
      </c>
      <c r="J13" s="14">
        <v>137.6</v>
      </c>
      <c r="K13" s="110"/>
    </row>
    <row r="14" spans="1:11" s="56" customFormat="1" hidden="1">
      <c r="A14" s="131" t="str">
        <f t="shared" si="0"/>
        <v>Actis_2018-07</v>
      </c>
      <c r="B14" s="14" t="s">
        <v>1250</v>
      </c>
      <c r="C14" s="14" t="s">
        <v>968</v>
      </c>
      <c r="D14" s="14" t="s">
        <v>535</v>
      </c>
      <c r="E14" s="14" t="s">
        <v>2144</v>
      </c>
      <c r="F14" s="14">
        <v>13</v>
      </c>
      <c r="G14" s="14">
        <v>408.52</v>
      </c>
      <c r="H14" s="14">
        <v>31.42</v>
      </c>
      <c r="I14" s="14">
        <v>40</v>
      </c>
      <c r="J14" s="14">
        <v>245.11</v>
      </c>
      <c r="K14" s="110"/>
    </row>
    <row r="15" spans="1:11" s="56" customFormat="1">
      <c r="A15" s="131" t="str">
        <f t="shared" si="0"/>
        <v>Actis_2018-08</v>
      </c>
      <c r="B15" s="14" t="s">
        <v>1250</v>
      </c>
      <c r="C15" s="14" t="s">
        <v>968</v>
      </c>
      <c r="D15" s="14" t="s">
        <v>535</v>
      </c>
      <c r="E15" s="14" t="s">
        <v>2189</v>
      </c>
      <c r="F15" s="14">
        <v>13</v>
      </c>
      <c r="G15" s="14">
        <v>389.57</v>
      </c>
      <c r="H15" s="14">
        <v>29.97</v>
      </c>
      <c r="I15" s="14">
        <v>40</v>
      </c>
      <c r="J15" s="14">
        <v>233.74</v>
      </c>
      <c r="K15" s="110"/>
    </row>
    <row r="16" spans="1:11" hidden="1">
      <c r="A16" s="131" t="str">
        <f t="shared" si="0"/>
        <v>Actis_2018-09</v>
      </c>
      <c r="B16" s="14" t="s">
        <v>1250</v>
      </c>
      <c r="C16" s="14" t="s">
        <v>968</v>
      </c>
      <c r="D16" s="14" t="s">
        <v>535</v>
      </c>
      <c r="E16" s="14" t="s">
        <v>2268</v>
      </c>
      <c r="F16" s="14">
        <v>13</v>
      </c>
      <c r="G16" s="14">
        <v>895.45</v>
      </c>
      <c r="H16" s="14">
        <v>68.88</v>
      </c>
      <c r="I16" s="14">
        <v>40</v>
      </c>
      <c r="J16" s="14">
        <v>537.27</v>
      </c>
      <c r="K16" s="110"/>
    </row>
    <row r="17" spans="1:11" hidden="1">
      <c r="A17" s="131" t="str">
        <f t="shared" si="0"/>
        <v>Actis_2018-07</v>
      </c>
      <c r="B17" s="14" t="s">
        <v>1250</v>
      </c>
      <c r="C17" s="14" t="s">
        <v>969</v>
      </c>
      <c r="D17" s="14" t="s">
        <v>535</v>
      </c>
      <c r="E17" s="14" t="s">
        <v>2144</v>
      </c>
      <c r="F17" s="14">
        <v>8</v>
      </c>
      <c r="G17" s="14">
        <v>73</v>
      </c>
      <c r="H17" s="14">
        <v>9.1300000000000008</v>
      </c>
      <c r="I17" s="14">
        <v>40</v>
      </c>
      <c r="J17" s="14">
        <v>43.8</v>
      </c>
      <c r="K17" s="110"/>
    </row>
    <row r="18" spans="1:11">
      <c r="A18" s="131" t="str">
        <f t="shared" si="0"/>
        <v>Actis_2018-08</v>
      </c>
      <c r="B18" s="14" t="s">
        <v>1250</v>
      </c>
      <c r="C18" s="14" t="s">
        <v>969</v>
      </c>
      <c r="D18" s="14" t="s">
        <v>535</v>
      </c>
      <c r="E18" s="14" t="s">
        <v>2189</v>
      </c>
      <c r="F18" s="14">
        <v>8</v>
      </c>
      <c r="G18" s="14">
        <v>98.5</v>
      </c>
      <c r="H18" s="14">
        <v>12.31</v>
      </c>
      <c r="I18" s="14">
        <v>40</v>
      </c>
      <c r="J18" s="14">
        <v>59.1</v>
      </c>
      <c r="K18" s="110"/>
    </row>
    <row r="19" spans="1:11" hidden="1">
      <c r="A19" s="131" t="str">
        <f t="shared" si="0"/>
        <v>Actis_2018-09</v>
      </c>
      <c r="B19" s="14" t="s">
        <v>1250</v>
      </c>
      <c r="C19" s="14" t="s">
        <v>969</v>
      </c>
      <c r="D19" s="14" t="s">
        <v>535</v>
      </c>
      <c r="E19" s="14" t="s">
        <v>2268</v>
      </c>
      <c r="F19" s="14">
        <v>8</v>
      </c>
      <c r="G19" s="14">
        <v>66</v>
      </c>
      <c r="H19" s="14">
        <v>8.25</v>
      </c>
      <c r="I19" s="14">
        <v>40</v>
      </c>
      <c r="J19" s="14">
        <v>39.6</v>
      </c>
      <c r="K19" s="110"/>
    </row>
    <row r="20" spans="1:11">
      <c r="A20" s="131" t="str">
        <f t="shared" si="0"/>
        <v>Actis_2018-08</v>
      </c>
      <c r="B20" s="14" t="s">
        <v>1250</v>
      </c>
      <c r="C20" s="14" t="s">
        <v>2190</v>
      </c>
      <c r="D20" s="14" t="s">
        <v>535</v>
      </c>
      <c r="E20" s="14" t="s">
        <v>2189</v>
      </c>
      <c r="F20" s="14">
        <v>4</v>
      </c>
      <c r="G20" s="14">
        <v>5</v>
      </c>
      <c r="H20" s="14">
        <v>1.25</v>
      </c>
      <c r="I20" s="14">
        <v>40</v>
      </c>
      <c r="J20" s="14">
        <v>3</v>
      </c>
      <c r="K20" s="110"/>
    </row>
    <row r="21" spans="1:11" hidden="1">
      <c r="A21" s="131" t="str">
        <f t="shared" si="0"/>
        <v>Actis_2018-07</v>
      </c>
      <c r="B21" s="14" t="s">
        <v>1250</v>
      </c>
      <c r="C21" s="14" t="s">
        <v>1126</v>
      </c>
      <c r="D21" s="14" t="s">
        <v>535</v>
      </c>
      <c r="E21" s="14" t="s">
        <v>2144</v>
      </c>
      <c r="F21" s="14">
        <v>3</v>
      </c>
      <c r="G21" s="14">
        <v>80.260000000000005</v>
      </c>
      <c r="H21" s="14">
        <v>26.75</v>
      </c>
      <c r="I21" s="14">
        <v>40</v>
      </c>
      <c r="J21" s="14">
        <v>48.16</v>
      </c>
      <c r="K21" s="110"/>
    </row>
    <row r="22" spans="1:11">
      <c r="A22" s="131" t="str">
        <f t="shared" si="0"/>
        <v>Actis_2018-08</v>
      </c>
      <c r="B22" s="14" t="s">
        <v>1250</v>
      </c>
      <c r="C22" s="14" t="s">
        <v>1126</v>
      </c>
      <c r="D22" s="14" t="s">
        <v>535</v>
      </c>
      <c r="E22" s="14" t="s">
        <v>2189</v>
      </c>
      <c r="F22" s="14">
        <v>3</v>
      </c>
      <c r="G22" s="14">
        <v>44</v>
      </c>
      <c r="H22" s="14">
        <v>14.67</v>
      </c>
      <c r="I22" s="14">
        <v>40</v>
      </c>
      <c r="J22" s="14">
        <v>26.4</v>
      </c>
      <c r="K22" s="110"/>
    </row>
    <row r="23" spans="1:11" hidden="1">
      <c r="A23" s="131" t="str">
        <f t="shared" si="0"/>
        <v>Actis_2018-09</v>
      </c>
      <c r="B23" s="14" t="s">
        <v>1250</v>
      </c>
      <c r="C23" s="14" t="s">
        <v>1126</v>
      </c>
      <c r="D23" s="14" t="s">
        <v>535</v>
      </c>
      <c r="E23" s="14" t="s">
        <v>2268</v>
      </c>
      <c r="F23" s="14">
        <v>3</v>
      </c>
      <c r="G23" s="14">
        <v>40</v>
      </c>
      <c r="H23" s="14">
        <v>13.33</v>
      </c>
      <c r="I23" s="14">
        <v>40</v>
      </c>
      <c r="J23" s="14">
        <v>24</v>
      </c>
      <c r="K23" s="110"/>
    </row>
    <row r="24" spans="1:11" hidden="1">
      <c r="A24" s="131" t="str">
        <f t="shared" si="0"/>
        <v>Adoma_2018-07</v>
      </c>
      <c r="B24" s="14" t="s">
        <v>226</v>
      </c>
      <c r="C24" s="14" t="s">
        <v>670</v>
      </c>
      <c r="D24" s="14" t="s">
        <v>671</v>
      </c>
      <c r="E24" s="14" t="s">
        <v>2144</v>
      </c>
      <c r="F24" s="14">
        <v>39</v>
      </c>
      <c r="G24" s="14">
        <v>886.19</v>
      </c>
      <c r="H24" s="14">
        <v>22.72</v>
      </c>
      <c r="I24" s="14">
        <v>30</v>
      </c>
      <c r="J24" s="14">
        <v>620.33000000000004</v>
      </c>
      <c r="K24" s="110"/>
    </row>
    <row r="25" spans="1:11">
      <c r="A25" s="131" t="str">
        <f t="shared" si="0"/>
        <v>Adoma_2018-08</v>
      </c>
      <c r="B25" s="14" t="s">
        <v>226</v>
      </c>
      <c r="C25" s="14" t="s">
        <v>670</v>
      </c>
      <c r="D25" s="14" t="s">
        <v>671</v>
      </c>
      <c r="E25" s="14" t="s">
        <v>2189</v>
      </c>
      <c r="F25" s="14">
        <v>39</v>
      </c>
      <c r="G25" s="14">
        <v>1003.24</v>
      </c>
      <c r="H25" s="14">
        <v>25.72</v>
      </c>
      <c r="I25" s="14">
        <v>30</v>
      </c>
      <c r="J25" s="14">
        <v>702.27</v>
      </c>
      <c r="K25" s="110"/>
    </row>
    <row r="26" spans="1:11" hidden="1">
      <c r="A26" s="131" t="str">
        <f t="shared" si="0"/>
        <v>Adoma_2018-09</v>
      </c>
      <c r="B26" s="14" t="s">
        <v>226</v>
      </c>
      <c r="C26" s="14" t="s">
        <v>670</v>
      </c>
      <c r="D26" s="14" t="s">
        <v>671</v>
      </c>
      <c r="E26" s="14" t="s">
        <v>2268</v>
      </c>
      <c r="F26" s="14">
        <v>39</v>
      </c>
      <c r="G26" s="14">
        <v>1085.5999999999999</v>
      </c>
      <c r="H26" s="14">
        <v>27.84</v>
      </c>
      <c r="I26" s="14">
        <v>30</v>
      </c>
      <c r="J26" s="14">
        <v>759.92</v>
      </c>
      <c r="K26" s="110"/>
    </row>
    <row r="27" spans="1:11" s="56" customFormat="1" hidden="1">
      <c r="A27" s="131" t="str">
        <f t="shared" si="0"/>
        <v>Adonis Carcassonne_2018-07</v>
      </c>
      <c r="B27" s="14" t="s">
        <v>1226</v>
      </c>
      <c r="C27" s="14" t="s">
        <v>1968</v>
      </c>
      <c r="D27" s="14" t="s">
        <v>535</v>
      </c>
      <c r="E27" s="14" t="s">
        <v>2144</v>
      </c>
      <c r="F27" s="14">
        <v>4.5199999999999996</v>
      </c>
      <c r="G27" s="14">
        <v>51.5</v>
      </c>
      <c r="H27" s="14">
        <v>11.39</v>
      </c>
      <c r="I27" s="14">
        <v>25</v>
      </c>
      <c r="J27" s="14">
        <v>38.630000000000003</v>
      </c>
      <c r="K27" s="110"/>
    </row>
    <row r="28" spans="1:11">
      <c r="A28" s="131" t="str">
        <f t="shared" si="0"/>
        <v>Adonis Carcassonne_2018-08</v>
      </c>
      <c r="B28" s="14" t="s">
        <v>1226</v>
      </c>
      <c r="C28" s="14" t="s">
        <v>1968</v>
      </c>
      <c r="D28" s="14" t="s">
        <v>535</v>
      </c>
      <c r="E28" s="14" t="s">
        <v>2189</v>
      </c>
      <c r="F28" s="14">
        <v>5</v>
      </c>
      <c r="G28" s="14">
        <v>40.5</v>
      </c>
      <c r="H28" s="14">
        <v>8.1</v>
      </c>
      <c r="I28" s="14">
        <v>25</v>
      </c>
      <c r="J28" s="14">
        <v>30.38</v>
      </c>
      <c r="K28" s="110"/>
    </row>
    <row r="29" spans="1:11" hidden="1">
      <c r="A29" s="131" t="str">
        <f t="shared" si="0"/>
        <v>Adonis Carcassonne_2018-09</v>
      </c>
      <c r="B29" s="14" t="s">
        <v>1226</v>
      </c>
      <c r="C29" s="14" t="s">
        <v>1968</v>
      </c>
      <c r="D29" s="14" t="s">
        <v>535</v>
      </c>
      <c r="E29" s="14" t="s">
        <v>2268</v>
      </c>
      <c r="F29" s="14">
        <v>5</v>
      </c>
      <c r="G29" s="14">
        <v>28.17</v>
      </c>
      <c r="H29" s="14">
        <v>5.63</v>
      </c>
      <c r="I29" s="14">
        <v>25</v>
      </c>
      <c r="J29" s="14">
        <v>21.13</v>
      </c>
      <c r="K29" s="110"/>
    </row>
    <row r="30" spans="1:11" hidden="1">
      <c r="A30" s="131" t="str">
        <f t="shared" si="0"/>
        <v>Adonis La Baule_2018-09</v>
      </c>
      <c r="B30" s="14" t="s">
        <v>1227</v>
      </c>
      <c r="C30" s="14" t="s">
        <v>2281</v>
      </c>
      <c r="D30" s="14" t="s">
        <v>535</v>
      </c>
      <c r="E30" s="14" t="s">
        <v>2268</v>
      </c>
      <c r="F30" s="14">
        <v>5</v>
      </c>
      <c r="G30" s="14">
        <v>8</v>
      </c>
      <c r="H30" s="14">
        <v>1.6</v>
      </c>
      <c r="I30" s="14">
        <v>25</v>
      </c>
      <c r="J30" s="14">
        <v>6</v>
      </c>
      <c r="K30" s="110"/>
    </row>
    <row r="31" spans="1:11" s="56" customFormat="1" hidden="1">
      <c r="A31" s="131" t="str">
        <f t="shared" si="0"/>
        <v>Adonis Paris Sud_2018-07</v>
      </c>
      <c r="B31" s="14" t="s">
        <v>1230</v>
      </c>
      <c r="C31" s="14" t="s">
        <v>1746</v>
      </c>
      <c r="D31" s="14" t="s">
        <v>535</v>
      </c>
      <c r="E31" s="14" t="s">
        <v>2144</v>
      </c>
      <c r="F31" s="14">
        <v>5</v>
      </c>
      <c r="G31" s="14">
        <v>285</v>
      </c>
      <c r="H31" s="14">
        <v>57</v>
      </c>
      <c r="I31" s="14">
        <v>25</v>
      </c>
      <c r="J31" s="14">
        <v>213.75</v>
      </c>
      <c r="K31" s="110"/>
    </row>
    <row r="32" spans="1:11" s="56" customFormat="1">
      <c r="A32" s="131" t="str">
        <f t="shared" si="0"/>
        <v>Adonis Paris Sud_2018-08</v>
      </c>
      <c r="B32" s="14" t="s">
        <v>1230</v>
      </c>
      <c r="C32" s="14" t="s">
        <v>1746</v>
      </c>
      <c r="D32" s="14" t="s">
        <v>535</v>
      </c>
      <c r="E32" s="14" t="s">
        <v>2189</v>
      </c>
      <c r="F32" s="14">
        <v>5</v>
      </c>
      <c r="G32" s="14">
        <v>496</v>
      </c>
      <c r="H32" s="14">
        <v>99.2</v>
      </c>
      <c r="I32" s="14">
        <v>25</v>
      </c>
      <c r="J32" s="14">
        <v>372</v>
      </c>
      <c r="K32" s="110"/>
    </row>
    <row r="33" spans="1:11" s="56" customFormat="1" hidden="1">
      <c r="A33" s="131" t="str">
        <f t="shared" si="0"/>
        <v>Adonis Paris Sud_2018-09</v>
      </c>
      <c r="B33" s="14" t="s">
        <v>1230</v>
      </c>
      <c r="C33" s="14" t="s">
        <v>1746</v>
      </c>
      <c r="D33" s="14" t="s">
        <v>535</v>
      </c>
      <c r="E33" s="14" t="s">
        <v>2268</v>
      </c>
      <c r="F33" s="14">
        <v>5</v>
      </c>
      <c r="G33" s="14">
        <v>198</v>
      </c>
      <c r="H33" s="14">
        <v>39.6</v>
      </c>
      <c r="I33" s="14">
        <v>25</v>
      </c>
      <c r="J33" s="14">
        <v>148.5</v>
      </c>
      <c r="K33" s="110"/>
    </row>
    <row r="34" spans="1:11" s="56" customFormat="1" hidden="1">
      <c r="A34" s="131" t="str">
        <f t="shared" si="0"/>
        <v>AEREL_2018-07</v>
      </c>
      <c r="B34" s="14" t="s">
        <v>2146</v>
      </c>
      <c r="C34" s="14" t="s">
        <v>2147</v>
      </c>
      <c r="D34" s="14" t="s">
        <v>535</v>
      </c>
      <c r="E34" s="14" t="s">
        <v>2144</v>
      </c>
      <c r="F34" s="14">
        <v>20</v>
      </c>
      <c r="G34" s="14">
        <v>271</v>
      </c>
      <c r="H34" s="14">
        <v>13.55</v>
      </c>
      <c r="I34" s="14">
        <v>23</v>
      </c>
      <c r="J34" s="14">
        <v>208.67</v>
      </c>
      <c r="K34" s="110"/>
    </row>
    <row r="35" spans="1:11">
      <c r="A35" s="131" t="str">
        <f t="shared" si="0"/>
        <v>AEREL_2018-08</v>
      </c>
      <c r="B35" s="14" t="s">
        <v>2146</v>
      </c>
      <c r="C35" s="14" t="s">
        <v>2147</v>
      </c>
      <c r="D35" s="14" t="s">
        <v>535</v>
      </c>
      <c r="E35" s="14" t="s">
        <v>2189</v>
      </c>
      <c r="F35" s="14">
        <v>20</v>
      </c>
      <c r="G35" s="14">
        <v>429</v>
      </c>
      <c r="H35" s="14">
        <v>21.45</v>
      </c>
      <c r="I35" s="14">
        <v>23</v>
      </c>
      <c r="J35" s="14">
        <v>330.33</v>
      </c>
      <c r="K35" s="110"/>
    </row>
    <row r="36" spans="1:11" hidden="1">
      <c r="A36" s="131" t="str">
        <f t="shared" si="0"/>
        <v>AEREL_2018-09</v>
      </c>
      <c r="B36" s="14" t="s">
        <v>2146</v>
      </c>
      <c r="C36" s="14" t="s">
        <v>2147</v>
      </c>
      <c r="D36" s="14" t="s">
        <v>535</v>
      </c>
      <c r="E36" s="14" t="s">
        <v>2268</v>
      </c>
      <c r="F36" s="14">
        <v>20</v>
      </c>
      <c r="G36" s="14">
        <v>142</v>
      </c>
      <c r="H36" s="14">
        <v>7.1</v>
      </c>
      <c r="I36" s="14">
        <v>23</v>
      </c>
      <c r="J36" s="14">
        <v>109.34</v>
      </c>
      <c r="K36" s="110"/>
    </row>
    <row r="37" spans="1:11" s="56" customFormat="1" hidden="1">
      <c r="A37" s="131" t="str">
        <f t="shared" si="0"/>
        <v>All Suites Orly_2018-07</v>
      </c>
      <c r="B37" s="14" t="s">
        <v>227</v>
      </c>
      <c r="C37" s="14" t="s">
        <v>1747</v>
      </c>
      <c r="D37" s="14" t="s">
        <v>535</v>
      </c>
      <c r="E37" s="14" t="s">
        <v>2144</v>
      </c>
      <c r="F37" s="14">
        <v>36</v>
      </c>
      <c r="G37" s="14">
        <v>2909</v>
      </c>
      <c r="H37" s="14">
        <v>80.81</v>
      </c>
      <c r="I37" s="14">
        <v>40</v>
      </c>
      <c r="J37" s="14">
        <v>1745.4</v>
      </c>
      <c r="K37" s="110"/>
    </row>
    <row r="38" spans="1:11" s="56" customFormat="1">
      <c r="A38" s="131" t="str">
        <f t="shared" si="0"/>
        <v>All Suites Orly_2018-08</v>
      </c>
      <c r="B38" s="14" t="s">
        <v>227</v>
      </c>
      <c r="C38" s="14" t="s">
        <v>1747</v>
      </c>
      <c r="D38" s="14" t="s">
        <v>535</v>
      </c>
      <c r="E38" s="14" t="s">
        <v>2189</v>
      </c>
      <c r="F38" s="14">
        <v>36</v>
      </c>
      <c r="G38" s="14">
        <v>2909</v>
      </c>
      <c r="H38" s="14">
        <v>80.81</v>
      </c>
      <c r="I38" s="14">
        <v>40</v>
      </c>
      <c r="J38" s="14">
        <v>1745.4</v>
      </c>
      <c r="K38" s="110"/>
    </row>
    <row r="39" spans="1:11" s="56" customFormat="1" hidden="1">
      <c r="A39" s="131" t="str">
        <f t="shared" si="0"/>
        <v>All Suites Orly_2018-09</v>
      </c>
      <c r="B39" s="14" t="s">
        <v>227</v>
      </c>
      <c r="C39" s="14" t="s">
        <v>1747</v>
      </c>
      <c r="D39" s="14" t="s">
        <v>535</v>
      </c>
      <c r="E39" s="14" t="s">
        <v>2268</v>
      </c>
      <c r="F39" s="14">
        <v>36</v>
      </c>
      <c r="G39" s="14">
        <v>2909</v>
      </c>
      <c r="H39" s="14">
        <v>80.81</v>
      </c>
      <c r="I39" s="14">
        <v>40</v>
      </c>
      <c r="J39" s="14">
        <v>1745.4</v>
      </c>
      <c r="K39" s="110"/>
    </row>
    <row r="40" spans="1:11" hidden="1">
      <c r="A40" s="131" t="str">
        <f t="shared" si="0"/>
        <v>Alter Cités_2018-07</v>
      </c>
      <c r="B40" s="14" t="s">
        <v>2043</v>
      </c>
      <c r="C40" s="14" t="s">
        <v>672</v>
      </c>
      <c r="D40" s="14" t="s">
        <v>535</v>
      </c>
      <c r="E40" s="14" t="s">
        <v>2144</v>
      </c>
      <c r="F40" s="14">
        <v>127</v>
      </c>
      <c r="G40" s="14">
        <v>4255.83</v>
      </c>
      <c r="H40" s="14">
        <v>33.51</v>
      </c>
      <c r="I40" s="14">
        <v>30</v>
      </c>
      <c r="J40" s="14">
        <v>2979.08</v>
      </c>
      <c r="K40" s="110"/>
    </row>
    <row r="41" spans="1:11">
      <c r="A41" s="131" t="str">
        <f t="shared" si="0"/>
        <v>Alter Cités_2018-08</v>
      </c>
      <c r="B41" s="14" t="s">
        <v>2043</v>
      </c>
      <c r="C41" s="14" t="s">
        <v>672</v>
      </c>
      <c r="D41" s="14" t="s">
        <v>535</v>
      </c>
      <c r="E41" s="14" t="s">
        <v>2189</v>
      </c>
      <c r="F41" s="14">
        <v>127</v>
      </c>
      <c r="G41" s="14">
        <v>3300.56</v>
      </c>
      <c r="H41" s="14">
        <v>25.99</v>
      </c>
      <c r="I41" s="14">
        <v>30</v>
      </c>
      <c r="J41" s="14">
        <v>2310.39</v>
      </c>
      <c r="K41" s="110"/>
    </row>
    <row r="42" spans="1:11" hidden="1">
      <c r="A42" s="131" t="str">
        <f t="shared" si="0"/>
        <v>Alter Cités_2018-09</v>
      </c>
      <c r="B42" s="14" t="s">
        <v>2043</v>
      </c>
      <c r="C42" s="14" t="s">
        <v>672</v>
      </c>
      <c r="D42" s="14" t="s">
        <v>535</v>
      </c>
      <c r="E42" s="14" t="s">
        <v>2268</v>
      </c>
      <c r="F42" s="14">
        <v>127</v>
      </c>
      <c r="G42" s="14">
        <v>3324.81</v>
      </c>
      <c r="H42" s="14">
        <v>26.18</v>
      </c>
      <c r="I42" s="14">
        <v>30</v>
      </c>
      <c r="J42" s="14">
        <v>2327.37</v>
      </c>
      <c r="K42" s="110"/>
    </row>
    <row r="43" spans="1:11" hidden="1">
      <c r="A43" s="131" t="str">
        <f t="shared" si="0"/>
        <v>ANTIN 75/77/94_2018-07</v>
      </c>
      <c r="B43" s="14" t="s">
        <v>880</v>
      </c>
      <c r="C43" s="14" t="s">
        <v>666</v>
      </c>
      <c r="D43" s="14" t="s">
        <v>1516</v>
      </c>
      <c r="E43" s="14" t="s">
        <v>2144</v>
      </c>
      <c r="F43" s="14">
        <v>7</v>
      </c>
      <c r="G43" s="14">
        <v>351.41</v>
      </c>
      <c r="H43" s="14">
        <v>50.2</v>
      </c>
      <c r="I43" s="14">
        <v>35</v>
      </c>
      <c r="J43" s="14">
        <v>228.42</v>
      </c>
      <c r="K43" s="110"/>
    </row>
    <row r="44" spans="1:11">
      <c r="A44" s="131" t="str">
        <f t="shared" si="0"/>
        <v>ANTIN 75/77/94_2018-08</v>
      </c>
      <c r="B44" s="14" t="s">
        <v>880</v>
      </c>
      <c r="C44" s="14" t="s">
        <v>666</v>
      </c>
      <c r="D44" s="14" t="s">
        <v>1516</v>
      </c>
      <c r="E44" s="14" t="s">
        <v>2189</v>
      </c>
      <c r="F44" s="14">
        <v>7</v>
      </c>
      <c r="G44" s="14">
        <v>355.01</v>
      </c>
      <c r="H44" s="14">
        <v>50.72</v>
      </c>
      <c r="I44" s="14">
        <v>35</v>
      </c>
      <c r="J44" s="14">
        <v>230.76</v>
      </c>
      <c r="K44" s="110"/>
    </row>
    <row r="45" spans="1:11" hidden="1">
      <c r="A45" s="131" t="str">
        <f t="shared" si="0"/>
        <v>ANTIN 75/77/94_2018-09</v>
      </c>
      <c r="B45" s="14" t="s">
        <v>880</v>
      </c>
      <c r="C45" s="14" t="s">
        <v>666</v>
      </c>
      <c r="D45" s="14" t="s">
        <v>1516</v>
      </c>
      <c r="E45" s="14" t="s">
        <v>2268</v>
      </c>
      <c r="F45" s="14">
        <v>7</v>
      </c>
      <c r="G45" s="14">
        <v>366.14</v>
      </c>
      <c r="H45" s="14">
        <v>52.31</v>
      </c>
      <c r="I45" s="14">
        <v>35</v>
      </c>
      <c r="J45" s="14">
        <v>237.99</v>
      </c>
      <c r="K45" s="110"/>
    </row>
    <row r="46" spans="1:11" hidden="1">
      <c r="A46" s="131" t="str">
        <f t="shared" si="0"/>
        <v>ANTIN 75/77/94_2018-07</v>
      </c>
      <c r="B46" s="14" t="s">
        <v>880</v>
      </c>
      <c r="C46" s="14" t="s">
        <v>1172</v>
      </c>
      <c r="D46" s="14" t="s">
        <v>1517</v>
      </c>
      <c r="E46" s="14" t="s">
        <v>2144</v>
      </c>
      <c r="F46" s="14">
        <v>7</v>
      </c>
      <c r="G46" s="14">
        <v>550</v>
      </c>
      <c r="H46" s="14">
        <v>78.569999999999993</v>
      </c>
      <c r="I46" s="14">
        <v>40</v>
      </c>
      <c r="J46" s="14">
        <v>330</v>
      </c>
      <c r="K46" s="110"/>
    </row>
    <row r="47" spans="1:11">
      <c r="A47" s="131" t="str">
        <f t="shared" si="0"/>
        <v>ANTIN 75/77/94_2018-08</v>
      </c>
      <c r="B47" s="14" t="s">
        <v>880</v>
      </c>
      <c r="C47" s="14" t="s">
        <v>1172</v>
      </c>
      <c r="D47" s="14" t="s">
        <v>1517</v>
      </c>
      <c r="E47" s="14" t="s">
        <v>2189</v>
      </c>
      <c r="F47" s="14">
        <v>7</v>
      </c>
      <c r="G47" s="14">
        <v>550</v>
      </c>
      <c r="H47" s="14">
        <v>78.569999999999993</v>
      </c>
      <c r="I47" s="14">
        <v>35</v>
      </c>
      <c r="J47" s="14">
        <v>357.5</v>
      </c>
      <c r="K47" s="110"/>
    </row>
    <row r="48" spans="1:11" hidden="1">
      <c r="A48" s="131" t="str">
        <f t="shared" si="0"/>
        <v>ANTIN 75/77/94_2018-09</v>
      </c>
      <c r="B48" s="14" t="s">
        <v>880</v>
      </c>
      <c r="C48" s="14" t="s">
        <v>1172</v>
      </c>
      <c r="D48" s="14" t="s">
        <v>1517</v>
      </c>
      <c r="E48" s="14" t="s">
        <v>2268</v>
      </c>
      <c r="F48" s="14">
        <v>7</v>
      </c>
      <c r="G48" s="14">
        <v>550</v>
      </c>
      <c r="H48" s="14">
        <v>78.569999999999993</v>
      </c>
      <c r="I48" s="14">
        <v>35</v>
      </c>
      <c r="J48" s="14">
        <v>357.5</v>
      </c>
      <c r="K48" s="110"/>
    </row>
    <row r="49" spans="1:11" hidden="1">
      <c r="A49" s="131" t="str">
        <f t="shared" si="0"/>
        <v>ANTIN 78/92/91_2018-09</v>
      </c>
      <c r="B49" s="14" t="s">
        <v>2191</v>
      </c>
      <c r="C49" s="14" t="s">
        <v>2282</v>
      </c>
      <c r="D49" s="14" t="s">
        <v>535</v>
      </c>
      <c r="E49" s="14" t="s">
        <v>2268</v>
      </c>
      <c r="F49" s="14">
        <v>4</v>
      </c>
      <c r="G49" s="14">
        <v>11</v>
      </c>
      <c r="H49" s="14">
        <v>2.75</v>
      </c>
      <c r="I49" s="14">
        <v>40</v>
      </c>
      <c r="J49" s="14">
        <v>6.6</v>
      </c>
      <c r="K49" s="110"/>
    </row>
    <row r="50" spans="1:11">
      <c r="A50" s="131" t="str">
        <f t="shared" si="0"/>
        <v>ANTIN 78/92/91_2018-08</v>
      </c>
      <c r="B50" s="14" t="s">
        <v>2191</v>
      </c>
      <c r="C50" s="14" t="s">
        <v>2192</v>
      </c>
      <c r="D50" s="14" t="s">
        <v>535</v>
      </c>
      <c r="E50" s="14" t="s">
        <v>2189</v>
      </c>
      <c r="F50" s="14">
        <v>5</v>
      </c>
      <c r="G50" s="14">
        <v>45</v>
      </c>
      <c r="H50" s="14">
        <v>9</v>
      </c>
      <c r="I50" s="14">
        <v>40</v>
      </c>
      <c r="J50" s="14">
        <v>27</v>
      </c>
      <c r="K50" s="110"/>
    </row>
    <row r="51" spans="1:11" hidden="1">
      <c r="A51" s="131" t="str">
        <f t="shared" si="0"/>
        <v>Appart'City La Rochelle_2018-07</v>
      </c>
      <c r="B51" s="14" t="s">
        <v>1674</v>
      </c>
      <c r="C51" s="14" t="s">
        <v>937</v>
      </c>
      <c r="D51" s="14" t="s">
        <v>535</v>
      </c>
      <c r="E51" s="14" t="s">
        <v>2144</v>
      </c>
      <c r="F51" s="14">
        <v>15</v>
      </c>
      <c r="G51" s="14">
        <v>366.17</v>
      </c>
      <c r="H51" s="14">
        <v>24.41</v>
      </c>
      <c r="I51" s="14">
        <v>35</v>
      </c>
      <c r="J51" s="14">
        <v>238.01</v>
      </c>
      <c r="K51" s="110"/>
    </row>
    <row r="52" spans="1:11">
      <c r="A52" s="131" t="str">
        <f t="shared" si="0"/>
        <v>Appart'City La Rochelle_2018-08</v>
      </c>
      <c r="B52" s="14" t="s">
        <v>1674</v>
      </c>
      <c r="C52" s="14" t="s">
        <v>937</v>
      </c>
      <c r="D52" s="14" t="s">
        <v>535</v>
      </c>
      <c r="E52" s="14" t="s">
        <v>2189</v>
      </c>
      <c r="F52" s="14">
        <v>15</v>
      </c>
      <c r="G52" s="14">
        <v>453.33</v>
      </c>
      <c r="H52" s="14">
        <v>30.22</v>
      </c>
      <c r="I52" s="14">
        <v>35</v>
      </c>
      <c r="J52" s="14">
        <v>294.66000000000003</v>
      </c>
      <c r="K52" s="110"/>
    </row>
    <row r="53" spans="1:11" hidden="1">
      <c r="A53" s="131" t="str">
        <f t="shared" si="0"/>
        <v>Appart'City La Rochelle_2018-09</v>
      </c>
      <c r="B53" s="14" t="s">
        <v>1674</v>
      </c>
      <c r="C53" s="14" t="s">
        <v>937</v>
      </c>
      <c r="D53" s="14" t="s">
        <v>535</v>
      </c>
      <c r="E53" s="14" t="s">
        <v>2268</v>
      </c>
      <c r="F53" s="14">
        <v>15</v>
      </c>
      <c r="G53" s="14">
        <v>343.73</v>
      </c>
      <c r="H53" s="14">
        <v>22.92</v>
      </c>
      <c r="I53" s="14">
        <v>35</v>
      </c>
      <c r="J53" s="14">
        <v>223.42</v>
      </c>
      <c r="K53" s="110"/>
    </row>
    <row r="54" spans="1:11" hidden="1">
      <c r="A54" s="131" t="str">
        <f t="shared" si="0"/>
        <v>Appart'City Limoges_2018-07</v>
      </c>
      <c r="B54" s="14" t="s">
        <v>1199</v>
      </c>
      <c r="C54" s="14" t="s">
        <v>2148</v>
      </c>
      <c r="D54" s="14" t="s">
        <v>535</v>
      </c>
      <c r="E54" s="14" t="s">
        <v>2144</v>
      </c>
      <c r="F54" s="14">
        <v>5</v>
      </c>
      <c r="G54" s="14">
        <v>103</v>
      </c>
      <c r="H54" s="14">
        <v>20.6</v>
      </c>
      <c r="I54" s="14">
        <v>35</v>
      </c>
      <c r="J54" s="14">
        <v>66.95</v>
      </c>
      <c r="K54" s="110"/>
    </row>
    <row r="55" spans="1:11">
      <c r="A55" s="131" t="str">
        <f t="shared" si="0"/>
        <v>Appart'City Limoges_2018-08</v>
      </c>
      <c r="B55" s="14" t="s">
        <v>1199</v>
      </c>
      <c r="C55" s="14" t="s">
        <v>2148</v>
      </c>
      <c r="D55" s="14" t="s">
        <v>535</v>
      </c>
      <c r="E55" s="14" t="s">
        <v>2189</v>
      </c>
      <c r="F55" s="14">
        <v>5</v>
      </c>
      <c r="G55" s="14">
        <v>21.59</v>
      </c>
      <c r="H55" s="14">
        <v>4.32</v>
      </c>
      <c r="I55" s="14">
        <v>35</v>
      </c>
      <c r="J55" s="14">
        <v>14.03</v>
      </c>
      <c r="K55" s="110"/>
    </row>
    <row r="56" spans="1:11" hidden="1">
      <c r="A56" s="131" t="str">
        <f t="shared" si="0"/>
        <v>Appart'City Limoges_2018-09</v>
      </c>
      <c r="B56" s="14" t="s">
        <v>1199</v>
      </c>
      <c r="C56" s="14" t="s">
        <v>2148</v>
      </c>
      <c r="D56" s="14" t="s">
        <v>535</v>
      </c>
      <c r="E56" s="14" t="s">
        <v>2268</v>
      </c>
      <c r="F56" s="14">
        <v>5</v>
      </c>
      <c r="G56" s="14">
        <v>73.239999999999995</v>
      </c>
      <c r="H56" s="14">
        <v>14.65</v>
      </c>
      <c r="I56" s="14">
        <v>35</v>
      </c>
      <c r="J56" s="14">
        <v>47.61</v>
      </c>
      <c r="K56" s="110"/>
    </row>
    <row r="57" spans="1:11" hidden="1">
      <c r="A57" s="131" t="str">
        <f t="shared" si="0"/>
        <v>Appart'City Lyon Perache_2018-07</v>
      </c>
      <c r="B57" s="14" t="s">
        <v>2045</v>
      </c>
      <c r="C57" s="14" t="s">
        <v>673</v>
      </c>
      <c r="D57" s="14" t="s">
        <v>535</v>
      </c>
      <c r="E57" s="14" t="s">
        <v>2144</v>
      </c>
      <c r="F57" s="14">
        <v>5</v>
      </c>
      <c r="G57" s="14">
        <v>1438.82</v>
      </c>
      <c r="H57" s="14">
        <v>287.76</v>
      </c>
      <c r="I57" s="14">
        <v>35</v>
      </c>
      <c r="J57" s="14">
        <v>935.23</v>
      </c>
      <c r="K57" s="110"/>
    </row>
    <row r="58" spans="1:11">
      <c r="A58" s="131" t="str">
        <f t="shared" si="0"/>
        <v>Appart'City Lyon Perache_2018-08</v>
      </c>
      <c r="B58" s="14" t="s">
        <v>2045</v>
      </c>
      <c r="C58" s="14" t="s">
        <v>673</v>
      </c>
      <c r="D58" s="14" t="s">
        <v>535</v>
      </c>
      <c r="E58" s="14" t="s">
        <v>2189</v>
      </c>
      <c r="F58" s="14">
        <v>5</v>
      </c>
      <c r="G58" s="14">
        <v>1118.9100000000001</v>
      </c>
      <c r="H58" s="14">
        <v>223.78</v>
      </c>
      <c r="I58" s="14">
        <v>35</v>
      </c>
      <c r="J58" s="14">
        <v>727.29</v>
      </c>
      <c r="K58" s="110"/>
    </row>
    <row r="59" spans="1:11" hidden="1">
      <c r="A59" s="131" t="str">
        <f t="shared" si="0"/>
        <v>Appart'City Lyon Perache_2018-09</v>
      </c>
      <c r="B59" s="14" t="s">
        <v>2045</v>
      </c>
      <c r="C59" s="14" t="s">
        <v>673</v>
      </c>
      <c r="D59" s="14" t="s">
        <v>535</v>
      </c>
      <c r="E59" s="14" t="s">
        <v>2268</v>
      </c>
      <c r="F59" s="14">
        <v>5</v>
      </c>
      <c r="G59" s="14">
        <v>1181.3900000000001</v>
      </c>
      <c r="H59" s="14">
        <v>236.28</v>
      </c>
      <c r="I59" s="14">
        <v>35</v>
      </c>
      <c r="J59" s="14">
        <v>767.9</v>
      </c>
      <c r="K59" s="110"/>
    </row>
    <row r="60" spans="1:11" hidden="1">
      <c r="A60" s="131" t="str">
        <f t="shared" si="0"/>
        <v>Appart'City Lyon Villette_2018-07</v>
      </c>
      <c r="B60" s="14" t="s">
        <v>2046</v>
      </c>
      <c r="C60" s="14" t="s">
        <v>674</v>
      </c>
      <c r="D60" s="14" t="s">
        <v>535</v>
      </c>
      <c r="E60" s="14" t="s">
        <v>2144</v>
      </c>
      <c r="F60" s="14">
        <v>8</v>
      </c>
      <c r="G60" s="14">
        <v>1658.87</v>
      </c>
      <c r="H60" s="14">
        <v>207.36</v>
      </c>
      <c r="I60" s="14">
        <v>35</v>
      </c>
      <c r="J60" s="14">
        <v>1078.27</v>
      </c>
      <c r="K60" s="110"/>
    </row>
    <row r="61" spans="1:11">
      <c r="A61" s="131" t="str">
        <f t="shared" si="0"/>
        <v>Appart'City Lyon Villette_2018-08</v>
      </c>
      <c r="B61" s="14" t="s">
        <v>2046</v>
      </c>
      <c r="C61" s="14" t="s">
        <v>674</v>
      </c>
      <c r="D61" s="14" t="s">
        <v>535</v>
      </c>
      <c r="E61" s="14" t="s">
        <v>2189</v>
      </c>
      <c r="F61" s="14">
        <v>8</v>
      </c>
      <c r="G61" s="14">
        <v>503.72</v>
      </c>
      <c r="H61" s="14">
        <v>62.97</v>
      </c>
      <c r="I61" s="14">
        <v>35</v>
      </c>
      <c r="J61" s="14">
        <v>327.42</v>
      </c>
      <c r="K61" s="110"/>
    </row>
    <row r="62" spans="1:11" hidden="1">
      <c r="A62" s="131" t="str">
        <f t="shared" si="0"/>
        <v>Appart'City Lyon Villette_2018-09</v>
      </c>
      <c r="B62" s="14" t="s">
        <v>2046</v>
      </c>
      <c r="C62" s="14" t="s">
        <v>674</v>
      </c>
      <c r="D62" s="14" t="s">
        <v>535</v>
      </c>
      <c r="E62" s="14" t="s">
        <v>2268</v>
      </c>
      <c r="F62" s="14">
        <v>7.47</v>
      </c>
      <c r="G62" s="14">
        <v>1408.32</v>
      </c>
      <c r="H62" s="14">
        <v>188.53</v>
      </c>
      <c r="I62" s="14">
        <v>35</v>
      </c>
      <c r="J62" s="14">
        <v>915.41</v>
      </c>
      <c r="K62" s="110"/>
    </row>
    <row r="63" spans="1:11" hidden="1">
      <c r="A63" s="131" t="str">
        <f t="shared" si="0"/>
        <v>Appart'City Lyon Villeurbanne_2018-07</v>
      </c>
      <c r="B63" s="14" t="s">
        <v>938</v>
      </c>
      <c r="C63" s="14" t="s">
        <v>939</v>
      </c>
      <c r="D63" s="14" t="s">
        <v>535</v>
      </c>
      <c r="E63" s="14" t="s">
        <v>2144</v>
      </c>
      <c r="F63" s="14">
        <v>20</v>
      </c>
      <c r="G63" s="14">
        <v>551.29999999999995</v>
      </c>
      <c r="H63" s="14">
        <v>27.56</v>
      </c>
      <c r="I63" s="14">
        <v>35</v>
      </c>
      <c r="J63" s="14">
        <v>358.35</v>
      </c>
      <c r="K63" s="110"/>
    </row>
    <row r="64" spans="1:11">
      <c r="A64" s="131" t="str">
        <f t="shared" si="0"/>
        <v>Appart'City Lyon Villeurbanne_2018-08</v>
      </c>
      <c r="B64" s="14" t="s">
        <v>938</v>
      </c>
      <c r="C64" s="14" t="s">
        <v>939</v>
      </c>
      <c r="D64" s="14" t="s">
        <v>535</v>
      </c>
      <c r="E64" s="14" t="s">
        <v>2189</v>
      </c>
      <c r="F64" s="14">
        <v>20</v>
      </c>
      <c r="G64" s="14">
        <v>582.08000000000004</v>
      </c>
      <c r="H64" s="14">
        <v>29.1</v>
      </c>
      <c r="I64" s="14">
        <v>35</v>
      </c>
      <c r="J64" s="14">
        <v>378.35</v>
      </c>
      <c r="K64" s="110"/>
    </row>
    <row r="65" spans="1:11" hidden="1">
      <c r="A65" s="131" t="str">
        <f t="shared" si="0"/>
        <v>Appart'City Lyon Villeurbanne_2018-09</v>
      </c>
      <c r="B65" s="14" t="s">
        <v>938</v>
      </c>
      <c r="C65" s="14" t="s">
        <v>939</v>
      </c>
      <c r="D65" s="14" t="s">
        <v>535</v>
      </c>
      <c r="E65" s="14" t="s">
        <v>2268</v>
      </c>
      <c r="F65" s="14">
        <v>20</v>
      </c>
      <c r="G65" s="14">
        <v>598.11</v>
      </c>
      <c r="H65" s="14">
        <v>29.91</v>
      </c>
      <c r="I65" s="14">
        <v>35</v>
      </c>
      <c r="J65" s="14">
        <v>388.77</v>
      </c>
      <c r="K65" s="110"/>
    </row>
    <row r="66" spans="1:11" hidden="1">
      <c r="A66" s="131" t="str">
        <f t="shared" si="0"/>
        <v>Appart'City Marseille_2018-07</v>
      </c>
      <c r="B66" s="14" t="s">
        <v>2149</v>
      </c>
      <c r="C66" s="14" t="s">
        <v>675</v>
      </c>
      <c r="D66" s="14" t="s">
        <v>535</v>
      </c>
      <c r="E66" s="14" t="s">
        <v>2144</v>
      </c>
      <c r="F66" s="14">
        <v>19.48</v>
      </c>
      <c r="G66" s="14">
        <v>1412.11</v>
      </c>
      <c r="H66" s="14">
        <v>72.489999999999995</v>
      </c>
      <c r="I66" s="14">
        <v>35</v>
      </c>
      <c r="J66" s="14">
        <v>917.87</v>
      </c>
      <c r="K66" s="110"/>
    </row>
    <row r="67" spans="1:11">
      <c r="A67" s="131" t="str">
        <f t="shared" si="0"/>
        <v>Appart'City Marseille_2018-08</v>
      </c>
      <c r="B67" s="14" t="s">
        <v>2149</v>
      </c>
      <c r="C67" s="14" t="s">
        <v>675</v>
      </c>
      <c r="D67" s="14" t="s">
        <v>535</v>
      </c>
      <c r="E67" s="14" t="s">
        <v>2189</v>
      </c>
      <c r="F67" s="14">
        <v>20</v>
      </c>
      <c r="G67" s="14">
        <v>1454.86</v>
      </c>
      <c r="H67" s="14">
        <v>72.739999999999995</v>
      </c>
      <c r="I67" s="14">
        <v>35</v>
      </c>
      <c r="J67" s="14">
        <v>945.66</v>
      </c>
      <c r="K67" s="110"/>
    </row>
    <row r="68" spans="1:11" hidden="1">
      <c r="A68" s="131" t="str">
        <f t="shared" si="0"/>
        <v>Appart'City Marseille_2018-09</v>
      </c>
      <c r="B68" s="14" t="s">
        <v>2149</v>
      </c>
      <c r="C68" s="14" t="s">
        <v>675</v>
      </c>
      <c r="D68" s="14" t="s">
        <v>535</v>
      </c>
      <c r="E68" s="14" t="s">
        <v>2268</v>
      </c>
      <c r="F68" s="14">
        <v>28</v>
      </c>
      <c r="G68" s="14">
        <v>1361.49</v>
      </c>
      <c r="H68" s="14">
        <v>48.62</v>
      </c>
      <c r="I68" s="14">
        <v>35</v>
      </c>
      <c r="J68" s="14">
        <v>884.97</v>
      </c>
      <c r="K68" s="110"/>
    </row>
    <row r="69" spans="1:11" hidden="1">
      <c r="A69" s="131" t="str">
        <f t="shared" si="0"/>
        <v>Appart'City Montpellier_2018-07</v>
      </c>
      <c r="B69" s="14" t="s">
        <v>2150</v>
      </c>
      <c r="C69" s="14" t="s">
        <v>676</v>
      </c>
      <c r="D69" s="14" t="s">
        <v>535</v>
      </c>
      <c r="E69" s="14" t="s">
        <v>2144</v>
      </c>
      <c r="F69" s="14">
        <v>15</v>
      </c>
      <c r="G69" s="14">
        <v>987.27</v>
      </c>
      <c r="H69" s="14">
        <v>65.819999999999993</v>
      </c>
      <c r="I69" s="14">
        <v>35</v>
      </c>
      <c r="J69" s="14">
        <v>641.73</v>
      </c>
      <c r="K69" s="110"/>
    </row>
    <row r="70" spans="1:11" s="56" customFormat="1">
      <c r="A70" s="131" t="str">
        <f t="shared" ref="A70:A133" si="1">CONCATENATE(B70,"_",E70)</f>
        <v>Appart'City Montpellier_2018-08</v>
      </c>
      <c r="B70" s="14" t="s">
        <v>2150</v>
      </c>
      <c r="C70" s="14" t="s">
        <v>676</v>
      </c>
      <c r="D70" s="14" t="s">
        <v>535</v>
      </c>
      <c r="E70" s="14" t="s">
        <v>2189</v>
      </c>
      <c r="F70" s="14">
        <v>15</v>
      </c>
      <c r="G70" s="14">
        <v>982.77</v>
      </c>
      <c r="H70" s="14">
        <v>65.52</v>
      </c>
      <c r="I70" s="14">
        <v>35</v>
      </c>
      <c r="J70" s="14">
        <v>638.79999999999995</v>
      </c>
      <c r="K70" s="110"/>
    </row>
    <row r="71" spans="1:11" hidden="1">
      <c r="A71" s="131" t="str">
        <f t="shared" si="1"/>
        <v>Appart'City Montpellier_2018-09</v>
      </c>
      <c r="B71" s="14" t="s">
        <v>2150</v>
      </c>
      <c r="C71" s="14" t="s">
        <v>676</v>
      </c>
      <c r="D71" s="14" t="s">
        <v>535</v>
      </c>
      <c r="E71" s="14" t="s">
        <v>2268</v>
      </c>
      <c r="F71" s="14">
        <v>15</v>
      </c>
      <c r="G71" s="14">
        <v>1111.24</v>
      </c>
      <c r="H71" s="14">
        <v>74.08</v>
      </c>
      <c r="I71" s="14">
        <v>35</v>
      </c>
      <c r="J71" s="14">
        <v>722.31</v>
      </c>
      <c r="K71" s="110"/>
    </row>
    <row r="72" spans="1:11" hidden="1">
      <c r="A72" s="131" t="str">
        <f t="shared" si="1"/>
        <v>Appart'City Nice_2018-07</v>
      </c>
      <c r="B72" s="14" t="s">
        <v>1675</v>
      </c>
      <c r="C72" s="14" t="s">
        <v>677</v>
      </c>
      <c r="D72" s="14" t="s">
        <v>535</v>
      </c>
      <c r="E72" s="14" t="s">
        <v>2144</v>
      </c>
      <c r="F72" s="14">
        <v>5</v>
      </c>
      <c r="G72" s="14">
        <v>623.05999999999995</v>
      </c>
      <c r="H72" s="14">
        <v>124.61</v>
      </c>
      <c r="I72" s="14">
        <v>35</v>
      </c>
      <c r="J72" s="14">
        <v>404.99</v>
      </c>
      <c r="K72" s="110"/>
    </row>
    <row r="73" spans="1:11">
      <c r="A73" s="131" t="str">
        <f t="shared" si="1"/>
        <v>Appart'City Nice_2018-08</v>
      </c>
      <c r="B73" s="14" t="s">
        <v>1675</v>
      </c>
      <c r="C73" s="14" t="s">
        <v>677</v>
      </c>
      <c r="D73" s="14" t="s">
        <v>535</v>
      </c>
      <c r="E73" s="14" t="s">
        <v>2189</v>
      </c>
      <c r="F73" s="14">
        <v>5</v>
      </c>
      <c r="G73" s="14">
        <v>167.39</v>
      </c>
      <c r="H73" s="14">
        <v>33.479999999999997</v>
      </c>
      <c r="I73" s="14">
        <v>35</v>
      </c>
      <c r="J73" s="14">
        <v>108.8</v>
      </c>
      <c r="K73" s="110"/>
    </row>
    <row r="74" spans="1:11" hidden="1">
      <c r="A74" s="131" t="str">
        <f t="shared" si="1"/>
        <v>Appart'City Nice_2018-09</v>
      </c>
      <c r="B74" s="14" t="s">
        <v>1675</v>
      </c>
      <c r="C74" s="14" t="s">
        <v>677</v>
      </c>
      <c r="D74" s="14" t="s">
        <v>535</v>
      </c>
      <c r="E74" s="14" t="s">
        <v>2268</v>
      </c>
      <c r="F74" s="14">
        <v>5</v>
      </c>
      <c r="G74" s="14">
        <v>377.21</v>
      </c>
      <c r="H74" s="14">
        <v>75.44</v>
      </c>
      <c r="I74" s="14">
        <v>35</v>
      </c>
      <c r="J74" s="14">
        <v>245.19</v>
      </c>
      <c r="K74" s="110"/>
    </row>
    <row r="75" spans="1:11" hidden="1">
      <c r="A75" s="131" t="str">
        <f t="shared" si="1"/>
        <v>Appart'City Perpignan_2018-07</v>
      </c>
      <c r="B75" s="14" t="s">
        <v>2047</v>
      </c>
      <c r="C75" s="14" t="s">
        <v>1173</v>
      </c>
      <c r="D75" s="14" t="s">
        <v>535</v>
      </c>
      <c r="E75" s="14" t="s">
        <v>2144</v>
      </c>
      <c r="F75" s="14">
        <v>6.55</v>
      </c>
      <c r="G75" s="14">
        <v>268.25</v>
      </c>
      <c r="H75" s="14">
        <v>40.950000000000003</v>
      </c>
      <c r="I75" s="14">
        <v>35</v>
      </c>
      <c r="J75" s="14">
        <v>174.36</v>
      </c>
      <c r="K75" s="110"/>
    </row>
    <row r="76" spans="1:11">
      <c r="A76" s="131" t="str">
        <f t="shared" si="1"/>
        <v>Appart'City Perpignan_2018-08</v>
      </c>
      <c r="B76" s="14" t="s">
        <v>2047</v>
      </c>
      <c r="C76" s="14" t="s">
        <v>1173</v>
      </c>
      <c r="D76" s="14" t="s">
        <v>535</v>
      </c>
      <c r="E76" s="14" t="s">
        <v>2189</v>
      </c>
      <c r="F76" s="14">
        <v>5.81</v>
      </c>
      <c r="G76" s="14">
        <v>568.47</v>
      </c>
      <c r="H76" s="14">
        <v>97.84</v>
      </c>
      <c r="I76" s="14">
        <v>35</v>
      </c>
      <c r="J76" s="14">
        <v>369.51</v>
      </c>
      <c r="K76" s="110"/>
    </row>
    <row r="77" spans="1:11" hidden="1">
      <c r="A77" s="131" t="str">
        <f t="shared" si="1"/>
        <v>Appart'City Perpignan_2018-09</v>
      </c>
      <c r="B77" s="14" t="s">
        <v>2047</v>
      </c>
      <c r="C77" s="14" t="s">
        <v>1173</v>
      </c>
      <c r="D77" s="14" t="s">
        <v>535</v>
      </c>
      <c r="E77" s="14" t="s">
        <v>2268</v>
      </c>
      <c r="F77" s="14">
        <v>10</v>
      </c>
      <c r="G77" s="14">
        <v>955.41</v>
      </c>
      <c r="H77" s="14">
        <v>95.54</v>
      </c>
      <c r="I77" s="14">
        <v>35</v>
      </c>
      <c r="J77" s="14">
        <v>621.02</v>
      </c>
      <c r="K77" s="110"/>
    </row>
    <row r="78" spans="1:11" hidden="1">
      <c r="A78" s="131" t="str">
        <f t="shared" si="1"/>
        <v>Aquitania SAS_2018-07</v>
      </c>
      <c r="B78" s="14" t="s">
        <v>1883</v>
      </c>
      <c r="C78" s="14" t="s">
        <v>812</v>
      </c>
      <c r="D78" s="14" t="s">
        <v>535</v>
      </c>
      <c r="E78" s="14" t="s">
        <v>2144</v>
      </c>
      <c r="F78" s="14">
        <v>20</v>
      </c>
      <c r="G78" s="14">
        <v>32.08</v>
      </c>
      <c r="H78" s="14">
        <v>1.6</v>
      </c>
      <c r="I78" s="14">
        <v>25</v>
      </c>
      <c r="J78" s="14">
        <v>24.06</v>
      </c>
      <c r="K78" s="110"/>
    </row>
    <row r="79" spans="1:11">
      <c r="A79" s="131" t="str">
        <f t="shared" si="1"/>
        <v>Aquitania SAS_2018-08</v>
      </c>
      <c r="B79" s="14" t="s">
        <v>1883</v>
      </c>
      <c r="C79" s="14" t="s">
        <v>812</v>
      </c>
      <c r="D79" s="14" t="s">
        <v>535</v>
      </c>
      <c r="E79" s="14" t="s">
        <v>2189</v>
      </c>
      <c r="F79" s="14">
        <v>20</v>
      </c>
      <c r="G79" s="14">
        <v>79.88</v>
      </c>
      <c r="H79" s="14">
        <v>3.99</v>
      </c>
      <c r="I79" s="14">
        <v>25</v>
      </c>
      <c r="J79" s="14">
        <v>59.91</v>
      </c>
      <c r="K79" s="110"/>
    </row>
    <row r="80" spans="1:11" hidden="1">
      <c r="A80" s="131" t="str">
        <f t="shared" si="1"/>
        <v>Aquitania SAS_2018-09</v>
      </c>
      <c r="B80" s="14" t="s">
        <v>1883</v>
      </c>
      <c r="C80" s="14" t="s">
        <v>812</v>
      </c>
      <c r="D80" s="14" t="s">
        <v>535</v>
      </c>
      <c r="E80" s="14" t="s">
        <v>2268</v>
      </c>
      <c r="F80" s="14">
        <v>20</v>
      </c>
      <c r="G80" s="14">
        <v>80.53</v>
      </c>
      <c r="H80" s="14">
        <v>4.03</v>
      </c>
      <c r="I80" s="14">
        <v>25</v>
      </c>
      <c r="J80" s="14">
        <v>60.4</v>
      </c>
      <c r="K80" s="110"/>
    </row>
    <row r="81" spans="1:11" hidden="1">
      <c r="A81" s="131" t="str">
        <f t="shared" si="1"/>
        <v>Aralis_2018-07</v>
      </c>
      <c r="B81" s="14" t="s">
        <v>2048</v>
      </c>
      <c r="C81" s="14" t="s">
        <v>1252</v>
      </c>
      <c r="D81" s="14" t="s">
        <v>535</v>
      </c>
      <c r="E81" s="14" t="s">
        <v>2144</v>
      </c>
      <c r="F81" s="14">
        <v>42</v>
      </c>
      <c r="G81" s="14">
        <v>1521.65</v>
      </c>
      <c r="H81" s="14">
        <v>36.229999999999997</v>
      </c>
      <c r="I81" s="14">
        <v>40</v>
      </c>
      <c r="J81" s="14">
        <v>912.99</v>
      </c>
      <c r="K81" s="110"/>
    </row>
    <row r="82" spans="1:11">
      <c r="A82" s="131" t="str">
        <f t="shared" si="1"/>
        <v>Aralis_2018-08</v>
      </c>
      <c r="B82" s="14" t="s">
        <v>2048</v>
      </c>
      <c r="C82" s="14" t="s">
        <v>1252</v>
      </c>
      <c r="D82" s="14" t="s">
        <v>535</v>
      </c>
      <c r="E82" s="14" t="s">
        <v>2189</v>
      </c>
      <c r="F82" s="14">
        <v>42</v>
      </c>
      <c r="G82" s="14">
        <v>1361.01</v>
      </c>
      <c r="H82" s="14">
        <v>32.409999999999997</v>
      </c>
      <c r="I82" s="14">
        <v>40</v>
      </c>
      <c r="J82" s="14">
        <v>816.61</v>
      </c>
      <c r="K82" s="110"/>
    </row>
    <row r="83" spans="1:11" hidden="1">
      <c r="A83" s="131" t="str">
        <f t="shared" si="1"/>
        <v>Aralis_2018-09</v>
      </c>
      <c r="B83" s="14" t="s">
        <v>2048</v>
      </c>
      <c r="C83" s="14" t="s">
        <v>1252</v>
      </c>
      <c r="D83" s="14" t="s">
        <v>535</v>
      </c>
      <c r="E83" s="14" t="s">
        <v>2268</v>
      </c>
      <c r="F83" s="14">
        <v>42</v>
      </c>
      <c r="G83" s="14">
        <v>1965.96</v>
      </c>
      <c r="H83" s="14">
        <v>46.81</v>
      </c>
      <c r="I83" s="14">
        <v>35</v>
      </c>
      <c r="J83" s="14">
        <v>1277.8699999999999</v>
      </c>
      <c r="K83" s="110"/>
    </row>
    <row r="84" spans="1:11" hidden="1">
      <c r="A84" s="131" t="str">
        <f t="shared" si="1"/>
        <v>Aralis_2018-07</v>
      </c>
      <c r="B84" s="14" t="s">
        <v>2048</v>
      </c>
      <c r="C84" s="14" t="s">
        <v>1354</v>
      </c>
      <c r="D84" s="14" t="s">
        <v>535</v>
      </c>
      <c r="E84" s="14" t="s">
        <v>2144</v>
      </c>
      <c r="F84" s="14">
        <v>52</v>
      </c>
      <c r="G84" s="14">
        <v>860.96</v>
      </c>
      <c r="H84" s="14">
        <v>16.559999999999999</v>
      </c>
      <c r="I84" s="14">
        <v>40</v>
      </c>
      <c r="J84" s="14">
        <v>516.58000000000004</v>
      </c>
      <c r="K84" s="110"/>
    </row>
    <row r="85" spans="1:11">
      <c r="A85" s="131" t="str">
        <f t="shared" si="1"/>
        <v>Aralis_2018-08</v>
      </c>
      <c r="B85" s="14" t="s">
        <v>2048</v>
      </c>
      <c r="C85" s="14" t="s">
        <v>1354</v>
      </c>
      <c r="D85" s="14" t="s">
        <v>535</v>
      </c>
      <c r="E85" s="14" t="s">
        <v>2189</v>
      </c>
      <c r="F85" s="14">
        <v>52</v>
      </c>
      <c r="G85" s="14">
        <v>1091.0999999999999</v>
      </c>
      <c r="H85" s="14">
        <v>20.98</v>
      </c>
      <c r="I85" s="14">
        <v>40</v>
      </c>
      <c r="J85" s="14">
        <v>654.66</v>
      </c>
      <c r="K85" s="110"/>
    </row>
    <row r="86" spans="1:11" hidden="1">
      <c r="A86" s="131" t="str">
        <f t="shared" si="1"/>
        <v>Aralis_2018-09</v>
      </c>
      <c r="B86" s="14" t="s">
        <v>2048</v>
      </c>
      <c r="C86" s="14" t="s">
        <v>1354</v>
      </c>
      <c r="D86" s="14" t="s">
        <v>535</v>
      </c>
      <c r="E86" s="14" t="s">
        <v>2268</v>
      </c>
      <c r="F86" s="14">
        <v>52</v>
      </c>
      <c r="G86" s="14">
        <v>1196.57</v>
      </c>
      <c r="H86" s="14">
        <v>23.01</v>
      </c>
      <c r="I86" s="14">
        <v>35</v>
      </c>
      <c r="J86" s="14">
        <v>777.77</v>
      </c>
      <c r="K86" s="110"/>
    </row>
    <row r="87" spans="1:11" hidden="1">
      <c r="A87" s="131" t="str">
        <f t="shared" si="1"/>
        <v>Aream Property_2018-07</v>
      </c>
      <c r="B87" s="14" t="s">
        <v>2049</v>
      </c>
      <c r="C87" s="14" t="s">
        <v>1174</v>
      </c>
      <c r="D87" s="14" t="s">
        <v>535</v>
      </c>
      <c r="E87" s="14" t="s">
        <v>2144</v>
      </c>
      <c r="F87" s="14">
        <v>100</v>
      </c>
      <c r="G87" s="14">
        <v>5229.8599999999997</v>
      </c>
      <c r="H87" s="14">
        <v>52.3</v>
      </c>
      <c r="I87" s="14">
        <v>40</v>
      </c>
      <c r="J87" s="14">
        <v>3137.92</v>
      </c>
      <c r="K87" s="110"/>
    </row>
    <row r="88" spans="1:11">
      <c r="A88" s="131" t="str">
        <f t="shared" si="1"/>
        <v>Aream Property_2018-08</v>
      </c>
      <c r="B88" s="14" t="s">
        <v>2049</v>
      </c>
      <c r="C88" s="14" t="s">
        <v>1174</v>
      </c>
      <c r="D88" s="14" t="s">
        <v>535</v>
      </c>
      <c r="E88" s="14" t="s">
        <v>2189</v>
      </c>
      <c r="F88" s="14">
        <v>100</v>
      </c>
      <c r="G88" s="14">
        <v>4570.46</v>
      </c>
      <c r="H88" s="14">
        <v>45.7</v>
      </c>
      <c r="I88" s="14">
        <v>40</v>
      </c>
      <c r="J88" s="14">
        <v>2742.28</v>
      </c>
      <c r="K88" s="110"/>
    </row>
    <row r="89" spans="1:11" hidden="1">
      <c r="A89" s="131" t="str">
        <f t="shared" si="1"/>
        <v>Aream Property_2018-09</v>
      </c>
      <c r="B89" s="14" t="s">
        <v>2049</v>
      </c>
      <c r="C89" s="14" t="s">
        <v>1174</v>
      </c>
      <c r="D89" s="14" t="s">
        <v>535</v>
      </c>
      <c r="E89" s="14" t="s">
        <v>2268</v>
      </c>
      <c r="F89" s="14">
        <v>100</v>
      </c>
      <c r="G89" s="14">
        <v>4524.07</v>
      </c>
      <c r="H89" s="14">
        <v>45.24</v>
      </c>
      <c r="I89" s="14">
        <v>40</v>
      </c>
      <c r="J89" s="14">
        <v>2714.44</v>
      </c>
      <c r="K89" s="110"/>
    </row>
    <row r="90" spans="1:11" hidden="1">
      <c r="A90" s="131" t="str">
        <f t="shared" si="1"/>
        <v>ASL Smartseille_2018-07</v>
      </c>
      <c r="B90" s="14" t="s">
        <v>1175</v>
      </c>
      <c r="C90" s="14" t="s">
        <v>1134</v>
      </c>
      <c r="D90" s="14" t="s">
        <v>535</v>
      </c>
      <c r="E90" s="14" t="s">
        <v>2144</v>
      </c>
      <c r="F90" s="14">
        <v>173</v>
      </c>
      <c r="G90" s="14">
        <v>774.65</v>
      </c>
      <c r="H90" s="14">
        <v>4.4800000000000004</v>
      </c>
      <c r="I90" s="14">
        <v>80</v>
      </c>
      <c r="J90" s="14">
        <v>154.93</v>
      </c>
      <c r="K90" s="110"/>
    </row>
    <row r="91" spans="1:11">
      <c r="A91" s="131" t="str">
        <f t="shared" si="1"/>
        <v>ASL Smartseille_2018-08</v>
      </c>
      <c r="B91" s="14" t="s">
        <v>1175</v>
      </c>
      <c r="C91" s="14" t="s">
        <v>1134</v>
      </c>
      <c r="D91" s="14" t="s">
        <v>535</v>
      </c>
      <c r="E91" s="14" t="s">
        <v>2189</v>
      </c>
      <c r="F91" s="14">
        <v>173</v>
      </c>
      <c r="G91" s="14">
        <v>820.9</v>
      </c>
      <c r="H91" s="14">
        <v>4.75</v>
      </c>
      <c r="I91" s="14">
        <v>80</v>
      </c>
      <c r="J91" s="14">
        <v>164.18</v>
      </c>
      <c r="K91" s="110"/>
    </row>
    <row r="92" spans="1:11" hidden="1">
      <c r="A92" s="131" t="str">
        <f t="shared" si="1"/>
        <v>ASL Smartseille_2018-09</v>
      </c>
      <c r="B92" s="14" t="s">
        <v>1175</v>
      </c>
      <c r="C92" s="14" t="s">
        <v>1134</v>
      </c>
      <c r="D92" s="14" t="s">
        <v>535</v>
      </c>
      <c r="E92" s="14" t="s">
        <v>2268</v>
      </c>
      <c r="F92" s="14">
        <v>173</v>
      </c>
      <c r="G92" s="14">
        <v>-757.9</v>
      </c>
      <c r="H92" s="14">
        <v>-4.38</v>
      </c>
      <c r="I92" s="14">
        <v>80</v>
      </c>
      <c r="J92" s="14">
        <v>-151.58000000000001</v>
      </c>
      <c r="K92" s="110"/>
    </row>
    <row r="93" spans="1:11" hidden="1">
      <c r="A93" s="131" t="str">
        <f t="shared" si="1"/>
        <v>Attentifimmo_2018-07</v>
      </c>
      <c r="B93" s="14" t="s">
        <v>2050</v>
      </c>
      <c r="C93" s="14" t="s">
        <v>1393</v>
      </c>
      <c r="D93" s="14" t="s">
        <v>1394</v>
      </c>
      <c r="E93" s="14" t="s">
        <v>2144</v>
      </c>
      <c r="F93" s="14">
        <v>7</v>
      </c>
      <c r="G93" s="14">
        <v>490.56</v>
      </c>
      <c r="H93" s="14">
        <v>70.08</v>
      </c>
      <c r="I93" s="14">
        <v>35</v>
      </c>
      <c r="J93" s="14">
        <v>318.86</v>
      </c>
      <c r="K93" s="110"/>
    </row>
    <row r="94" spans="1:11">
      <c r="A94" s="131" t="str">
        <f t="shared" si="1"/>
        <v>Attentifimmo_2018-08</v>
      </c>
      <c r="B94" s="14" t="s">
        <v>2050</v>
      </c>
      <c r="C94" s="14" t="s">
        <v>1393</v>
      </c>
      <c r="D94" s="14" t="s">
        <v>1394</v>
      </c>
      <c r="E94" s="14" t="s">
        <v>2189</v>
      </c>
      <c r="F94" s="14">
        <v>7</v>
      </c>
      <c r="G94" s="14">
        <v>403.46</v>
      </c>
      <c r="H94" s="14">
        <v>57.64</v>
      </c>
      <c r="I94" s="14">
        <v>35</v>
      </c>
      <c r="J94" s="14">
        <v>262.25</v>
      </c>
      <c r="K94" s="110"/>
    </row>
    <row r="95" spans="1:11" hidden="1">
      <c r="A95" s="131" t="str">
        <f t="shared" si="1"/>
        <v>Attentifimmo_2018-09</v>
      </c>
      <c r="B95" s="14" t="s">
        <v>2050</v>
      </c>
      <c r="C95" s="14" t="s">
        <v>1393</v>
      </c>
      <c r="D95" s="14" t="s">
        <v>1394</v>
      </c>
      <c r="E95" s="14" t="s">
        <v>2268</v>
      </c>
      <c r="F95" s="14">
        <v>7</v>
      </c>
      <c r="G95" s="14">
        <v>276.62</v>
      </c>
      <c r="H95" s="14">
        <v>39.520000000000003</v>
      </c>
      <c r="I95" s="14">
        <v>35</v>
      </c>
      <c r="J95" s="14">
        <v>179.8</v>
      </c>
      <c r="K95" s="110"/>
    </row>
    <row r="96" spans="1:11" hidden="1">
      <c r="A96" s="131" t="str">
        <f t="shared" si="1"/>
        <v>Auvergne Habitat_2018-07</v>
      </c>
      <c r="B96" s="14" t="s">
        <v>1692</v>
      </c>
      <c r="C96" s="14" t="s">
        <v>1748</v>
      </c>
      <c r="D96" s="14" t="s">
        <v>535</v>
      </c>
      <c r="E96" s="14" t="s">
        <v>2144</v>
      </c>
      <c r="F96" s="14">
        <v>8</v>
      </c>
      <c r="G96" s="14">
        <v>35</v>
      </c>
      <c r="H96" s="14">
        <v>4.38</v>
      </c>
      <c r="I96" s="14">
        <v>40</v>
      </c>
      <c r="J96" s="14">
        <v>21</v>
      </c>
      <c r="K96" s="110"/>
    </row>
    <row r="97" spans="1:11">
      <c r="A97" s="131" t="str">
        <f t="shared" si="1"/>
        <v>Auvergne Habitat_2018-08</v>
      </c>
      <c r="B97" s="14" t="s">
        <v>1692</v>
      </c>
      <c r="C97" s="14" t="s">
        <v>1748</v>
      </c>
      <c r="D97" s="14" t="s">
        <v>535</v>
      </c>
      <c r="E97" s="14" t="s">
        <v>2189</v>
      </c>
      <c r="F97" s="14">
        <v>8</v>
      </c>
      <c r="G97" s="14">
        <v>142.03</v>
      </c>
      <c r="H97" s="14">
        <v>17.75</v>
      </c>
      <c r="I97" s="14">
        <v>40</v>
      </c>
      <c r="J97" s="14">
        <v>85.22</v>
      </c>
      <c r="K97" s="110"/>
    </row>
    <row r="98" spans="1:11" hidden="1">
      <c r="A98" s="131" t="str">
        <f t="shared" si="1"/>
        <v>Auvergne Habitat_2018-09</v>
      </c>
      <c r="B98" s="14" t="s">
        <v>1692</v>
      </c>
      <c r="C98" s="14" t="s">
        <v>1748</v>
      </c>
      <c r="D98" s="14" t="s">
        <v>535</v>
      </c>
      <c r="E98" s="14" t="s">
        <v>2268</v>
      </c>
      <c r="F98" s="14">
        <v>8</v>
      </c>
      <c r="G98" s="14">
        <v>75</v>
      </c>
      <c r="H98" s="14">
        <v>9.3800000000000008</v>
      </c>
      <c r="I98" s="14">
        <v>40</v>
      </c>
      <c r="J98" s="14">
        <v>45</v>
      </c>
      <c r="K98" s="110"/>
    </row>
    <row r="99" spans="1:11" hidden="1">
      <c r="A99" s="131" t="str">
        <f t="shared" si="1"/>
        <v>Auvergne Habitat_2018-07</v>
      </c>
      <c r="B99" s="14" t="s">
        <v>1692</v>
      </c>
      <c r="C99" s="14" t="s">
        <v>1749</v>
      </c>
      <c r="D99" s="14" t="s">
        <v>535</v>
      </c>
      <c r="E99" s="14" t="s">
        <v>2144</v>
      </c>
      <c r="F99" s="14">
        <v>10</v>
      </c>
      <c r="G99" s="14">
        <v>257.73</v>
      </c>
      <c r="H99" s="14">
        <v>25.77</v>
      </c>
      <c r="I99" s="14">
        <v>40</v>
      </c>
      <c r="J99" s="14">
        <v>154.63999999999999</v>
      </c>
      <c r="K99" s="110"/>
    </row>
    <row r="100" spans="1:11">
      <c r="A100" s="131" t="str">
        <f t="shared" si="1"/>
        <v>Auvergne Habitat_2018-08</v>
      </c>
      <c r="B100" s="14" t="s">
        <v>1692</v>
      </c>
      <c r="C100" s="14" t="s">
        <v>1749</v>
      </c>
      <c r="D100" s="14" t="s">
        <v>535</v>
      </c>
      <c r="E100" s="14" t="s">
        <v>2189</v>
      </c>
      <c r="F100" s="14">
        <v>10</v>
      </c>
      <c r="G100" s="14">
        <v>319.01</v>
      </c>
      <c r="H100" s="14">
        <v>31.9</v>
      </c>
      <c r="I100" s="14">
        <v>40</v>
      </c>
      <c r="J100" s="14">
        <v>191.41</v>
      </c>
      <c r="K100" s="110"/>
    </row>
    <row r="101" spans="1:11" hidden="1">
      <c r="A101" s="131" t="str">
        <f t="shared" si="1"/>
        <v>Auvergne Habitat_2018-09</v>
      </c>
      <c r="B101" s="14" t="s">
        <v>1692</v>
      </c>
      <c r="C101" s="14" t="s">
        <v>1749</v>
      </c>
      <c r="D101" s="14" t="s">
        <v>535</v>
      </c>
      <c r="E101" s="14" t="s">
        <v>2268</v>
      </c>
      <c r="F101" s="14">
        <v>9</v>
      </c>
      <c r="G101" s="14">
        <v>357.52</v>
      </c>
      <c r="H101" s="14">
        <v>39.72</v>
      </c>
      <c r="I101" s="14">
        <v>40</v>
      </c>
      <c r="J101" s="14">
        <v>214.51</v>
      </c>
      <c r="K101" s="110"/>
    </row>
    <row r="102" spans="1:11" hidden="1">
      <c r="A102" s="131" t="str">
        <f t="shared" si="1"/>
        <v>Auvergne Habitat_2018-07</v>
      </c>
      <c r="B102" s="14" t="s">
        <v>1692</v>
      </c>
      <c r="C102" s="14" t="s">
        <v>1890</v>
      </c>
      <c r="D102" s="14" t="s">
        <v>535</v>
      </c>
      <c r="E102" s="14" t="s">
        <v>2144</v>
      </c>
      <c r="F102" s="14">
        <v>1.45</v>
      </c>
      <c r="G102" s="14">
        <v>79</v>
      </c>
      <c r="H102" s="14">
        <v>54.48</v>
      </c>
      <c r="I102" s="14">
        <v>40</v>
      </c>
      <c r="J102" s="14">
        <v>47.4</v>
      </c>
      <c r="K102" s="110"/>
    </row>
    <row r="103" spans="1:11">
      <c r="A103" s="131" t="str">
        <f t="shared" si="1"/>
        <v>Auvergne Habitat_2018-08</v>
      </c>
      <c r="B103" s="14" t="s">
        <v>1692</v>
      </c>
      <c r="C103" s="14" t="s">
        <v>1890</v>
      </c>
      <c r="D103" s="14" t="s">
        <v>535</v>
      </c>
      <c r="E103" s="14" t="s">
        <v>2189</v>
      </c>
      <c r="F103" s="14">
        <v>1</v>
      </c>
      <c r="G103" s="14">
        <v>79</v>
      </c>
      <c r="H103" s="14">
        <v>79</v>
      </c>
      <c r="I103" s="14">
        <v>40</v>
      </c>
      <c r="J103" s="14">
        <v>47.4</v>
      </c>
      <c r="K103" s="110"/>
    </row>
    <row r="104" spans="1:11" hidden="1">
      <c r="A104" s="131" t="str">
        <f t="shared" si="1"/>
        <v>Auvergne Habitat_2018-09</v>
      </c>
      <c r="B104" s="14" t="s">
        <v>1692</v>
      </c>
      <c r="C104" s="14" t="s">
        <v>1890</v>
      </c>
      <c r="D104" s="14" t="s">
        <v>535</v>
      </c>
      <c r="E104" s="14" t="s">
        <v>2268</v>
      </c>
      <c r="F104" s="14">
        <v>1</v>
      </c>
      <c r="G104" s="14">
        <v>79</v>
      </c>
      <c r="H104" s="14">
        <v>79</v>
      </c>
      <c r="I104" s="14">
        <v>40</v>
      </c>
      <c r="J104" s="14">
        <v>47.4</v>
      </c>
      <c r="K104" s="110"/>
    </row>
    <row r="105" spans="1:11" hidden="1">
      <c r="A105" s="131" t="str">
        <f t="shared" si="1"/>
        <v>Auvergne Habitat_2018-07</v>
      </c>
      <c r="B105" s="14" t="s">
        <v>1692</v>
      </c>
      <c r="C105" s="14" t="s">
        <v>1969</v>
      </c>
      <c r="D105" s="14" t="s">
        <v>535</v>
      </c>
      <c r="E105" s="14" t="s">
        <v>2144</v>
      </c>
      <c r="F105" s="14">
        <v>3</v>
      </c>
      <c r="G105" s="14">
        <v>55</v>
      </c>
      <c r="H105" s="14">
        <v>18.329999999999998</v>
      </c>
      <c r="I105" s="14">
        <v>40</v>
      </c>
      <c r="J105" s="14">
        <v>33</v>
      </c>
      <c r="K105" s="110"/>
    </row>
    <row r="106" spans="1:11">
      <c r="A106" s="131" t="str">
        <f t="shared" si="1"/>
        <v>Auvergne Habitat_2018-08</v>
      </c>
      <c r="B106" s="14" t="s">
        <v>1692</v>
      </c>
      <c r="C106" s="14" t="s">
        <v>1969</v>
      </c>
      <c r="D106" s="14" t="s">
        <v>535</v>
      </c>
      <c r="E106" s="14" t="s">
        <v>2189</v>
      </c>
      <c r="F106" s="14">
        <v>3</v>
      </c>
      <c r="G106" s="14">
        <v>106.33</v>
      </c>
      <c r="H106" s="14">
        <v>35.44</v>
      </c>
      <c r="I106" s="14">
        <v>40</v>
      </c>
      <c r="J106" s="14">
        <v>63.8</v>
      </c>
      <c r="K106" s="110"/>
    </row>
    <row r="107" spans="1:11" hidden="1">
      <c r="A107" s="131" t="str">
        <f t="shared" si="1"/>
        <v>Auvergne Habitat_2018-09</v>
      </c>
      <c r="B107" s="14" t="s">
        <v>1692</v>
      </c>
      <c r="C107" s="14" t="s">
        <v>1969</v>
      </c>
      <c r="D107" s="14" t="s">
        <v>535</v>
      </c>
      <c r="E107" s="14" t="s">
        <v>2268</v>
      </c>
      <c r="F107" s="14">
        <v>3</v>
      </c>
      <c r="G107" s="14">
        <v>3.67</v>
      </c>
      <c r="H107" s="14">
        <v>1.22</v>
      </c>
      <c r="I107" s="14">
        <v>40</v>
      </c>
      <c r="J107" s="14">
        <v>2.2000000000000002</v>
      </c>
      <c r="K107" s="110"/>
    </row>
    <row r="108" spans="1:11" hidden="1">
      <c r="A108" s="131" t="str">
        <f t="shared" si="1"/>
        <v>Auvergne Habitat_2018-07</v>
      </c>
      <c r="B108" s="14" t="s">
        <v>1692</v>
      </c>
      <c r="C108" s="14" t="s">
        <v>1798</v>
      </c>
      <c r="D108" s="14" t="s">
        <v>535</v>
      </c>
      <c r="E108" s="14" t="s">
        <v>2144</v>
      </c>
      <c r="F108" s="14">
        <v>4</v>
      </c>
      <c r="G108" s="14">
        <v>209.85</v>
      </c>
      <c r="H108" s="14">
        <v>52.46</v>
      </c>
      <c r="I108" s="14">
        <v>40</v>
      </c>
      <c r="J108" s="14">
        <v>125.91</v>
      </c>
      <c r="K108" s="110"/>
    </row>
    <row r="109" spans="1:11">
      <c r="A109" s="131" t="str">
        <f t="shared" si="1"/>
        <v>Auvergne Habitat_2018-08</v>
      </c>
      <c r="B109" s="14" t="s">
        <v>1692</v>
      </c>
      <c r="C109" s="14" t="s">
        <v>1798</v>
      </c>
      <c r="D109" s="14" t="s">
        <v>535</v>
      </c>
      <c r="E109" s="14" t="s">
        <v>2189</v>
      </c>
      <c r="F109" s="14">
        <v>4</v>
      </c>
      <c r="G109" s="14">
        <v>218.95</v>
      </c>
      <c r="H109" s="14">
        <v>54.74</v>
      </c>
      <c r="I109" s="14">
        <v>40</v>
      </c>
      <c r="J109" s="14">
        <v>131.37</v>
      </c>
      <c r="K109" s="110"/>
    </row>
    <row r="110" spans="1:11" hidden="1">
      <c r="A110" s="131" t="str">
        <f t="shared" si="1"/>
        <v>Auvergne Habitat_2018-09</v>
      </c>
      <c r="B110" s="14" t="s">
        <v>1692</v>
      </c>
      <c r="C110" s="14" t="s">
        <v>1798</v>
      </c>
      <c r="D110" s="14" t="s">
        <v>535</v>
      </c>
      <c r="E110" s="14" t="s">
        <v>2268</v>
      </c>
      <c r="F110" s="14">
        <v>3.43</v>
      </c>
      <c r="G110" s="14">
        <v>194.45</v>
      </c>
      <c r="H110" s="14">
        <v>56.69</v>
      </c>
      <c r="I110" s="14">
        <v>40</v>
      </c>
      <c r="J110" s="14">
        <v>116.67</v>
      </c>
      <c r="K110" s="110"/>
    </row>
    <row r="111" spans="1:11" hidden="1">
      <c r="A111" s="131" t="str">
        <f t="shared" si="1"/>
        <v>Aximo_2018-07</v>
      </c>
      <c r="B111" s="14" t="s">
        <v>471</v>
      </c>
      <c r="C111" s="14" t="s">
        <v>678</v>
      </c>
      <c r="D111" s="14" t="s">
        <v>535</v>
      </c>
      <c r="E111" s="14" t="s">
        <v>2144</v>
      </c>
      <c r="F111" s="14">
        <v>10</v>
      </c>
      <c r="G111" s="14">
        <v>501.71</v>
      </c>
      <c r="H111" s="14">
        <v>50.17</v>
      </c>
      <c r="I111" s="14">
        <v>35</v>
      </c>
      <c r="J111" s="14">
        <v>326.11</v>
      </c>
      <c r="K111" s="110"/>
    </row>
    <row r="112" spans="1:11">
      <c r="A112" s="131" t="str">
        <f t="shared" si="1"/>
        <v>Aximo_2018-08</v>
      </c>
      <c r="B112" s="14" t="s">
        <v>471</v>
      </c>
      <c r="C112" s="14" t="s">
        <v>678</v>
      </c>
      <c r="D112" s="14" t="s">
        <v>535</v>
      </c>
      <c r="E112" s="14" t="s">
        <v>2189</v>
      </c>
      <c r="F112" s="14">
        <v>10</v>
      </c>
      <c r="G112" s="14">
        <v>215.26</v>
      </c>
      <c r="H112" s="14">
        <v>21.53</v>
      </c>
      <c r="I112" s="14">
        <v>35</v>
      </c>
      <c r="J112" s="14">
        <v>139.91999999999999</v>
      </c>
      <c r="K112" s="110"/>
    </row>
    <row r="113" spans="1:11" hidden="1">
      <c r="A113" s="131" t="str">
        <f t="shared" si="1"/>
        <v>Aximo_2018-09</v>
      </c>
      <c r="B113" s="14" t="s">
        <v>471</v>
      </c>
      <c r="C113" s="14" t="s">
        <v>678</v>
      </c>
      <c r="D113" s="14" t="s">
        <v>535</v>
      </c>
      <c r="E113" s="14" t="s">
        <v>2268</v>
      </c>
      <c r="F113" s="14">
        <v>10</v>
      </c>
      <c r="G113" s="14">
        <v>391.69</v>
      </c>
      <c r="H113" s="14">
        <v>39.17</v>
      </c>
      <c r="I113" s="14">
        <v>35</v>
      </c>
      <c r="J113" s="14">
        <v>254.6</v>
      </c>
      <c r="K113" s="110"/>
    </row>
    <row r="114" spans="1:11" hidden="1">
      <c r="A114" s="131" t="str">
        <f t="shared" si="1"/>
        <v>Aximo_2018-07</v>
      </c>
      <c r="B114" s="14" t="s">
        <v>471</v>
      </c>
      <c r="C114" s="14" t="s">
        <v>1355</v>
      </c>
      <c r="D114" s="14" t="s">
        <v>535</v>
      </c>
      <c r="E114" s="14" t="s">
        <v>2144</v>
      </c>
      <c r="F114" s="14">
        <v>19</v>
      </c>
      <c r="G114" s="14">
        <v>2656.79</v>
      </c>
      <c r="H114" s="14">
        <v>139.83000000000001</v>
      </c>
      <c r="I114" s="14">
        <v>35</v>
      </c>
      <c r="J114" s="14">
        <v>1726.91</v>
      </c>
      <c r="K114" s="110"/>
    </row>
    <row r="115" spans="1:11">
      <c r="A115" s="131" t="str">
        <f t="shared" si="1"/>
        <v>Aximo_2018-08</v>
      </c>
      <c r="B115" s="14" t="s">
        <v>471</v>
      </c>
      <c r="C115" s="14" t="s">
        <v>1355</v>
      </c>
      <c r="D115" s="14" t="s">
        <v>535</v>
      </c>
      <c r="E115" s="14" t="s">
        <v>2189</v>
      </c>
      <c r="F115" s="14">
        <v>19</v>
      </c>
      <c r="G115" s="14">
        <v>2102.7600000000002</v>
      </c>
      <c r="H115" s="14">
        <v>110.67</v>
      </c>
      <c r="I115" s="14">
        <v>35</v>
      </c>
      <c r="J115" s="14">
        <v>1366.79</v>
      </c>
      <c r="K115" s="110"/>
    </row>
    <row r="116" spans="1:11" hidden="1">
      <c r="A116" s="131" t="str">
        <f t="shared" si="1"/>
        <v>Aximo_2018-09</v>
      </c>
      <c r="B116" s="14" t="s">
        <v>471</v>
      </c>
      <c r="C116" s="14" t="s">
        <v>1355</v>
      </c>
      <c r="D116" s="14" t="s">
        <v>535</v>
      </c>
      <c r="E116" s="14" t="s">
        <v>2268</v>
      </c>
      <c r="F116" s="14">
        <v>19</v>
      </c>
      <c r="G116" s="14">
        <v>2467.4499999999998</v>
      </c>
      <c r="H116" s="14">
        <v>129.87</v>
      </c>
      <c r="I116" s="14">
        <v>35</v>
      </c>
      <c r="J116" s="14">
        <v>1603.84</v>
      </c>
      <c r="K116" s="110"/>
    </row>
    <row r="117" spans="1:11" hidden="1">
      <c r="A117" s="131" t="str">
        <f t="shared" si="1"/>
        <v>Aximo_2018-07</v>
      </c>
      <c r="B117" s="14" t="s">
        <v>471</v>
      </c>
      <c r="C117" s="14" t="s">
        <v>679</v>
      </c>
      <c r="D117" s="14" t="s">
        <v>535</v>
      </c>
      <c r="E117" s="14" t="s">
        <v>2144</v>
      </c>
      <c r="F117" s="14">
        <v>5</v>
      </c>
      <c r="G117" s="14">
        <v>499.4</v>
      </c>
      <c r="H117" s="14">
        <v>99.88</v>
      </c>
      <c r="I117" s="14">
        <v>35</v>
      </c>
      <c r="J117" s="14">
        <v>324.61</v>
      </c>
      <c r="K117" s="110"/>
    </row>
    <row r="118" spans="1:11">
      <c r="A118" s="131" t="str">
        <f t="shared" si="1"/>
        <v>Aximo_2018-08</v>
      </c>
      <c r="B118" s="14" t="s">
        <v>471</v>
      </c>
      <c r="C118" s="14" t="s">
        <v>679</v>
      </c>
      <c r="D118" s="14" t="s">
        <v>535</v>
      </c>
      <c r="E118" s="14" t="s">
        <v>2189</v>
      </c>
      <c r="F118" s="14">
        <v>5</v>
      </c>
      <c r="G118" s="14">
        <v>683.15</v>
      </c>
      <c r="H118" s="14">
        <v>136.63</v>
      </c>
      <c r="I118" s="14">
        <v>35</v>
      </c>
      <c r="J118" s="14">
        <v>444.05</v>
      </c>
      <c r="K118" s="110"/>
    </row>
    <row r="119" spans="1:11" hidden="1">
      <c r="A119" s="131" t="str">
        <f t="shared" si="1"/>
        <v>Aximo_2018-09</v>
      </c>
      <c r="B119" s="14" t="s">
        <v>471</v>
      </c>
      <c r="C119" s="14" t="s">
        <v>679</v>
      </c>
      <c r="D119" s="14" t="s">
        <v>535</v>
      </c>
      <c r="E119" s="14" t="s">
        <v>2268</v>
      </c>
      <c r="F119" s="14">
        <v>5</v>
      </c>
      <c r="G119" s="14">
        <v>641.26</v>
      </c>
      <c r="H119" s="14">
        <v>128.25</v>
      </c>
      <c r="I119" s="14">
        <v>35</v>
      </c>
      <c r="J119" s="14">
        <v>416.82</v>
      </c>
      <c r="K119" s="110"/>
    </row>
    <row r="120" spans="1:11" hidden="1">
      <c r="A120" s="131" t="str">
        <f t="shared" si="1"/>
        <v>Batigere Mulhouse_2018-07</v>
      </c>
      <c r="B120" s="14" t="s">
        <v>2051</v>
      </c>
      <c r="C120" s="14" t="s">
        <v>1127</v>
      </c>
      <c r="D120" s="14" t="s">
        <v>1128</v>
      </c>
      <c r="E120" s="14" t="s">
        <v>2144</v>
      </c>
      <c r="F120" s="14">
        <v>10</v>
      </c>
      <c r="G120" s="14">
        <v>183.84</v>
      </c>
      <c r="H120" s="14">
        <v>18.38</v>
      </c>
      <c r="I120" s="14">
        <v>40</v>
      </c>
      <c r="J120" s="14">
        <v>110.3</v>
      </c>
      <c r="K120" s="110"/>
    </row>
    <row r="121" spans="1:11">
      <c r="A121" s="131" t="str">
        <f t="shared" si="1"/>
        <v>Batigere Mulhouse_2018-08</v>
      </c>
      <c r="B121" s="14" t="s">
        <v>2051</v>
      </c>
      <c r="C121" s="14" t="s">
        <v>1127</v>
      </c>
      <c r="D121" s="14" t="s">
        <v>1128</v>
      </c>
      <c r="E121" s="14" t="s">
        <v>2189</v>
      </c>
      <c r="F121" s="14">
        <v>10</v>
      </c>
      <c r="G121" s="14">
        <v>159.58000000000001</v>
      </c>
      <c r="H121" s="14">
        <v>15.96</v>
      </c>
      <c r="I121" s="14">
        <v>40</v>
      </c>
      <c r="J121" s="14">
        <v>95.75</v>
      </c>
      <c r="K121" s="110"/>
    </row>
    <row r="122" spans="1:11" hidden="1">
      <c r="A122" s="131" t="str">
        <f t="shared" si="1"/>
        <v>Batigere Mulhouse_2018-09</v>
      </c>
      <c r="B122" s="14" t="s">
        <v>2051</v>
      </c>
      <c r="C122" s="14" t="s">
        <v>1127</v>
      </c>
      <c r="D122" s="14" t="s">
        <v>1128</v>
      </c>
      <c r="E122" s="14" t="s">
        <v>2268</v>
      </c>
      <c r="F122" s="14">
        <v>10</v>
      </c>
      <c r="G122" s="14">
        <v>165.73</v>
      </c>
      <c r="H122" s="14">
        <v>16.57</v>
      </c>
      <c r="I122" s="14">
        <v>40</v>
      </c>
      <c r="J122" s="14">
        <v>99.44</v>
      </c>
      <c r="K122" s="110"/>
    </row>
    <row r="123" spans="1:11" hidden="1">
      <c r="A123" s="131" t="str">
        <f t="shared" si="1"/>
        <v>Batigere Mulhouse_2018-07</v>
      </c>
      <c r="B123" s="14" t="s">
        <v>2051</v>
      </c>
      <c r="C123" s="14" t="s">
        <v>1253</v>
      </c>
      <c r="D123" s="14" t="s">
        <v>1254</v>
      </c>
      <c r="E123" s="14" t="s">
        <v>2144</v>
      </c>
      <c r="F123" s="14">
        <v>0</v>
      </c>
      <c r="G123" s="14">
        <v>50</v>
      </c>
      <c r="H123" s="14" t="s">
        <v>535</v>
      </c>
      <c r="I123" s="14">
        <v>40</v>
      </c>
      <c r="J123" s="14">
        <v>30</v>
      </c>
      <c r="K123" s="110"/>
    </row>
    <row r="124" spans="1:11">
      <c r="A124" s="131" t="str">
        <f t="shared" si="1"/>
        <v>Batigere Mulhouse_2018-08</v>
      </c>
      <c r="B124" s="14" t="s">
        <v>2051</v>
      </c>
      <c r="C124" s="14" t="s">
        <v>1253</v>
      </c>
      <c r="D124" s="14" t="s">
        <v>1254</v>
      </c>
      <c r="E124" s="14" t="s">
        <v>2189</v>
      </c>
      <c r="F124" s="14">
        <v>0.81</v>
      </c>
      <c r="G124" s="14">
        <v>50</v>
      </c>
      <c r="H124" s="14">
        <v>61.73</v>
      </c>
      <c r="I124" s="14">
        <v>40</v>
      </c>
      <c r="J124" s="14">
        <v>30</v>
      </c>
      <c r="K124" s="110"/>
    </row>
    <row r="125" spans="1:11" hidden="1">
      <c r="A125" s="131" t="str">
        <f t="shared" si="1"/>
        <v>Batigere Mulhouse_2018-09</v>
      </c>
      <c r="B125" s="14" t="s">
        <v>2051</v>
      </c>
      <c r="C125" s="14" t="s">
        <v>1253</v>
      </c>
      <c r="D125" s="14" t="s">
        <v>1254</v>
      </c>
      <c r="E125" s="14" t="s">
        <v>2268</v>
      </c>
      <c r="F125" s="14">
        <v>5</v>
      </c>
      <c r="G125" s="14">
        <v>59.5</v>
      </c>
      <c r="H125" s="14">
        <v>11.9</v>
      </c>
      <c r="I125" s="14">
        <v>40</v>
      </c>
      <c r="J125" s="14">
        <v>35.700000000000003</v>
      </c>
      <c r="K125" s="110"/>
    </row>
    <row r="126" spans="1:11" hidden="1">
      <c r="A126" s="131" t="str">
        <f t="shared" si="1"/>
        <v>Batigere Nancy_2018-07</v>
      </c>
      <c r="B126" s="14" t="s">
        <v>2053</v>
      </c>
      <c r="C126" s="14" t="s">
        <v>680</v>
      </c>
      <c r="D126" s="14" t="s">
        <v>535</v>
      </c>
      <c r="E126" s="14" t="s">
        <v>2144</v>
      </c>
      <c r="F126" s="14">
        <v>4</v>
      </c>
      <c r="G126" s="14">
        <v>197.54</v>
      </c>
      <c r="H126" s="14">
        <v>49.38</v>
      </c>
      <c r="I126" s="14">
        <v>40</v>
      </c>
      <c r="J126" s="14">
        <v>118.52</v>
      </c>
      <c r="K126" s="110"/>
    </row>
    <row r="127" spans="1:11">
      <c r="A127" s="131" t="str">
        <f t="shared" si="1"/>
        <v>Batigere Nancy_2018-08</v>
      </c>
      <c r="B127" s="14" t="s">
        <v>2053</v>
      </c>
      <c r="C127" s="14" t="s">
        <v>680</v>
      </c>
      <c r="D127" s="14" t="s">
        <v>535</v>
      </c>
      <c r="E127" s="14" t="s">
        <v>2189</v>
      </c>
      <c r="F127" s="14">
        <v>4</v>
      </c>
      <c r="G127" s="14">
        <v>164.48</v>
      </c>
      <c r="H127" s="14">
        <v>41.12</v>
      </c>
      <c r="I127" s="14">
        <v>40</v>
      </c>
      <c r="J127" s="14">
        <v>98.69</v>
      </c>
      <c r="K127" s="110"/>
    </row>
    <row r="128" spans="1:11" hidden="1">
      <c r="A128" s="131" t="str">
        <f t="shared" si="1"/>
        <v>Batigere Nancy_2018-09</v>
      </c>
      <c r="B128" s="14" t="s">
        <v>2053</v>
      </c>
      <c r="C128" s="14" t="s">
        <v>680</v>
      </c>
      <c r="D128" s="14" t="s">
        <v>535</v>
      </c>
      <c r="E128" s="14" t="s">
        <v>2268</v>
      </c>
      <c r="F128" s="14">
        <v>4</v>
      </c>
      <c r="G128" s="14">
        <v>169.35</v>
      </c>
      <c r="H128" s="14">
        <v>42.34</v>
      </c>
      <c r="I128" s="14">
        <v>40</v>
      </c>
      <c r="J128" s="14">
        <v>101.61</v>
      </c>
      <c r="K128" s="110"/>
    </row>
    <row r="129" spans="1:11" hidden="1">
      <c r="A129" s="131" t="str">
        <f t="shared" si="1"/>
        <v>Batigere Strasbourg_2018-07</v>
      </c>
      <c r="B129" s="14" t="s">
        <v>2055</v>
      </c>
      <c r="C129" s="14" t="s">
        <v>681</v>
      </c>
      <c r="D129" s="14" t="s">
        <v>682</v>
      </c>
      <c r="E129" s="14" t="s">
        <v>2144</v>
      </c>
      <c r="F129" s="14">
        <v>4</v>
      </c>
      <c r="G129" s="14">
        <v>978.82</v>
      </c>
      <c r="H129" s="14">
        <v>244.71</v>
      </c>
      <c r="I129" s="14">
        <v>40</v>
      </c>
      <c r="J129" s="14">
        <v>587.29</v>
      </c>
      <c r="K129" s="110"/>
    </row>
    <row r="130" spans="1:11">
      <c r="A130" s="131" t="str">
        <f t="shared" si="1"/>
        <v>Batigere Strasbourg_2018-08</v>
      </c>
      <c r="B130" s="14" t="s">
        <v>2055</v>
      </c>
      <c r="C130" s="14" t="s">
        <v>681</v>
      </c>
      <c r="D130" s="14" t="s">
        <v>682</v>
      </c>
      <c r="E130" s="14" t="s">
        <v>2189</v>
      </c>
      <c r="F130" s="14">
        <v>4</v>
      </c>
      <c r="G130" s="14">
        <v>598.04999999999995</v>
      </c>
      <c r="H130" s="14">
        <v>149.51</v>
      </c>
      <c r="I130" s="14">
        <v>40</v>
      </c>
      <c r="J130" s="14">
        <v>358.83</v>
      </c>
      <c r="K130" s="110"/>
    </row>
    <row r="131" spans="1:11" hidden="1">
      <c r="A131" s="131" t="str">
        <f t="shared" si="1"/>
        <v>Batigere Strasbourg_2018-09</v>
      </c>
      <c r="B131" s="14" t="s">
        <v>2055</v>
      </c>
      <c r="C131" s="14" t="s">
        <v>681</v>
      </c>
      <c r="D131" s="14" t="s">
        <v>682</v>
      </c>
      <c r="E131" s="14" t="s">
        <v>2268</v>
      </c>
      <c r="F131" s="14">
        <v>4</v>
      </c>
      <c r="G131" s="14">
        <v>888.63</v>
      </c>
      <c r="H131" s="14">
        <v>222.16</v>
      </c>
      <c r="I131" s="14">
        <v>40</v>
      </c>
      <c r="J131" s="14">
        <v>533.17999999999995</v>
      </c>
      <c r="K131" s="110"/>
    </row>
    <row r="132" spans="1:11" hidden="1">
      <c r="A132" s="131" t="str">
        <f t="shared" si="1"/>
        <v>Batigere Strasbourg_2018-07</v>
      </c>
      <c r="B132" s="14" t="s">
        <v>2055</v>
      </c>
      <c r="C132" s="14" t="s">
        <v>683</v>
      </c>
      <c r="D132" s="14" t="s">
        <v>684</v>
      </c>
      <c r="E132" s="14" t="s">
        <v>2144</v>
      </c>
      <c r="F132" s="14">
        <v>4</v>
      </c>
      <c r="G132" s="14">
        <v>713.88</v>
      </c>
      <c r="H132" s="14">
        <v>178.47</v>
      </c>
      <c r="I132" s="14">
        <v>40</v>
      </c>
      <c r="J132" s="14">
        <v>428.33</v>
      </c>
      <c r="K132" s="110"/>
    </row>
    <row r="133" spans="1:11">
      <c r="A133" s="131" t="str">
        <f t="shared" si="1"/>
        <v>Batigere Strasbourg_2018-08</v>
      </c>
      <c r="B133" s="14" t="s">
        <v>2055</v>
      </c>
      <c r="C133" s="14" t="s">
        <v>683</v>
      </c>
      <c r="D133" s="14" t="s">
        <v>684</v>
      </c>
      <c r="E133" s="14" t="s">
        <v>2189</v>
      </c>
      <c r="F133" s="14">
        <v>4</v>
      </c>
      <c r="G133" s="14">
        <v>350.7</v>
      </c>
      <c r="H133" s="14">
        <v>87.67</v>
      </c>
      <c r="I133" s="14">
        <v>40</v>
      </c>
      <c r="J133" s="14">
        <v>210.42</v>
      </c>
      <c r="K133" s="110"/>
    </row>
    <row r="134" spans="1:11" hidden="1">
      <c r="A134" s="131" t="str">
        <f t="shared" ref="A134:A197" si="2">CONCATENATE(B134,"_",E134)</f>
        <v>Batigere Strasbourg_2018-09</v>
      </c>
      <c r="B134" s="14" t="s">
        <v>2055</v>
      </c>
      <c r="C134" s="14" t="s">
        <v>683</v>
      </c>
      <c r="D134" s="14" t="s">
        <v>684</v>
      </c>
      <c r="E134" s="14" t="s">
        <v>2268</v>
      </c>
      <c r="F134" s="14">
        <v>4</v>
      </c>
      <c r="G134" s="14">
        <v>589.98</v>
      </c>
      <c r="H134" s="14">
        <v>147.5</v>
      </c>
      <c r="I134" s="14">
        <v>40</v>
      </c>
      <c r="J134" s="14">
        <v>353.99</v>
      </c>
      <c r="K134" s="110"/>
    </row>
    <row r="135" spans="1:11" hidden="1">
      <c r="A135" s="131" t="str">
        <f t="shared" si="2"/>
        <v>Batigere Strasbourg_2018-07</v>
      </c>
      <c r="B135" s="14" t="s">
        <v>2055</v>
      </c>
      <c r="C135" s="14" t="s">
        <v>685</v>
      </c>
      <c r="D135" s="14" t="s">
        <v>686</v>
      </c>
      <c r="E135" s="14" t="s">
        <v>2144</v>
      </c>
      <c r="F135" s="14">
        <v>4</v>
      </c>
      <c r="G135" s="14">
        <v>361.58</v>
      </c>
      <c r="H135" s="14">
        <v>90.39</v>
      </c>
      <c r="I135" s="14">
        <v>40</v>
      </c>
      <c r="J135" s="14">
        <v>216.95</v>
      </c>
      <c r="K135" s="110"/>
    </row>
    <row r="136" spans="1:11">
      <c r="A136" s="131" t="str">
        <f t="shared" si="2"/>
        <v>Batigere Strasbourg_2018-08</v>
      </c>
      <c r="B136" s="14" t="s">
        <v>2055</v>
      </c>
      <c r="C136" s="14" t="s">
        <v>685</v>
      </c>
      <c r="D136" s="14" t="s">
        <v>686</v>
      </c>
      <c r="E136" s="14" t="s">
        <v>2189</v>
      </c>
      <c r="F136" s="14">
        <v>4</v>
      </c>
      <c r="G136" s="14">
        <v>369.03</v>
      </c>
      <c r="H136" s="14">
        <v>92.26</v>
      </c>
      <c r="I136" s="14">
        <v>40</v>
      </c>
      <c r="J136" s="14">
        <v>221.42</v>
      </c>
      <c r="K136" s="110"/>
    </row>
    <row r="137" spans="1:11" hidden="1">
      <c r="A137" s="131" t="str">
        <f t="shared" si="2"/>
        <v>Batigere Strasbourg_2018-09</v>
      </c>
      <c r="B137" s="14" t="s">
        <v>2055</v>
      </c>
      <c r="C137" s="14" t="s">
        <v>685</v>
      </c>
      <c r="D137" s="14" t="s">
        <v>686</v>
      </c>
      <c r="E137" s="14" t="s">
        <v>2268</v>
      </c>
      <c r="F137" s="14">
        <v>4</v>
      </c>
      <c r="G137" s="14">
        <v>432.67</v>
      </c>
      <c r="H137" s="14">
        <v>108.17</v>
      </c>
      <c r="I137" s="14">
        <v>40</v>
      </c>
      <c r="J137" s="14">
        <v>259.60000000000002</v>
      </c>
      <c r="K137" s="110"/>
    </row>
    <row r="138" spans="1:11" hidden="1">
      <c r="A138" s="131" t="str">
        <f t="shared" si="2"/>
        <v>Beep Valet_2018-07</v>
      </c>
      <c r="B138" s="14" t="s">
        <v>1496</v>
      </c>
      <c r="C138" s="14" t="s">
        <v>1750</v>
      </c>
      <c r="D138" s="14" t="s">
        <v>535</v>
      </c>
      <c r="E138" s="14" t="s">
        <v>2144</v>
      </c>
      <c r="F138" s="14">
        <v>13.55</v>
      </c>
      <c r="G138" s="14">
        <v>457</v>
      </c>
      <c r="H138" s="14">
        <v>33.729999999999997</v>
      </c>
      <c r="I138" s="14">
        <v>20</v>
      </c>
      <c r="J138" s="14">
        <v>365.6</v>
      </c>
      <c r="K138" s="110"/>
    </row>
    <row r="139" spans="1:11">
      <c r="A139" s="131" t="str">
        <f t="shared" si="2"/>
        <v>Beep Valet_2018-08</v>
      </c>
      <c r="B139" s="14" t="s">
        <v>1496</v>
      </c>
      <c r="C139" s="14" t="s">
        <v>1750</v>
      </c>
      <c r="D139" s="14" t="s">
        <v>535</v>
      </c>
      <c r="E139" s="14" t="s">
        <v>2189</v>
      </c>
      <c r="F139" s="14">
        <v>10.29</v>
      </c>
      <c r="G139" s="14">
        <v>763.5</v>
      </c>
      <c r="H139" s="14">
        <v>74.2</v>
      </c>
      <c r="I139" s="14">
        <v>20</v>
      </c>
      <c r="J139" s="14">
        <v>610.79999999999995</v>
      </c>
      <c r="K139" s="110"/>
    </row>
    <row r="140" spans="1:11" s="56" customFormat="1" hidden="1">
      <c r="A140" s="131" t="str">
        <f t="shared" si="2"/>
        <v>Beep Valet_2018-09</v>
      </c>
      <c r="B140" s="14" t="s">
        <v>1496</v>
      </c>
      <c r="C140" s="14" t="s">
        <v>1750</v>
      </c>
      <c r="D140" s="14" t="s">
        <v>535</v>
      </c>
      <c r="E140" s="14" t="s">
        <v>2268</v>
      </c>
      <c r="F140" s="14">
        <v>14</v>
      </c>
      <c r="G140" s="14">
        <v>505.5</v>
      </c>
      <c r="H140" s="14">
        <v>36.11</v>
      </c>
      <c r="I140" s="14">
        <v>20</v>
      </c>
      <c r="J140" s="14">
        <v>404.4</v>
      </c>
      <c r="K140" s="110"/>
    </row>
    <row r="141" spans="1:11" hidden="1">
      <c r="A141" s="131" t="str">
        <f t="shared" si="2"/>
        <v>Belalaan Meir Leasehold_2018-07</v>
      </c>
      <c r="B141" s="14" t="s">
        <v>1031</v>
      </c>
      <c r="C141" s="14" t="s">
        <v>972</v>
      </c>
      <c r="D141" s="14" t="s">
        <v>535</v>
      </c>
      <c r="E141" s="14" t="s">
        <v>2144</v>
      </c>
      <c r="F141" s="14">
        <v>57</v>
      </c>
      <c r="G141" s="14">
        <v>260.52</v>
      </c>
      <c r="H141" s="14">
        <v>4.57</v>
      </c>
      <c r="I141" s="14">
        <v>35</v>
      </c>
      <c r="J141" s="14">
        <v>169.34</v>
      </c>
      <c r="K141" s="110"/>
    </row>
    <row r="142" spans="1:11">
      <c r="A142" s="131" t="str">
        <f t="shared" si="2"/>
        <v>Belalaan Meir Leasehold_2018-08</v>
      </c>
      <c r="B142" s="14" t="s">
        <v>1031</v>
      </c>
      <c r="C142" s="14" t="s">
        <v>972</v>
      </c>
      <c r="D142" s="14" t="s">
        <v>535</v>
      </c>
      <c r="E142" s="14" t="s">
        <v>2189</v>
      </c>
      <c r="F142" s="14">
        <v>57</v>
      </c>
      <c r="G142" s="14">
        <v>262.08</v>
      </c>
      <c r="H142" s="14">
        <v>4.5999999999999996</v>
      </c>
      <c r="I142" s="14">
        <v>35</v>
      </c>
      <c r="J142" s="14">
        <v>170.35</v>
      </c>
      <c r="K142" s="110"/>
    </row>
    <row r="143" spans="1:11" hidden="1">
      <c r="A143" s="131" t="str">
        <f t="shared" si="2"/>
        <v>Belalaan Meir Leasehold_2018-09</v>
      </c>
      <c r="B143" s="14" t="s">
        <v>1031</v>
      </c>
      <c r="C143" s="14" t="s">
        <v>972</v>
      </c>
      <c r="D143" s="14" t="s">
        <v>535</v>
      </c>
      <c r="E143" s="14" t="s">
        <v>2268</v>
      </c>
      <c r="F143" s="14">
        <v>57</v>
      </c>
      <c r="G143" s="14">
        <v>300.32</v>
      </c>
      <c r="H143" s="14">
        <v>5.27</v>
      </c>
      <c r="I143" s="14">
        <v>35</v>
      </c>
      <c r="J143" s="14">
        <v>195.21</v>
      </c>
      <c r="K143" s="110"/>
    </row>
    <row r="144" spans="1:11" hidden="1">
      <c r="A144" s="131" t="str">
        <f t="shared" si="2"/>
        <v>Best Western Clermont Ferrand_2018-07</v>
      </c>
      <c r="B144" s="14" t="s">
        <v>1676</v>
      </c>
      <c r="C144" s="14" t="s">
        <v>1395</v>
      </c>
      <c r="D144" s="14" t="s">
        <v>535</v>
      </c>
      <c r="E144" s="14" t="s">
        <v>2144</v>
      </c>
      <c r="F144" s="14">
        <v>1.94</v>
      </c>
      <c r="G144" s="14">
        <v>67.33</v>
      </c>
      <c r="H144" s="14">
        <v>34.71</v>
      </c>
      <c r="I144" s="14">
        <v>40</v>
      </c>
      <c r="J144" s="14">
        <v>40.4</v>
      </c>
      <c r="K144" s="110"/>
    </row>
    <row r="145" spans="1:11">
      <c r="A145" s="131" t="str">
        <f t="shared" si="2"/>
        <v>Best Western Clermont Ferrand_2018-08</v>
      </c>
      <c r="B145" s="14" t="s">
        <v>1676</v>
      </c>
      <c r="C145" s="14" t="s">
        <v>1395</v>
      </c>
      <c r="D145" s="14" t="s">
        <v>535</v>
      </c>
      <c r="E145" s="14" t="s">
        <v>2189</v>
      </c>
      <c r="F145" s="14">
        <v>0</v>
      </c>
      <c r="G145" s="14">
        <v>7</v>
      </c>
      <c r="H145" s="14" t="s">
        <v>535</v>
      </c>
      <c r="I145" s="14">
        <v>40</v>
      </c>
      <c r="J145" s="14">
        <v>4.2</v>
      </c>
      <c r="K145" s="110"/>
    </row>
    <row r="146" spans="1:11" hidden="1">
      <c r="A146" s="131" t="str">
        <f t="shared" si="2"/>
        <v>Best Western Clermont Ferrand_2018-09</v>
      </c>
      <c r="B146" s="14" t="s">
        <v>1676</v>
      </c>
      <c r="C146" s="14" t="s">
        <v>1395</v>
      </c>
      <c r="D146" s="14" t="s">
        <v>535</v>
      </c>
      <c r="E146" s="14" t="s">
        <v>2268</v>
      </c>
      <c r="F146" s="14">
        <v>2.33</v>
      </c>
      <c r="G146" s="14">
        <v>89.19</v>
      </c>
      <c r="H146" s="14">
        <v>38.28</v>
      </c>
      <c r="I146" s="14">
        <v>40</v>
      </c>
      <c r="J146" s="14">
        <v>53.51</v>
      </c>
      <c r="K146" s="110"/>
    </row>
    <row r="147" spans="1:11" hidden="1">
      <c r="A147" s="131" t="str">
        <f t="shared" si="2"/>
        <v>Blue Park_2018-07</v>
      </c>
      <c r="B147" s="14" t="s">
        <v>1233</v>
      </c>
      <c r="C147" s="14" t="s">
        <v>1970</v>
      </c>
      <c r="D147" s="14" t="s">
        <v>535</v>
      </c>
      <c r="E147" s="14" t="s">
        <v>2144</v>
      </c>
      <c r="F147" s="14">
        <v>20</v>
      </c>
      <c r="G147" s="14">
        <v>190.9</v>
      </c>
      <c r="H147" s="14">
        <v>9.5399999999999991</v>
      </c>
      <c r="I147" s="14">
        <v>25</v>
      </c>
      <c r="J147" s="14">
        <v>143.18</v>
      </c>
      <c r="K147" s="110"/>
    </row>
    <row r="148" spans="1:11">
      <c r="A148" s="131" t="str">
        <f t="shared" si="2"/>
        <v>Blue Park_2018-08</v>
      </c>
      <c r="B148" s="14" t="s">
        <v>1233</v>
      </c>
      <c r="C148" s="14" t="s">
        <v>1970</v>
      </c>
      <c r="D148" s="14" t="s">
        <v>535</v>
      </c>
      <c r="E148" s="14" t="s">
        <v>2189</v>
      </c>
      <c r="F148" s="14">
        <v>9.68</v>
      </c>
      <c r="G148" s="14">
        <v>1025.7</v>
      </c>
      <c r="H148" s="14">
        <v>105.96</v>
      </c>
      <c r="I148" s="14">
        <v>25</v>
      </c>
      <c r="J148" s="14">
        <v>769.27</v>
      </c>
      <c r="K148" s="110"/>
    </row>
    <row r="149" spans="1:11" hidden="1">
      <c r="A149" s="131" t="str">
        <f t="shared" si="2"/>
        <v>Boxx'In_2018-07</v>
      </c>
      <c r="B149" s="14" t="s">
        <v>1677</v>
      </c>
      <c r="C149" s="14" t="s">
        <v>1751</v>
      </c>
      <c r="D149" s="14" t="s">
        <v>535</v>
      </c>
      <c r="E149" s="14" t="s">
        <v>2144</v>
      </c>
      <c r="F149" s="14">
        <v>10</v>
      </c>
      <c r="G149" s="14">
        <v>38.5</v>
      </c>
      <c r="H149" s="14">
        <v>3.85</v>
      </c>
      <c r="I149" s="14">
        <v>20</v>
      </c>
      <c r="J149" s="14">
        <v>30.8</v>
      </c>
      <c r="K149" s="110"/>
    </row>
    <row r="150" spans="1:11">
      <c r="A150" s="131" t="str">
        <f t="shared" si="2"/>
        <v>Boxx'In_2018-08</v>
      </c>
      <c r="B150" s="14" t="s">
        <v>1677</v>
      </c>
      <c r="C150" s="14" t="s">
        <v>1751</v>
      </c>
      <c r="D150" s="14" t="s">
        <v>535</v>
      </c>
      <c r="E150" s="14" t="s">
        <v>2189</v>
      </c>
      <c r="F150" s="14">
        <v>10</v>
      </c>
      <c r="G150" s="14">
        <v>124.5</v>
      </c>
      <c r="H150" s="14">
        <v>12.45</v>
      </c>
      <c r="I150" s="14">
        <v>20</v>
      </c>
      <c r="J150" s="14">
        <v>99.6</v>
      </c>
      <c r="K150" s="110"/>
    </row>
    <row r="151" spans="1:11" hidden="1">
      <c r="A151" s="131" t="str">
        <f t="shared" si="2"/>
        <v>Boxx'In_2018-09</v>
      </c>
      <c r="B151" s="14" t="s">
        <v>1677</v>
      </c>
      <c r="C151" s="14" t="s">
        <v>1751</v>
      </c>
      <c r="D151" s="14" t="s">
        <v>535</v>
      </c>
      <c r="E151" s="14" t="s">
        <v>2268</v>
      </c>
      <c r="F151" s="14">
        <v>10</v>
      </c>
      <c r="G151" s="14">
        <v>143.5</v>
      </c>
      <c r="H151" s="14">
        <v>14.35</v>
      </c>
      <c r="I151" s="14">
        <v>20</v>
      </c>
      <c r="J151" s="14">
        <v>114.8</v>
      </c>
      <c r="K151" s="110"/>
    </row>
    <row r="152" spans="1:11" hidden="1">
      <c r="A152" s="131" t="str">
        <f t="shared" si="2"/>
        <v>Boxx'In_2018-09</v>
      </c>
      <c r="B152" s="14" t="s">
        <v>1677</v>
      </c>
      <c r="C152" s="14" t="s">
        <v>2283</v>
      </c>
      <c r="D152" s="14" t="s">
        <v>535</v>
      </c>
      <c r="E152" s="14" t="s">
        <v>2268</v>
      </c>
      <c r="F152" s="14">
        <v>5</v>
      </c>
      <c r="G152" s="14">
        <v>62</v>
      </c>
      <c r="H152" s="14">
        <v>12.4</v>
      </c>
      <c r="I152" s="14">
        <v>20</v>
      </c>
      <c r="J152" s="14">
        <v>49.6</v>
      </c>
      <c r="K152" s="110"/>
    </row>
    <row r="153" spans="1:11" hidden="1">
      <c r="A153" s="131" t="str">
        <f t="shared" si="2"/>
        <v>BUGEAUD &amp; FILLE_2018-07</v>
      </c>
      <c r="B153" s="14" t="s">
        <v>1799</v>
      </c>
      <c r="C153" s="14" t="s">
        <v>1800</v>
      </c>
      <c r="D153" s="14" t="s">
        <v>535</v>
      </c>
      <c r="E153" s="14" t="s">
        <v>2144</v>
      </c>
      <c r="F153" s="14">
        <v>10</v>
      </c>
      <c r="G153" s="14">
        <v>91.7</v>
      </c>
      <c r="H153" s="14">
        <v>9.17</v>
      </c>
      <c r="I153" s="14">
        <v>40</v>
      </c>
      <c r="J153" s="14">
        <v>55.02</v>
      </c>
      <c r="K153" s="110"/>
    </row>
    <row r="154" spans="1:11">
      <c r="A154" s="131" t="str">
        <f t="shared" si="2"/>
        <v>BUGEAUD &amp; FILLE_2018-08</v>
      </c>
      <c r="B154" s="14" t="s">
        <v>1799</v>
      </c>
      <c r="C154" s="14" t="s">
        <v>1800</v>
      </c>
      <c r="D154" s="14" t="s">
        <v>535</v>
      </c>
      <c r="E154" s="14" t="s">
        <v>2189</v>
      </c>
      <c r="F154" s="14">
        <v>10</v>
      </c>
      <c r="G154" s="14">
        <v>178</v>
      </c>
      <c r="H154" s="14">
        <v>17.8</v>
      </c>
      <c r="I154" s="14">
        <v>40</v>
      </c>
      <c r="J154" s="14">
        <v>106.8</v>
      </c>
      <c r="K154" s="110"/>
    </row>
    <row r="155" spans="1:11" hidden="1">
      <c r="A155" s="131" t="str">
        <f t="shared" si="2"/>
        <v>BUGEAUD &amp; FILLE_2018-09</v>
      </c>
      <c r="B155" s="14" t="s">
        <v>1799</v>
      </c>
      <c r="C155" s="14" t="s">
        <v>1800</v>
      </c>
      <c r="D155" s="14" t="s">
        <v>535</v>
      </c>
      <c r="E155" s="14" t="s">
        <v>2268</v>
      </c>
      <c r="F155" s="14">
        <v>10</v>
      </c>
      <c r="G155" s="14">
        <v>0</v>
      </c>
      <c r="H155" s="14">
        <v>0</v>
      </c>
      <c r="I155" s="14">
        <v>40</v>
      </c>
      <c r="J155" s="14">
        <v>0</v>
      </c>
      <c r="K155" s="110"/>
    </row>
    <row r="156" spans="1:11" hidden="1">
      <c r="A156" s="131" t="str">
        <f t="shared" si="2"/>
        <v>Campanile Bobigny_2018-07</v>
      </c>
      <c r="B156" s="14" t="s">
        <v>2058</v>
      </c>
      <c r="C156" s="14" t="s">
        <v>1802</v>
      </c>
      <c r="D156" s="14" t="s">
        <v>535</v>
      </c>
      <c r="E156" s="14" t="s">
        <v>2144</v>
      </c>
      <c r="F156" s="14">
        <v>10</v>
      </c>
      <c r="G156" s="14">
        <v>4</v>
      </c>
      <c r="H156" s="14">
        <v>0.4</v>
      </c>
      <c r="I156" s="14">
        <v>40</v>
      </c>
      <c r="J156" s="14">
        <v>2.4</v>
      </c>
      <c r="K156" s="110"/>
    </row>
    <row r="157" spans="1:11">
      <c r="A157" s="131" t="str">
        <f t="shared" si="2"/>
        <v>Campanile Bobigny_2018-08</v>
      </c>
      <c r="B157" s="14" t="s">
        <v>2058</v>
      </c>
      <c r="C157" s="14" t="s">
        <v>1802</v>
      </c>
      <c r="D157" s="14" t="s">
        <v>535</v>
      </c>
      <c r="E157" s="14" t="s">
        <v>2189</v>
      </c>
      <c r="F157" s="14">
        <v>10</v>
      </c>
      <c r="G157" s="14">
        <v>6</v>
      </c>
      <c r="H157" s="14">
        <v>0.6</v>
      </c>
      <c r="I157" s="14">
        <v>40</v>
      </c>
      <c r="J157" s="14">
        <v>3.6</v>
      </c>
      <c r="K157" s="110"/>
    </row>
    <row r="158" spans="1:11" hidden="1">
      <c r="A158" s="131" t="str">
        <f t="shared" si="2"/>
        <v>Campanile Bobigny_2018-09</v>
      </c>
      <c r="B158" s="14" t="s">
        <v>2058</v>
      </c>
      <c r="C158" s="14" t="s">
        <v>1802</v>
      </c>
      <c r="D158" s="14" t="s">
        <v>535</v>
      </c>
      <c r="E158" s="14" t="s">
        <v>2268</v>
      </c>
      <c r="F158" s="14">
        <v>10</v>
      </c>
      <c r="G158" s="14">
        <v>14</v>
      </c>
      <c r="H158" s="14">
        <v>1.4</v>
      </c>
      <c r="I158" s="14">
        <v>40</v>
      </c>
      <c r="J158" s="14">
        <v>8.4</v>
      </c>
      <c r="K158" s="110"/>
    </row>
    <row r="159" spans="1:11" hidden="1">
      <c r="A159" s="131" t="str">
        <f t="shared" si="2"/>
        <v>Campanile Gennevilliers_2018-07</v>
      </c>
      <c r="B159" s="14" t="s">
        <v>1801</v>
      </c>
      <c r="C159" s="14" t="s">
        <v>1971</v>
      </c>
      <c r="D159" s="14" t="s">
        <v>535</v>
      </c>
      <c r="E159" s="14" t="s">
        <v>2144</v>
      </c>
      <c r="F159" s="14">
        <v>4</v>
      </c>
      <c r="G159" s="14">
        <v>45</v>
      </c>
      <c r="H159" s="14">
        <v>11.25</v>
      </c>
      <c r="I159" s="14">
        <v>35</v>
      </c>
      <c r="J159" s="14">
        <v>29.25</v>
      </c>
      <c r="K159" s="110"/>
    </row>
    <row r="160" spans="1:11">
      <c r="A160" s="131" t="str">
        <f t="shared" si="2"/>
        <v>Campanile Gennevilliers_2018-08</v>
      </c>
      <c r="B160" s="14" t="s">
        <v>1801</v>
      </c>
      <c r="C160" s="14" t="s">
        <v>1971</v>
      </c>
      <c r="D160" s="14" t="s">
        <v>535</v>
      </c>
      <c r="E160" s="14" t="s">
        <v>2189</v>
      </c>
      <c r="F160" s="14">
        <v>4</v>
      </c>
      <c r="G160" s="14">
        <v>128.47999999999999</v>
      </c>
      <c r="H160" s="14">
        <v>32.119999999999997</v>
      </c>
      <c r="I160" s="14">
        <v>35</v>
      </c>
      <c r="J160" s="14">
        <v>83.51</v>
      </c>
      <c r="K160" s="110"/>
    </row>
    <row r="161" spans="1:11" hidden="1">
      <c r="A161" s="131" t="str">
        <f t="shared" si="2"/>
        <v>Campanile La Villette_2018-07</v>
      </c>
      <c r="B161" s="14" t="s">
        <v>2059</v>
      </c>
      <c r="C161" s="14" t="s">
        <v>1129</v>
      </c>
      <c r="D161" s="14" t="s">
        <v>535</v>
      </c>
      <c r="E161" s="14" t="s">
        <v>2144</v>
      </c>
      <c r="F161" s="14">
        <v>8</v>
      </c>
      <c r="G161" s="14">
        <v>712.49</v>
      </c>
      <c r="H161" s="14">
        <v>89.06</v>
      </c>
      <c r="I161" s="14">
        <v>30</v>
      </c>
      <c r="J161" s="14">
        <v>498.74</v>
      </c>
      <c r="K161" s="110"/>
    </row>
    <row r="162" spans="1:11">
      <c r="A162" s="131" t="str">
        <f t="shared" si="2"/>
        <v>Campanile La Villette_2018-08</v>
      </c>
      <c r="B162" s="14" t="s">
        <v>2059</v>
      </c>
      <c r="C162" s="14" t="s">
        <v>1129</v>
      </c>
      <c r="D162" s="14" t="s">
        <v>535</v>
      </c>
      <c r="E162" s="14" t="s">
        <v>2189</v>
      </c>
      <c r="F162" s="14">
        <v>3.1</v>
      </c>
      <c r="G162" s="14">
        <v>933.31</v>
      </c>
      <c r="H162" s="14">
        <v>301.07</v>
      </c>
      <c r="I162" s="14">
        <v>30</v>
      </c>
      <c r="J162" s="14">
        <v>653.32000000000005</v>
      </c>
      <c r="K162" s="110"/>
    </row>
    <row r="163" spans="1:11" hidden="1">
      <c r="A163" s="131" t="str">
        <f t="shared" si="2"/>
        <v>Campanile La Villette_2018-09</v>
      </c>
      <c r="B163" s="14" t="s">
        <v>2059</v>
      </c>
      <c r="C163" s="14" t="s">
        <v>1129</v>
      </c>
      <c r="D163" s="14" t="s">
        <v>535</v>
      </c>
      <c r="E163" s="14" t="s">
        <v>2268</v>
      </c>
      <c r="F163" s="14">
        <v>1</v>
      </c>
      <c r="G163" s="14">
        <v>756.64</v>
      </c>
      <c r="H163" s="14">
        <v>756.64</v>
      </c>
      <c r="I163" s="14">
        <v>30</v>
      </c>
      <c r="J163" s="14">
        <v>529.65</v>
      </c>
      <c r="K163" s="110"/>
    </row>
    <row r="164" spans="1:11" hidden="1">
      <c r="A164" s="131" t="str">
        <f t="shared" si="2"/>
        <v>Campanile Lille_2018-07</v>
      </c>
      <c r="B164" s="14" t="s">
        <v>1679</v>
      </c>
      <c r="C164" s="14" t="s">
        <v>940</v>
      </c>
      <c r="D164" s="14" t="s">
        <v>535</v>
      </c>
      <c r="E164" s="14" t="s">
        <v>2144</v>
      </c>
      <c r="F164" s="14">
        <v>13</v>
      </c>
      <c r="G164" s="14">
        <v>1008.07</v>
      </c>
      <c r="H164" s="14">
        <v>77.540000000000006</v>
      </c>
      <c r="I164" s="14">
        <v>30</v>
      </c>
      <c r="J164" s="14">
        <v>705.65</v>
      </c>
      <c r="K164" s="110"/>
    </row>
    <row r="165" spans="1:11">
      <c r="A165" s="131" t="str">
        <f t="shared" si="2"/>
        <v>Campanile Lille_2018-08</v>
      </c>
      <c r="B165" s="14" t="s">
        <v>1679</v>
      </c>
      <c r="C165" s="14" t="s">
        <v>940</v>
      </c>
      <c r="D165" s="14" t="s">
        <v>535</v>
      </c>
      <c r="E165" s="14" t="s">
        <v>2189</v>
      </c>
      <c r="F165" s="14">
        <v>13</v>
      </c>
      <c r="G165" s="14">
        <v>1696.15</v>
      </c>
      <c r="H165" s="14">
        <v>130.47</v>
      </c>
      <c r="I165" s="14">
        <v>30</v>
      </c>
      <c r="J165" s="14">
        <v>1187.31</v>
      </c>
      <c r="K165" s="110"/>
    </row>
    <row r="166" spans="1:11" hidden="1">
      <c r="A166" s="131" t="str">
        <f t="shared" si="2"/>
        <v>Campanile Lille_2018-09</v>
      </c>
      <c r="B166" s="14" t="s">
        <v>1679</v>
      </c>
      <c r="C166" s="14" t="s">
        <v>940</v>
      </c>
      <c r="D166" s="14" t="s">
        <v>535</v>
      </c>
      <c r="E166" s="14" t="s">
        <v>2268</v>
      </c>
      <c r="F166" s="14">
        <v>19</v>
      </c>
      <c r="G166" s="14">
        <v>969.82</v>
      </c>
      <c r="H166" s="14">
        <v>51.04</v>
      </c>
      <c r="I166" s="14">
        <v>30</v>
      </c>
      <c r="J166" s="14">
        <v>678.87</v>
      </c>
      <c r="K166" s="110"/>
    </row>
    <row r="167" spans="1:11" hidden="1">
      <c r="A167" s="131" t="str">
        <f t="shared" si="2"/>
        <v>Campanile Nanterre_2018-07</v>
      </c>
      <c r="B167" s="14" t="s">
        <v>2057</v>
      </c>
      <c r="C167" s="14" t="s">
        <v>1615</v>
      </c>
      <c r="D167" s="14" t="s">
        <v>535</v>
      </c>
      <c r="E167" s="14" t="s">
        <v>2144</v>
      </c>
      <c r="F167" s="14">
        <v>4</v>
      </c>
      <c r="G167" s="14">
        <v>42.28</v>
      </c>
      <c r="H167" s="14">
        <v>10.57</v>
      </c>
      <c r="I167" s="14">
        <v>30</v>
      </c>
      <c r="J167" s="14">
        <v>29.6</v>
      </c>
      <c r="K167" s="110"/>
    </row>
    <row r="168" spans="1:11">
      <c r="A168" s="131" t="str">
        <f t="shared" si="2"/>
        <v>Campanile Nanterre_2018-08</v>
      </c>
      <c r="B168" s="14" t="s">
        <v>2057</v>
      </c>
      <c r="C168" s="14" t="s">
        <v>1615</v>
      </c>
      <c r="D168" s="14" t="s">
        <v>535</v>
      </c>
      <c r="E168" s="14" t="s">
        <v>2189</v>
      </c>
      <c r="F168" s="14">
        <v>4</v>
      </c>
      <c r="G168" s="14">
        <v>18.940000000000001</v>
      </c>
      <c r="H168" s="14">
        <v>4.74</v>
      </c>
      <c r="I168" s="14">
        <v>30</v>
      </c>
      <c r="J168" s="14">
        <v>13.26</v>
      </c>
      <c r="K168" s="110"/>
    </row>
    <row r="169" spans="1:11" hidden="1">
      <c r="A169" s="131" t="str">
        <f t="shared" si="2"/>
        <v>Campanile Nanterre_2018-09</v>
      </c>
      <c r="B169" s="14" t="s">
        <v>2057</v>
      </c>
      <c r="C169" s="14" t="s">
        <v>1615</v>
      </c>
      <c r="D169" s="14" t="s">
        <v>535</v>
      </c>
      <c r="E169" s="14" t="s">
        <v>2268</v>
      </c>
      <c r="F169" s="14">
        <v>4</v>
      </c>
      <c r="G169" s="14">
        <v>2.39</v>
      </c>
      <c r="H169" s="14">
        <v>0.6</v>
      </c>
      <c r="I169" s="14">
        <v>30</v>
      </c>
      <c r="J169" s="14">
        <v>1.67</v>
      </c>
      <c r="K169" s="110"/>
    </row>
    <row r="170" spans="1:11" hidden="1">
      <c r="A170" s="131" t="str">
        <f t="shared" si="2"/>
        <v>Campanile Roissy_2018-07</v>
      </c>
      <c r="B170" s="14" t="s">
        <v>228</v>
      </c>
      <c r="C170" s="14" t="s">
        <v>1752</v>
      </c>
      <c r="D170" s="14" t="s">
        <v>535</v>
      </c>
      <c r="E170" s="14" t="s">
        <v>2144</v>
      </c>
      <c r="F170" s="14">
        <v>5</v>
      </c>
      <c r="G170" s="14">
        <v>216.52</v>
      </c>
      <c r="H170" s="14">
        <v>43.3</v>
      </c>
      <c r="I170" s="14">
        <v>30</v>
      </c>
      <c r="J170" s="14">
        <v>151.56</v>
      </c>
      <c r="K170" s="110"/>
    </row>
    <row r="171" spans="1:11">
      <c r="A171" s="131" t="str">
        <f t="shared" si="2"/>
        <v>Campanile Roissy_2018-08</v>
      </c>
      <c r="B171" s="14" t="s">
        <v>228</v>
      </c>
      <c r="C171" s="14" t="s">
        <v>1752</v>
      </c>
      <c r="D171" s="14" t="s">
        <v>535</v>
      </c>
      <c r="E171" s="14" t="s">
        <v>2189</v>
      </c>
      <c r="F171" s="14">
        <v>5</v>
      </c>
      <c r="G171" s="14">
        <v>912.4</v>
      </c>
      <c r="H171" s="14">
        <v>182.48</v>
      </c>
      <c r="I171" s="14">
        <v>30</v>
      </c>
      <c r="J171" s="14">
        <v>638.67999999999995</v>
      </c>
      <c r="K171" s="110"/>
    </row>
    <row r="172" spans="1:11" hidden="1">
      <c r="A172" s="131" t="str">
        <f t="shared" si="2"/>
        <v>Campanile Roissy_2018-09</v>
      </c>
      <c r="B172" s="14" t="s">
        <v>228</v>
      </c>
      <c r="C172" s="14" t="s">
        <v>1752</v>
      </c>
      <c r="D172" s="14" t="s">
        <v>535</v>
      </c>
      <c r="E172" s="14" t="s">
        <v>2268</v>
      </c>
      <c r="F172" s="14">
        <v>5</v>
      </c>
      <c r="G172" s="14">
        <v>670.75</v>
      </c>
      <c r="H172" s="14">
        <v>134.15</v>
      </c>
      <c r="I172" s="14">
        <v>30</v>
      </c>
      <c r="J172" s="14">
        <v>469.52</v>
      </c>
      <c r="K172" s="110"/>
    </row>
    <row r="173" spans="1:11" hidden="1">
      <c r="A173" s="131" t="str">
        <f t="shared" si="2"/>
        <v>Campanile Suresnes_2018-07</v>
      </c>
      <c r="B173" s="14" t="s">
        <v>229</v>
      </c>
      <c r="C173" s="14" t="s">
        <v>687</v>
      </c>
      <c r="D173" s="14" t="s">
        <v>535</v>
      </c>
      <c r="E173" s="14" t="s">
        <v>2144</v>
      </c>
      <c r="F173" s="14">
        <v>30</v>
      </c>
      <c r="G173" s="14">
        <v>1908.98</v>
      </c>
      <c r="H173" s="14">
        <v>63.63</v>
      </c>
      <c r="I173" s="14">
        <v>50</v>
      </c>
      <c r="J173" s="14">
        <v>954.49</v>
      </c>
      <c r="K173" s="110"/>
    </row>
    <row r="174" spans="1:11">
      <c r="A174" s="131" t="str">
        <f t="shared" si="2"/>
        <v>Campanile Suresnes_2018-08</v>
      </c>
      <c r="B174" s="14" t="s">
        <v>229</v>
      </c>
      <c r="C174" s="14" t="s">
        <v>687</v>
      </c>
      <c r="D174" s="14" t="s">
        <v>535</v>
      </c>
      <c r="E174" s="14" t="s">
        <v>2189</v>
      </c>
      <c r="F174" s="14">
        <v>30</v>
      </c>
      <c r="G174" s="14">
        <v>1910.92</v>
      </c>
      <c r="H174" s="14">
        <v>63.7</v>
      </c>
      <c r="I174" s="14">
        <v>50</v>
      </c>
      <c r="J174" s="14">
        <v>955.46</v>
      </c>
      <c r="K174" s="110"/>
    </row>
    <row r="175" spans="1:11" hidden="1">
      <c r="A175" s="131" t="str">
        <f t="shared" si="2"/>
        <v>Campanile Suresnes_2018-09</v>
      </c>
      <c r="B175" s="14" t="s">
        <v>229</v>
      </c>
      <c r="C175" s="14" t="s">
        <v>687</v>
      </c>
      <c r="D175" s="14" t="s">
        <v>535</v>
      </c>
      <c r="E175" s="14" t="s">
        <v>2268</v>
      </c>
      <c r="F175" s="14">
        <v>30</v>
      </c>
      <c r="G175" s="14">
        <v>1813.54</v>
      </c>
      <c r="H175" s="14">
        <v>60.45</v>
      </c>
      <c r="I175" s="14">
        <v>50</v>
      </c>
      <c r="J175" s="14">
        <v>906.77</v>
      </c>
      <c r="K175" s="110"/>
    </row>
    <row r="176" spans="1:11" hidden="1">
      <c r="A176" s="131" t="str">
        <f t="shared" si="2"/>
        <v>CCI Paris Ile-de-France_2018-07</v>
      </c>
      <c r="B176" s="14" t="s">
        <v>1753</v>
      </c>
      <c r="C176" s="14" t="s">
        <v>1610</v>
      </c>
      <c r="D176" s="14" t="s">
        <v>535</v>
      </c>
      <c r="E176" s="14" t="s">
        <v>2144</v>
      </c>
      <c r="F176" s="14">
        <v>64</v>
      </c>
      <c r="G176" s="14">
        <v>8211.5400000000009</v>
      </c>
      <c r="H176" s="14">
        <v>128.31</v>
      </c>
      <c r="I176" s="14">
        <v>30</v>
      </c>
      <c r="J176" s="14">
        <v>5748.08</v>
      </c>
      <c r="K176" s="110"/>
    </row>
    <row r="177" spans="1:11">
      <c r="A177" s="131" t="str">
        <f t="shared" si="2"/>
        <v>CCI Paris Ile-de-France_2018-08</v>
      </c>
      <c r="B177" s="14" t="s">
        <v>1753</v>
      </c>
      <c r="C177" s="14" t="s">
        <v>1610</v>
      </c>
      <c r="D177" s="14" t="s">
        <v>535</v>
      </c>
      <c r="E177" s="14" t="s">
        <v>2189</v>
      </c>
      <c r="F177" s="14">
        <v>64</v>
      </c>
      <c r="G177" s="14">
        <v>7899.59</v>
      </c>
      <c r="H177" s="14">
        <v>123.43</v>
      </c>
      <c r="I177" s="14">
        <v>30</v>
      </c>
      <c r="J177" s="14">
        <v>5529.71</v>
      </c>
      <c r="K177" s="110"/>
    </row>
    <row r="178" spans="1:11" hidden="1">
      <c r="A178" s="131" t="str">
        <f t="shared" si="2"/>
        <v>CCI Paris Ile-de-France_2018-09</v>
      </c>
      <c r="B178" s="14" t="s">
        <v>1753</v>
      </c>
      <c r="C178" s="14" t="s">
        <v>1610</v>
      </c>
      <c r="D178" s="14" t="s">
        <v>535</v>
      </c>
      <c r="E178" s="14" t="s">
        <v>2268</v>
      </c>
      <c r="F178" s="14">
        <v>64</v>
      </c>
      <c r="G178" s="14">
        <v>9589.7999999999993</v>
      </c>
      <c r="H178" s="14">
        <v>149.84</v>
      </c>
      <c r="I178" s="14">
        <v>30</v>
      </c>
      <c r="J178" s="14">
        <v>6712.86</v>
      </c>
      <c r="K178" s="110"/>
    </row>
    <row r="179" spans="1:11" hidden="1">
      <c r="A179" s="131" t="str">
        <f t="shared" si="2"/>
        <v>CCN Poterie et Brossolette_2018-07</v>
      </c>
      <c r="B179" s="14" t="s">
        <v>2060</v>
      </c>
      <c r="C179" s="14" t="s">
        <v>2284</v>
      </c>
      <c r="D179" s="14" t="s">
        <v>535</v>
      </c>
      <c r="E179" s="14" t="s">
        <v>2144</v>
      </c>
      <c r="F179" s="14">
        <v>150</v>
      </c>
      <c r="G179" s="14">
        <v>1948.8</v>
      </c>
      <c r="H179" s="14">
        <v>12.99</v>
      </c>
      <c r="I179" s="14">
        <v>50</v>
      </c>
      <c r="J179" s="14">
        <v>974.4</v>
      </c>
      <c r="K179" s="110"/>
    </row>
    <row r="180" spans="1:11" s="56" customFormat="1" hidden="1">
      <c r="A180" s="131" t="str">
        <f t="shared" si="2"/>
        <v>CCN Poterie et Brossolette_2018-09</v>
      </c>
      <c r="B180" s="14" t="s">
        <v>2060</v>
      </c>
      <c r="C180" s="14" t="s">
        <v>2284</v>
      </c>
      <c r="D180" s="14" t="s">
        <v>535</v>
      </c>
      <c r="E180" s="14" t="s">
        <v>2268</v>
      </c>
      <c r="F180" s="14">
        <v>150</v>
      </c>
      <c r="G180" s="14">
        <v>461.5</v>
      </c>
      <c r="H180" s="14">
        <v>3.08</v>
      </c>
      <c r="I180" s="14">
        <v>50</v>
      </c>
      <c r="J180" s="14">
        <v>230.75</v>
      </c>
      <c r="K180" s="110"/>
    </row>
    <row r="181" spans="1:11" hidden="1">
      <c r="A181" s="131" t="str">
        <f t="shared" si="2"/>
        <v>Citadines Austerlitz_2018-07</v>
      </c>
      <c r="B181" s="14" t="s">
        <v>2063</v>
      </c>
      <c r="C181" s="14" t="s">
        <v>1891</v>
      </c>
      <c r="D181" s="14" t="s">
        <v>535</v>
      </c>
      <c r="E181" s="14" t="s">
        <v>2144</v>
      </c>
      <c r="F181" s="14">
        <v>4</v>
      </c>
      <c r="G181" s="14">
        <v>766.35</v>
      </c>
      <c r="H181" s="14">
        <v>191.59</v>
      </c>
      <c r="I181" s="14">
        <v>35</v>
      </c>
      <c r="J181" s="14">
        <v>498.13</v>
      </c>
      <c r="K181" s="110"/>
    </row>
    <row r="182" spans="1:11">
      <c r="A182" s="131" t="str">
        <f t="shared" si="2"/>
        <v>Citadines Austerlitz_2018-08</v>
      </c>
      <c r="B182" s="14" t="s">
        <v>2063</v>
      </c>
      <c r="C182" s="14" t="s">
        <v>1891</v>
      </c>
      <c r="D182" s="14" t="s">
        <v>535</v>
      </c>
      <c r="E182" s="14" t="s">
        <v>2189</v>
      </c>
      <c r="F182" s="14">
        <v>4</v>
      </c>
      <c r="G182" s="14">
        <v>792.96</v>
      </c>
      <c r="H182" s="14">
        <v>198.24</v>
      </c>
      <c r="I182" s="14">
        <v>35</v>
      </c>
      <c r="J182" s="14">
        <v>515.41999999999996</v>
      </c>
      <c r="K182" s="110"/>
    </row>
    <row r="183" spans="1:11" hidden="1">
      <c r="A183" s="131" t="str">
        <f t="shared" si="2"/>
        <v>Citadines Austerlitz_2018-09</v>
      </c>
      <c r="B183" s="14" t="s">
        <v>2063</v>
      </c>
      <c r="C183" s="14" t="s">
        <v>1891</v>
      </c>
      <c r="D183" s="14" t="s">
        <v>535</v>
      </c>
      <c r="E183" s="14" t="s">
        <v>2268</v>
      </c>
      <c r="F183" s="14">
        <v>4</v>
      </c>
      <c r="G183" s="14">
        <v>1036.24</v>
      </c>
      <c r="H183" s="14">
        <v>259.06</v>
      </c>
      <c r="I183" s="14">
        <v>35</v>
      </c>
      <c r="J183" s="14">
        <v>673.56</v>
      </c>
      <c r="K183" s="110"/>
    </row>
    <row r="184" spans="1:11" hidden="1">
      <c r="A184" s="131" t="str">
        <f t="shared" si="2"/>
        <v>Citadines Bastille Gare de Lyon_2018-07</v>
      </c>
      <c r="B184" s="14" t="s">
        <v>2064</v>
      </c>
      <c r="C184" s="14" t="s">
        <v>688</v>
      </c>
      <c r="D184" s="14" t="s">
        <v>535</v>
      </c>
      <c r="E184" s="14" t="s">
        <v>2144</v>
      </c>
      <c r="F184" s="14">
        <v>28</v>
      </c>
      <c r="G184" s="14">
        <v>4004.42</v>
      </c>
      <c r="H184" s="14">
        <v>143.02000000000001</v>
      </c>
      <c r="I184" s="14">
        <v>35</v>
      </c>
      <c r="J184" s="14">
        <v>2602.87</v>
      </c>
      <c r="K184" s="110"/>
    </row>
    <row r="185" spans="1:11">
      <c r="A185" s="131" t="str">
        <f t="shared" si="2"/>
        <v>Citadines Bastille Gare de Lyon_2018-08</v>
      </c>
      <c r="B185" s="14" t="s">
        <v>2064</v>
      </c>
      <c r="C185" s="14" t="s">
        <v>688</v>
      </c>
      <c r="D185" s="14" t="s">
        <v>535</v>
      </c>
      <c r="E185" s="14" t="s">
        <v>2189</v>
      </c>
      <c r="F185" s="14">
        <v>28</v>
      </c>
      <c r="G185" s="14">
        <v>4285.55</v>
      </c>
      <c r="H185" s="14">
        <v>153.06</v>
      </c>
      <c r="I185" s="14">
        <v>35</v>
      </c>
      <c r="J185" s="14">
        <v>2785.61</v>
      </c>
      <c r="K185" s="110"/>
    </row>
    <row r="186" spans="1:11" hidden="1">
      <c r="A186" s="131" t="str">
        <f t="shared" si="2"/>
        <v>Citadines Bastille Gare de Lyon_2018-09</v>
      </c>
      <c r="B186" s="14" t="s">
        <v>2064</v>
      </c>
      <c r="C186" s="14" t="s">
        <v>688</v>
      </c>
      <c r="D186" s="14" t="s">
        <v>535</v>
      </c>
      <c r="E186" s="14" t="s">
        <v>2268</v>
      </c>
      <c r="F186" s="14">
        <v>28</v>
      </c>
      <c r="G186" s="14">
        <v>3717.51</v>
      </c>
      <c r="H186" s="14">
        <v>132.77000000000001</v>
      </c>
      <c r="I186" s="14">
        <v>35</v>
      </c>
      <c r="J186" s="14">
        <v>2416.38</v>
      </c>
      <c r="K186" s="110"/>
    </row>
    <row r="187" spans="1:11" hidden="1">
      <c r="A187" s="131" t="str">
        <f t="shared" si="2"/>
        <v>Citadines Montmartre_2018-07</v>
      </c>
      <c r="B187" s="14" t="s">
        <v>2065</v>
      </c>
      <c r="C187" s="14" t="s">
        <v>689</v>
      </c>
      <c r="D187" s="14" t="s">
        <v>535</v>
      </c>
      <c r="E187" s="14" t="s">
        <v>2144</v>
      </c>
      <c r="F187" s="14">
        <v>10</v>
      </c>
      <c r="G187" s="14">
        <v>2446.63</v>
      </c>
      <c r="H187" s="14">
        <v>244.66</v>
      </c>
      <c r="I187" s="14">
        <v>35</v>
      </c>
      <c r="J187" s="14">
        <v>1590.31</v>
      </c>
      <c r="K187" s="110"/>
    </row>
    <row r="188" spans="1:11">
      <c r="A188" s="131" t="str">
        <f t="shared" si="2"/>
        <v>Citadines Montmartre_2018-08</v>
      </c>
      <c r="B188" s="14" t="s">
        <v>2065</v>
      </c>
      <c r="C188" s="14" t="s">
        <v>689</v>
      </c>
      <c r="D188" s="14" t="s">
        <v>535</v>
      </c>
      <c r="E188" s="14" t="s">
        <v>2189</v>
      </c>
      <c r="F188" s="14">
        <v>10</v>
      </c>
      <c r="G188" s="14">
        <v>2502.92</v>
      </c>
      <c r="H188" s="14">
        <v>250.29</v>
      </c>
      <c r="I188" s="14">
        <v>35</v>
      </c>
      <c r="J188" s="14">
        <v>1626.9</v>
      </c>
      <c r="K188" s="110"/>
    </row>
    <row r="189" spans="1:11" hidden="1">
      <c r="A189" s="131" t="str">
        <f t="shared" si="2"/>
        <v>Citadines Montmartre_2018-09</v>
      </c>
      <c r="B189" s="14" t="s">
        <v>2065</v>
      </c>
      <c r="C189" s="14" t="s">
        <v>689</v>
      </c>
      <c r="D189" s="14" t="s">
        <v>535</v>
      </c>
      <c r="E189" s="14" t="s">
        <v>2268</v>
      </c>
      <c r="F189" s="14">
        <v>10</v>
      </c>
      <c r="G189" s="14">
        <v>2409.85</v>
      </c>
      <c r="H189" s="14">
        <v>240.98</v>
      </c>
      <c r="I189" s="14">
        <v>35</v>
      </c>
      <c r="J189" s="14">
        <v>1566.4</v>
      </c>
      <c r="K189" s="110"/>
    </row>
    <row r="190" spans="1:11" hidden="1">
      <c r="A190" s="131" t="str">
        <f t="shared" si="2"/>
        <v>Citadines Montpellier_2018-07</v>
      </c>
      <c r="B190" s="14" t="s">
        <v>2062</v>
      </c>
      <c r="C190" s="14" t="s">
        <v>941</v>
      </c>
      <c r="D190" s="14" t="s">
        <v>535</v>
      </c>
      <c r="E190" s="14" t="s">
        <v>2144</v>
      </c>
      <c r="F190" s="14">
        <v>5</v>
      </c>
      <c r="G190" s="14">
        <v>609</v>
      </c>
      <c r="H190" s="14">
        <v>121.8</v>
      </c>
      <c r="I190" s="14">
        <v>35</v>
      </c>
      <c r="J190" s="14">
        <v>395.85</v>
      </c>
      <c r="K190" s="110"/>
    </row>
    <row r="191" spans="1:11">
      <c r="A191" s="131" t="str">
        <f t="shared" si="2"/>
        <v>Citadines Montpellier_2018-08</v>
      </c>
      <c r="B191" s="14" t="s">
        <v>2062</v>
      </c>
      <c r="C191" s="14" t="s">
        <v>941</v>
      </c>
      <c r="D191" s="14" t="s">
        <v>535</v>
      </c>
      <c r="E191" s="14" t="s">
        <v>2189</v>
      </c>
      <c r="F191" s="14">
        <v>5</v>
      </c>
      <c r="G191" s="14">
        <v>609</v>
      </c>
      <c r="H191" s="14">
        <v>121.8</v>
      </c>
      <c r="I191" s="14">
        <v>35</v>
      </c>
      <c r="J191" s="14">
        <v>395.85</v>
      </c>
      <c r="K191" s="110"/>
    </row>
    <row r="192" spans="1:11" hidden="1">
      <c r="A192" s="131" t="str">
        <f t="shared" si="2"/>
        <v>Citadines Montpellier_2018-09</v>
      </c>
      <c r="B192" s="14" t="s">
        <v>2062</v>
      </c>
      <c r="C192" s="14" t="s">
        <v>941</v>
      </c>
      <c r="D192" s="14" t="s">
        <v>535</v>
      </c>
      <c r="E192" s="14" t="s">
        <v>2268</v>
      </c>
      <c r="F192" s="14">
        <v>5</v>
      </c>
      <c r="G192" s="14">
        <v>609</v>
      </c>
      <c r="H192" s="14">
        <v>121.8</v>
      </c>
      <c r="I192" s="14">
        <v>35</v>
      </c>
      <c r="J192" s="14">
        <v>395.85</v>
      </c>
      <c r="K192" s="110"/>
    </row>
    <row r="193" spans="1:11" hidden="1">
      <c r="A193" s="131" t="str">
        <f t="shared" si="2"/>
        <v>Citadines République_2018-07</v>
      </c>
      <c r="B193" s="14" t="s">
        <v>2066</v>
      </c>
      <c r="C193" s="14" t="s">
        <v>691</v>
      </c>
      <c r="D193" s="14" t="s">
        <v>535</v>
      </c>
      <c r="E193" s="14" t="s">
        <v>2144</v>
      </c>
      <c r="F193" s="14">
        <v>15</v>
      </c>
      <c r="G193" s="14">
        <v>3325.07</v>
      </c>
      <c r="H193" s="14">
        <v>221.67</v>
      </c>
      <c r="I193" s="14">
        <v>35</v>
      </c>
      <c r="J193" s="14">
        <v>2161.3000000000002</v>
      </c>
      <c r="K193" s="110"/>
    </row>
    <row r="194" spans="1:11">
      <c r="A194" s="131" t="str">
        <f t="shared" si="2"/>
        <v>Citadines République_2018-08</v>
      </c>
      <c r="B194" s="14" t="s">
        <v>2066</v>
      </c>
      <c r="C194" s="14" t="s">
        <v>691</v>
      </c>
      <c r="D194" s="14" t="s">
        <v>535</v>
      </c>
      <c r="E194" s="14" t="s">
        <v>2189</v>
      </c>
      <c r="F194" s="14">
        <v>15</v>
      </c>
      <c r="G194" s="14">
        <v>3002.57</v>
      </c>
      <c r="H194" s="14">
        <v>200.17</v>
      </c>
      <c r="I194" s="14">
        <v>35</v>
      </c>
      <c r="J194" s="14">
        <v>1951.67</v>
      </c>
      <c r="K194" s="110"/>
    </row>
    <row r="195" spans="1:11" hidden="1">
      <c r="A195" s="131" t="str">
        <f t="shared" si="2"/>
        <v>Citadines République_2018-09</v>
      </c>
      <c r="B195" s="14" t="s">
        <v>2066</v>
      </c>
      <c r="C195" s="14" t="s">
        <v>691</v>
      </c>
      <c r="D195" s="14" t="s">
        <v>535</v>
      </c>
      <c r="E195" s="14" t="s">
        <v>2268</v>
      </c>
      <c r="F195" s="14">
        <v>14.5</v>
      </c>
      <c r="G195" s="14">
        <v>2674.44</v>
      </c>
      <c r="H195" s="14">
        <v>184.44</v>
      </c>
      <c r="I195" s="14">
        <v>35</v>
      </c>
      <c r="J195" s="14">
        <v>1738.39</v>
      </c>
      <c r="K195" s="110"/>
    </row>
    <row r="196" spans="1:11" hidden="1">
      <c r="A196" s="131" t="str">
        <f t="shared" si="2"/>
        <v>Citadines Saint-Germain_2018-07</v>
      </c>
      <c r="B196" s="14" t="s">
        <v>2067</v>
      </c>
      <c r="C196" s="14" t="s">
        <v>690</v>
      </c>
      <c r="D196" s="14" t="s">
        <v>535</v>
      </c>
      <c r="E196" s="14" t="s">
        <v>2144</v>
      </c>
      <c r="F196" s="14">
        <v>5</v>
      </c>
      <c r="G196" s="14">
        <v>1151.95</v>
      </c>
      <c r="H196" s="14">
        <v>230.39</v>
      </c>
      <c r="I196" s="14">
        <v>35</v>
      </c>
      <c r="J196" s="14">
        <v>748.77</v>
      </c>
      <c r="K196" s="110"/>
    </row>
    <row r="197" spans="1:11">
      <c r="A197" s="131" t="str">
        <f t="shared" si="2"/>
        <v>Citadines Saint-Germain_2018-08</v>
      </c>
      <c r="B197" s="14" t="s">
        <v>2067</v>
      </c>
      <c r="C197" s="14" t="s">
        <v>690</v>
      </c>
      <c r="D197" s="14" t="s">
        <v>535</v>
      </c>
      <c r="E197" s="14" t="s">
        <v>2189</v>
      </c>
      <c r="F197" s="14">
        <v>5</v>
      </c>
      <c r="G197" s="14">
        <v>1187.33</v>
      </c>
      <c r="H197" s="14">
        <v>237.47</v>
      </c>
      <c r="I197" s="14">
        <v>35</v>
      </c>
      <c r="J197" s="14">
        <v>771.76</v>
      </c>
      <c r="K197" s="110"/>
    </row>
    <row r="198" spans="1:11" hidden="1">
      <c r="A198" s="131" t="str">
        <f t="shared" ref="A198:A261" si="3">CONCATENATE(B198,"_",E198)</f>
        <v>Citadines Saint-Germain_2018-09</v>
      </c>
      <c r="B198" s="14" t="s">
        <v>2067</v>
      </c>
      <c r="C198" s="14" t="s">
        <v>690</v>
      </c>
      <c r="D198" s="14" t="s">
        <v>535</v>
      </c>
      <c r="E198" s="14" t="s">
        <v>2268</v>
      </c>
      <c r="F198" s="14">
        <v>5</v>
      </c>
      <c r="G198" s="14">
        <v>1138.8</v>
      </c>
      <c r="H198" s="14">
        <v>227.76</v>
      </c>
      <c r="I198" s="14">
        <v>35</v>
      </c>
      <c r="J198" s="14">
        <v>740.22</v>
      </c>
      <c r="K198" s="110"/>
    </row>
    <row r="199" spans="1:11" hidden="1">
      <c r="A199" s="131" t="str">
        <f t="shared" si="3"/>
        <v>Citadines Toulouse_2018-07</v>
      </c>
      <c r="B199" s="14" t="s">
        <v>2070</v>
      </c>
      <c r="C199" s="14" t="s">
        <v>693</v>
      </c>
      <c r="D199" s="14" t="s">
        <v>535</v>
      </c>
      <c r="E199" s="14" t="s">
        <v>2144</v>
      </c>
      <c r="F199" s="14">
        <v>6</v>
      </c>
      <c r="G199" s="14">
        <v>840.43</v>
      </c>
      <c r="H199" s="14">
        <v>140.07</v>
      </c>
      <c r="I199" s="14">
        <v>35</v>
      </c>
      <c r="J199" s="14">
        <v>546.28</v>
      </c>
      <c r="K199" s="110"/>
    </row>
    <row r="200" spans="1:11">
      <c r="A200" s="131" t="str">
        <f t="shared" si="3"/>
        <v>Citadines Toulouse_2018-08</v>
      </c>
      <c r="B200" s="14" t="s">
        <v>2070</v>
      </c>
      <c r="C200" s="14" t="s">
        <v>693</v>
      </c>
      <c r="D200" s="14" t="s">
        <v>535</v>
      </c>
      <c r="E200" s="14" t="s">
        <v>2189</v>
      </c>
      <c r="F200" s="14">
        <v>6</v>
      </c>
      <c r="G200" s="14">
        <v>933.95</v>
      </c>
      <c r="H200" s="14">
        <v>155.66</v>
      </c>
      <c r="I200" s="14">
        <v>35</v>
      </c>
      <c r="J200" s="14">
        <v>607.07000000000005</v>
      </c>
      <c r="K200" s="110"/>
    </row>
    <row r="201" spans="1:11" hidden="1">
      <c r="A201" s="131" t="str">
        <f t="shared" si="3"/>
        <v>Citadines Toulouse_2018-09</v>
      </c>
      <c r="B201" s="14" t="s">
        <v>2070</v>
      </c>
      <c r="C201" s="14" t="s">
        <v>693</v>
      </c>
      <c r="D201" s="14" t="s">
        <v>535</v>
      </c>
      <c r="E201" s="14" t="s">
        <v>2268</v>
      </c>
      <c r="F201" s="14">
        <v>6</v>
      </c>
      <c r="G201" s="14">
        <v>1065.56</v>
      </c>
      <c r="H201" s="14">
        <v>177.59</v>
      </c>
      <c r="I201" s="14">
        <v>35</v>
      </c>
      <c r="J201" s="14">
        <v>692.61</v>
      </c>
      <c r="K201" s="110"/>
    </row>
    <row r="202" spans="1:11" hidden="1">
      <c r="A202" s="131" t="str">
        <f t="shared" si="3"/>
        <v>Citadines Tour Eiffel_2018-07</v>
      </c>
      <c r="B202" s="14" t="s">
        <v>2068</v>
      </c>
      <c r="C202" s="14" t="s">
        <v>1754</v>
      </c>
      <c r="D202" s="14" t="s">
        <v>535</v>
      </c>
      <c r="E202" s="14" t="s">
        <v>2144</v>
      </c>
      <c r="F202" s="14">
        <v>7</v>
      </c>
      <c r="G202" s="14">
        <v>2700.29</v>
      </c>
      <c r="H202" s="14">
        <v>385.76</v>
      </c>
      <c r="I202" s="14">
        <v>50</v>
      </c>
      <c r="J202" s="14">
        <v>1350.14</v>
      </c>
      <c r="K202" s="110"/>
    </row>
    <row r="203" spans="1:11">
      <c r="A203" s="131" t="str">
        <f t="shared" si="3"/>
        <v>Citadines Tour Eiffel_2018-08</v>
      </c>
      <c r="B203" s="14" t="s">
        <v>2068</v>
      </c>
      <c r="C203" s="14" t="s">
        <v>1754</v>
      </c>
      <c r="D203" s="14" t="s">
        <v>535</v>
      </c>
      <c r="E203" s="14" t="s">
        <v>2189</v>
      </c>
      <c r="F203" s="14">
        <v>7</v>
      </c>
      <c r="G203" s="14">
        <v>1589.52</v>
      </c>
      <c r="H203" s="14">
        <v>227.07</v>
      </c>
      <c r="I203" s="14">
        <v>35</v>
      </c>
      <c r="J203" s="14">
        <v>1033.19</v>
      </c>
      <c r="K203" s="110"/>
    </row>
    <row r="204" spans="1:11" hidden="1">
      <c r="A204" s="131" t="str">
        <f t="shared" si="3"/>
        <v>Citadines Tour Eiffel_2018-09</v>
      </c>
      <c r="B204" s="14" t="s">
        <v>2068</v>
      </c>
      <c r="C204" s="14" t="s">
        <v>1754</v>
      </c>
      <c r="D204" s="14" t="s">
        <v>535</v>
      </c>
      <c r="E204" s="14" t="s">
        <v>2268</v>
      </c>
      <c r="F204" s="14">
        <v>7</v>
      </c>
      <c r="G204" s="14">
        <v>1981.97</v>
      </c>
      <c r="H204" s="14">
        <v>283.14</v>
      </c>
      <c r="I204" s="14">
        <v>35</v>
      </c>
      <c r="J204" s="14">
        <v>1288.28</v>
      </c>
      <c r="K204" s="110"/>
    </row>
    <row r="205" spans="1:11" hidden="1">
      <c r="A205" s="131" t="str">
        <f t="shared" si="3"/>
        <v>Citadines Trocadéro_2018-07</v>
      </c>
      <c r="B205" s="14" t="s">
        <v>2069</v>
      </c>
      <c r="C205" s="14" t="s">
        <v>692</v>
      </c>
      <c r="D205" s="14" t="s">
        <v>535</v>
      </c>
      <c r="E205" s="14" t="s">
        <v>2144</v>
      </c>
      <c r="F205" s="14">
        <v>24</v>
      </c>
      <c r="G205" s="14">
        <v>5730.25</v>
      </c>
      <c r="H205" s="14">
        <v>238.76</v>
      </c>
      <c r="I205" s="14">
        <v>35</v>
      </c>
      <c r="J205" s="14">
        <v>3724.66</v>
      </c>
      <c r="K205" s="110"/>
    </row>
    <row r="206" spans="1:11">
      <c r="A206" s="131" t="str">
        <f t="shared" si="3"/>
        <v>Citadines Trocadéro_2018-08</v>
      </c>
      <c r="B206" s="14" t="s">
        <v>2069</v>
      </c>
      <c r="C206" s="14" t="s">
        <v>692</v>
      </c>
      <c r="D206" s="14" t="s">
        <v>535</v>
      </c>
      <c r="E206" s="14" t="s">
        <v>2189</v>
      </c>
      <c r="F206" s="14">
        <v>24</v>
      </c>
      <c r="G206" s="14">
        <v>6285.99</v>
      </c>
      <c r="H206" s="14">
        <v>261.92</v>
      </c>
      <c r="I206" s="14">
        <v>35</v>
      </c>
      <c r="J206" s="14">
        <v>4085.89</v>
      </c>
      <c r="K206" s="110"/>
    </row>
    <row r="207" spans="1:11" hidden="1">
      <c r="A207" s="131" t="str">
        <f t="shared" si="3"/>
        <v>Citadines Trocadéro_2018-09</v>
      </c>
      <c r="B207" s="14" t="s">
        <v>2069</v>
      </c>
      <c r="C207" s="14" t="s">
        <v>692</v>
      </c>
      <c r="D207" s="14" t="s">
        <v>535</v>
      </c>
      <c r="E207" s="14" t="s">
        <v>2268</v>
      </c>
      <c r="F207" s="14">
        <v>24</v>
      </c>
      <c r="G207" s="14">
        <v>5787.28</v>
      </c>
      <c r="H207" s="14">
        <v>241.14</v>
      </c>
      <c r="I207" s="14">
        <v>35</v>
      </c>
      <c r="J207" s="14">
        <v>3761.73</v>
      </c>
      <c r="K207" s="110"/>
    </row>
    <row r="208" spans="1:11">
      <c r="A208" s="131" t="str">
        <f t="shared" si="3"/>
        <v>Cité Nouvelle_2018-08</v>
      </c>
      <c r="B208" s="14" t="s">
        <v>2193</v>
      </c>
      <c r="C208" s="14" t="s">
        <v>2194</v>
      </c>
      <c r="D208" s="14" t="s">
        <v>535</v>
      </c>
      <c r="E208" s="14" t="s">
        <v>2189</v>
      </c>
      <c r="F208" s="14">
        <v>3</v>
      </c>
      <c r="G208" s="14">
        <v>28.19</v>
      </c>
      <c r="H208" s="14">
        <v>9.4</v>
      </c>
      <c r="I208" s="14">
        <v>40</v>
      </c>
      <c r="J208" s="14">
        <v>16.91</v>
      </c>
      <c r="K208" s="110"/>
    </row>
    <row r="209" spans="1:11" hidden="1">
      <c r="A209" s="131" t="str">
        <f t="shared" si="3"/>
        <v>Cité Nouvelle_2018-09</v>
      </c>
      <c r="B209" s="14" t="s">
        <v>2193</v>
      </c>
      <c r="C209" s="14" t="s">
        <v>2194</v>
      </c>
      <c r="D209" s="14" t="s">
        <v>535</v>
      </c>
      <c r="E209" s="14" t="s">
        <v>2268</v>
      </c>
      <c r="F209" s="14">
        <v>3</v>
      </c>
      <c r="G209" s="14">
        <v>38</v>
      </c>
      <c r="H209" s="14">
        <v>12.67</v>
      </c>
      <c r="I209" s="14">
        <v>40</v>
      </c>
      <c r="J209" s="14">
        <v>22.8</v>
      </c>
      <c r="K209" s="110"/>
    </row>
    <row r="210" spans="1:11">
      <c r="A210" s="131" t="str">
        <f t="shared" si="3"/>
        <v>Cité Nouvelle_2018-08</v>
      </c>
      <c r="B210" s="14" t="s">
        <v>2193</v>
      </c>
      <c r="C210" s="14" t="s">
        <v>2195</v>
      </c>
      <c r="D210" s="14" t="s">
        <v>535</v>
      </c>
      <c r="E210" s="14" t="s">
        <v>2189</v>
      </c>
      <c r="F210" s="14">
        <v>3</v>
      </c>
      <c r="G210" s="14">
        <v>45</v>
      </c>
      <c r="H210" s="14">
        <v>15</v>
      </c>
      <c r="I210" s="14">
        <v>40</v>
      </c>
      <c r="J210" s="14">
        <v>27</v>
      </c>
      <c r="K210" s="110"/>
    </row>
    <row r="211" spans="1:11">
      <c r="A211" s="131" t="str">
        <f t="shared" si="3"/>
        <v>Cité Nouvelle_2018-08</v>
      </c>
      <c r="B211" s="14" t="s">
        <v>2193</v>
      </c>
      <c r="C211" s="14" t="s">
        <v>2196</v>
      </c>
      <c r="D211" s="14" t="s">
        <v>535</v>
      </c>
      <c r="E211" s="14" t="s">
        <v>2189</v>
      </c>
      <c r="F211" s="14">
        <v>3</v>
      </c>
      <c r="G211" s="14">
        <v>31.94</v>
      </c>
      <c r="H211" s="14">
        <v>10.65</v>
      </c>
      <c r="I211" s="14">
        <v>40</v>
      </c>
      <c r="J211" s="14">
        <v>19.16</v>
      </c>
      <c r="K211" s="110"/>
    </row>
    <row r="212" spans="1:11" hidden="1">
      <c r="A212" s="131" t="str">
        <f t="shared" si="3"/>
        <v>Cité Nouvelle_2018-09</v>
      </c>
      <c r="B212" s="14" t="s">
        <v>2193</v>
      </c>
      <c r="C212" s="14" t="s">
        <v>2196</v>
      </c>
      <c r="D212" s="14" t="s">
        <v>535</v>
      </c>
      <c r="E212" s="14" t="s">
        <v>2268</v>
      </c>
      <c r="F212" s="14">
        <v>3</v>
      </c>
      <c r="G212" s="14">
        <v>51</v>
      </c>
      <c r="H212" s="14">
        <v>17</v>
      </c>
      <c r="I212" s="14">
        <v>40</v>
      </c>
      <c r="J212" s="14">
        <v>30.6</v>
      </c>
      <c r="K212" s="110"/>
    </row>
    <row r="213" spans="1:11" hidden="1">
      <c r="A213" s="131" t="str">
        <f t="shared" si="3"/>
        <v>Cité Nouvelle_2018-09</v>
      </c>
      <c r="B213" s="14" t="s">
        <v>2193</v>
      </c>
      <c r="C213" s="14" t="s">
        <v>2285</v>
      </c>
      <c r="D213" s="14" t="s">
        <v>535</v>
      </c>
      <c r="E213" s="14" t="s">
        <v>2268</v>
      </c>
      <c r="F213" s="14">
        <v>1</v>
      </c>
      <c r="G213" s="14">
        <v>0</v>
      </c>
      <c r="H213" s="14">
        <v>0</v>
      </c>
      <c r="I213" s="14">
        <v>40</v>
      </c>
      <c r="J213" s="14">
        <v>0</v>
      </c>
      <c r="K213" s="110"/>
    </row>
    <row r="214" spans="1:11" hidden="1">
      <c r="A214" s="131" t="str">
        <f t="shared" si="3"/>
        <v>Cité Nouvelle_2018-09</v>
      </c>
      <c r="B214" s="14" t="s">
        <v>2193</v>
      </c>
      <c r="C214" s="14" t="s">
        <v>2286</v>
      </c>
      <c r="D214" s="14" t="s">
        <v>535</v>
      </c>
      <c r="E214" s="14" t="s">
        <v>2268</v>
      </c>
      <c r="F214" s="14">
        <v>0.33</v>
      </c>
      <c r="G214" s="14">
        <v>10.6</v>
      </c>
      <c r="H214" s="14">
        <v>32.119999999999997</v>
      </c>
      <c r="I214" s="14">
        <v>40</v>
      </c>
      <c r="J214" s="14">
        <v>6.36</v>
      </c>
      <c r="K214" s="110"/>
    </row>
    <row r="215" spans="1:11" hidden="1">
      <c r="A215" s="131" t="str">
        <f t="shared" si="3"/>
        <v>Cité Nouvelle_2018-09</v>
      </c>
      <c r="B215" s="14" t="s">
        <v>2193</v>
      </c>
      <c r="C215" s="14" t="s">
        <v>2287</v>
      </c>
      <c r="D215" s="14" t="s">
        <v>535</v>
      </c>
      <c r="E215" s="14" t="s">
        <v>2268</v>
      </c>
      <c r="F215" s="14">
        <v>2</v>
      </c>
      <c r="G215" s="14">
        <v>31.35</v>
      </c>
      <c r="H215" s="14">
        <v>15.68</v>
      </c>
      <c r="I215" s="14">
        <v>40</v>
      </c>
      <c r="J215" s="14">
        <v>18.809999999999999</v>
      </c>
      <c r="K215" s="110"/>
    </row>
    <row r="216" spans="1:11">
      <c r="A216" s="131" t="str">
        <f t="shared" si="3"/>
        <v>City Residence Nantes_2018-08</v>
      </c>
      <c r="B216" s="14" t="s">
        <v>2071</v>
      </c>
      <c r="C216" s="14" t="s">
        <v>2197</v>
      </c>
      <c r="D216" s="14" t="s">
        <v>535</v>
      </c>
      <c r="E216" s="14" t="s">
        <v>2189</v>
      </c>
      <c r="F216" s="14">
        <v>14</v>
      </c>
      <c r="G216" s="14">
        <v>24</v>
      </c>
      <c r="H216" s="14">
        <v>1.71</v>
      </c>
      <c r="I216" s="14">
        <v>50</v>
      </c>
      <c r="J216" s="14">
        <v>12</v>
      </c>
      <c r="K216" s="110"/>
    </row>
    <row r="217" spans="1:11" hidden="1">
      <c r="A217" s="131" t="str">
        <f t="shared" si="3"/>
        <v>Clarion Suites Cannes_2018-07</v>
      </c>
      <c r="B217" s="14" t="s">
        <v>2151</v>
      </c>
      <c r="C217" s="14" t="s">
        <v>970</v>
      </c>
      <c r="D217" s="14" t="s">
        <v>535</v>
      </c>
      <c r="E217" s="14" t="s">
        <v>2144</v>
      </c>
      <c r="F217" s="14">
        <v>15</v>
      </c>
      <c r="G217" s="14">
        <v>2357.2199999999998</v>
      </c>
      <c r="H217" s="14">
        <v>157.15</v>
      </c>
      <c r="I217" s="14">
        <v>35</v>
      </c>
      <c r="J217" s="14">
        <v>1532.19</v>
      </c>
      <c r="K217" s="110"/>
    </row>
    <row r="218" spans="1:11">
      <c r="A218" s="131" t="str">
        <f t="shared" si="3"/>
        <v>Clarion Suites Cannes_2018-08</v>
      </c>
      <c r="B218" s="14" t="s">
        <v>2151</v>
      </c>
      <c r="C218" s="14" t="s">
        <v>970</v>
      </c>
      <c r="D218" s="14" t="s">
        <v>535</v>
      </c>
      <c r="E218" s="14" t="s">
        <v>2189</v>
      </c>
      <c r="F218" s="14">
        <v>15</v>
      </c>
      <c r="G218" s="14">
        <v>2376.15</v>
      </c>
      <c r="H218" s="14">
        <v>158.41</v>
      </c>
      <c r="I218" s="14">
        <v>35</v>
      </c>
      <c r="J218" s="14">
        <v>1544.5</v>
      </c>
      <c r="K218" s="110"/>
    </row>
    <row r="219" spans="1:11" hidden="1">
      <c r="A219" s="131" t="str">
        <f t="shared" si="3"/>
        <v>Clarion Suites Cannes_2018-09</v>
      </c>
      <c r="B219" s="14" t="s">
        <v>2151</v>
      </c>
      <c r="C219" s="14" t="s">
        <v>970</v>
      </c>
      <c r="D219" s="14" t="s">
        <v>535</v>
      </c>
      <c r="E219" s="14" t="s">
        <v>2268</v>
      </c>
      <c r="F219" s="14">
        <v>15</v>
      </c>
      <c r="G219" s="14">
        <v>976.28</v>
      </c>
      <c r="H219" s="14">
        <v>65.09</v>
      </c>
      <c r="I219" s="14">
        <v>35</v>
      </c>
      <c r="J219" s="14">
        <v>634.58000000000004</v>
      </c>
      <c r="K219" s="110"/>
    </row>
    <row r="220" spans="1:11" hidden="1">
      <c r="A220" s="131" t="str">
        <f t="shared" si="3"/>
        <v>COGESTRA_2018-07</v>
      </c>
      <c r="B220" s="14" t="s">
        <v>694</v>
      </c>
      <c r="C220" s="14" t="s">
        <v>695</v>
      </c>
      <c r="D220" s="14" t="s">
        <v>535</v>
      </c>
      <c r="E220" s="14" t="s">
        <v>2144</v>
      </c>
      <c r="F220" s="14">
        <v>19</v>
      </c>
      <c r="G220" s="14">
        <v>1997</v>
      </c>
      <c r="H220" s="14">
        <v>105.11</v>
      </c>
      <c r="I220" s="14">
        <v>25</v>
      </c>
      <c r="J220" s="14">
        <v>1497.75</v>
      </c>
      <c r="K220" s="110"/>
    </row>
    <row r="221" spans="1:11">
      <c r="A221" s="131" t="str">
        <f t="shared" si="3"/>
        <v>COGESTRA_2018-08</v>
      </c>
      <c r="B221" s="14" t="s">
        <v>694</v>
      </c>
      <c r="C221" s="14" t="s">
        <v>695</v>
      </c>
      <c r="D221" s="14" t="s">
        <v>535</v>
      </c>
      <c r="E221" s="14" t="s">
        <v>2189</v>
      </c>
      <c r="F221" s="14">
        <v>19</v>
      </c>
      <c r="G221" s="14">
        <v>1894.39</v>
      </c>
      <c r="H221" s="14">
        <v>99.7</v>
      </c>
      <c r="I221" s="14">
        <v>25</v>
      </c>
      <c r="J221" s="14">
        <v>1420.79</v>
      </c>
      <c r="K221" s="110"/>
    </row>
    <row r="222" spans="1:11" hidden="1">
      <c r="A222" s="131" t="str">
        <f t="shared" si="3"/>
        <v>COGESTRA_2018-09</v>
      </c>
      <c r="B222" s="14" t="s">
        <v>694</v>
      </c>
      <c r="C222" s="14" t="s">
        <v>695</v>
      </c>
      <c r="D222" s="14" t="s">
        <v>535</v>
      </c>
      <c r="E222" s="14" t="s">
        <v>2268</v>
      </c>
      <c r="F222" s="14">
        <v>19</v>
      </c>
      <c r="G222" s="14">
        <v>1679</v>
      </c>
      <c r="H222" s="14">
        <v>88.37</v>
      </c>
      <c r="I222" s="14">
        <v>25</v>
      </c>
      <c r="J222" s="14">
        <v>1259.25</v>
      </c>
      <c r="K222" s="110"/>
    </row>
    <row r="223" spans="1:11" hidden="1">
      <c r="A223" s="131" t="str">
        <f t="shared" si="3"/>
        <v>Comfort Suite Annemasse_2018-07</v>
      </c>
      <c r="B223" s="14" t="s">
        <v>2074</v>
      </c>
      <c r="C223" s="14" t="s">
        <v>1032</v>
      </c>
      <c r="D223" s="14" t="s">
        <v>535</v>
      </c>
      <c r="E223" s="14" t="s">
        <v>2144</v>
      </c>
      <c r="F223" s="14">
        <v>15</v>
      </c>
      <c r="G223" s="14">
        <v>898.32</v>
      </c>
      <c r="H223" s="14">
        <v>59.89</v>
      </c>
      <c r="I223" s="14">
        <v>35</v>
      </c>
      <c r="J223" s="14">
        <v>583.91</v>
      </c>
      <c r="K223" s="110"/>
    </row>
    <row r="224" spans="1:11">
      <c r="A224" s="131" t="str">
        <f t="shared" si="3"/>
        <v>Comfort Suite Annemasse_2018-08</v>
      </c>
      <c r="B224" s="14" t="s">
        <v>2074</v>
      </c>
      <c r="C224" s="14" t="s">
        <v>1032</v>
      </c>
      <c r="D224" s="14" t="s">
        <v>535</v>
      </c>
      <c r="E224" s="14" t="s">
        <v>2189</v>
      </c>
      <c r="F224" s="14">
        <v>15</v>
      </c>
      <c r="G224" s="14">
        <v>1045.31</v>
      </c>
      <c r="H224" s="14">
        <v>69.69</v>
      </c>
      <c r="I224" s="14">
        <v>35</v>
      </c>
      <c r="J224" s="14">
        <v>679.45</v>
      </c>
      <c r="K224" s="110"/>
    </row>
    <row r="225" spans="1:11" hidden="1">
      <c r="A225" s="131" t="str">
        <f t="shared" si="3"/>
        <v>Comfort Suite Annemasse_2018-09</v>
      </c>
      <c r="B225" s="14" t="s">
        <v>2074</v>
      </c>
      <c r="C225" s="14" t="s">
        <v>1032</v>
      </c>
      <c r="D225" s="14" t="s">
        <v>535</v>
      </c>
      <c r="E225" s="14" t="s">
        <v>2268</v>
      </c>
      <c r="F225" s="14">
        <v>15</v>
      </c>
      <c r="G225" s="14">
        <v>892.23</v>
      </c>
      <c r="H225" s="14">
        <v>59.48</v>
      </c>
      <c r="I225" s="14">
        <v>35</v>
      </c>
      <c r="J225" s="14">
        <v>579.95000000000005</v>
      </c>
      <c r="K225" s="110"/>
    </row>
    <row r="226" spans="1:11" hidden="1">
      <c r="A226" s="131" t="str">
        <f t="shared" si="3"/>
        <v>Concorde Montparnasse_2018-07</v>
      </c>
      <c r="B226" s="14" t="s">
        <v>1690</v>
      </c>
      <c r="C226" s="14" t="s">
        <v>832</v>
      </c>
      <c r="D226" s="14" t="s">
        <v>833</v>
      </c>
      <c r="E226" s="14" t="s">
        <v>2144</v>
      </c>
      <c r="F226" s="14">
        <v>30</v>
      </c>
      <c r="G226" s="14">
        <v>5703.27</v>
      </c>
      <c r="H226" s="14">
        <v>190.11</v>
      </c>
      <c r="I226" s="14">
        <v>25</v>
      </c>
      <c r="J226" s="14">
        <v>4277.45</v>
      </c>
      <c r="K226" s="110"/>
    </row>
    <row r="227" spans="1:11">
      <c r="A227" s="131" t="str">
        <f t="shared" si="3"/>
        <v>Concorde Montparnasse_2018-08</v>
      </c>
      <c r="B227" s="14" t="s">
        <v>1690</v>
      </c>
      <c r="C227" s="14" t="s">
        <v>832</v>
      </c>
      <c r="D227" s="14" t="s">
        <v>833</v>
      </c>
      <c r="E227" s="14" t="s">
        <v>2189</v>
      </c>
      <c r="F227" s="14">
        <v>30</v>
      </c>
      <c r="G227" s="14">
        <v>5042.29</v>
      </c>
      <c r="H227" s="14">
        <v>168.08</v>
      </c>
      <c r="I227" s="14">
        <v>25</v>
      </c>
      <c r="J227" s="14">
        <v>3781.72</v>
      </c>
      <c r="K227" s="110"/>
    </row>
    <row r="228" spans="1:11" hidden="1">
      <c r="A228" s="131" t="str">
        <f t="shared" si="3"/>
        <v>Concorde Montparnasse_2018-09</v>
      </c>
      <c r="B228" s="14" t="s">
        <v>1690</v>
      </c>
      <c r="C228" s="14" t="s">
        <v>832</v>
      </c>
      <c r="D228" s="14" t="s">
        <v>833</v>
      </c>
      <c r="E228" s="14" t="s">
        <v>2268</v>
      </c>
      <c r="F228" s="14">
        <v>30</v>
      </c>
      <c r="G228" s="14">
        <v>5816.34</v>
      </c>
      <c r="H228" s="14">
        <v>193.88</v>
      </c>
      <c r="I228" s="14">
        <v>25</v>
      </c>
      <c r="J228" s="14">
        <v>4362.26</v>
      </c>
      <c r="K228" s="110"/>
    </row>
    <row r="229" spans="1:11" hidden="1">
      <c r="A229" s="131" t="str">
        <f t="shared" si="3"/>
        <v>Coopérer Pour Habiter_2018-07</v>
      </c>
      <c r="B229" s="14" t="s">
        <v>1755</v>
      </c>
      <c r="C229" s="14" t="s">
        <v>936</v>
      </c>
      <c r="D229" s="14" t="s">
        <v>1518</v>
      </c>
      <c r="E229" s="14" t="s">
        <v>2144</v>
      </c>
      <c r="F229" s="14">
        <v>10</v>
      </c>
      <c r="G229" s="14">
        <v>264.44</v>
      </c>
      <c r="H229" s="14">
        <v>26.44</v>
      </c>
      <c r="I229" s="14">
        <v>35</v>
      </c>
      <c r="J229" s="14">
        <v>171.89</v>
      </c>
      <c r="K229" s="110"/>
    </row>
    <row r="230" spans="1:11">
      <c r="A230" s="131" t="str">
        <f t="shared" si="3"/>
        <v>Coopérer Pour Habiter_2018-08</v>
      </c>
      <c r="B230" s="14" t="s">
        <v>1755</v>
      </c>
      <c r="C230" s="14" t="s">
        <v>936</v>
      </c>
      <c r="D230" s="14" t="s">
        <v>1518</v>
      </c>
      <c r="E230" s="14" t="s">
        <v>2189</v>
      </c>
      <c r="F230" s="14">
        <v>10</v>
      </c>
      <c r="G230" s="14">
        <v>264</v>
      </c>
      <c r="H230" s="14">
        <v>26.4</v>
      </c>
      <c r="I230" s="14">
        <v>35</v>
      </c>
      <c r="J230" s="14">
        <v>171.6</v>
      </c>
      <c r="K230" s="110"/>
    </row>
    <row r="231" spans="1:11" hidden="1">
      <c r="A231" s="131" t="str">
        <f t="shared" si="3"/>
        <v>Coopérer Pour Habiter_2018-09</v>
      </c>
      <c r="B231" s="14" t="s">
        <v>1755</v>
      </c>
      <c r="C231" s="14" t="s">
        <v>936</v>
      </c>
      <c r="D231" s="14" t="s">
        <v>1518</v>
      </c>
      <c r="E231" s="14" t="s">
        <v>2268</v>
      </c>
      <c r="F231" s="14">
        <v>10</v>
      </c>
      <c r="G231" s="14">
        <v>264.81</v>
      </c>
      <c r="H231" s="14">
        <v>26.48</v>
      </c>
      <c r="I231" s="14">
        <v>35</v>
      </c>
      <c r="J231" s="14">
        <v>172.13</v>
      </c>
      <c r="K231" s="110"/>
    </row>
    <row r="232" spans="1:11" hidden="1">
      <c r="A232" s="131" t="str">
        <f t="shared" si="3"/>
        <v>Crowne Plaza Montpellier_2018-07</v>
      </c>
      <c r="B232" s="14" t="s">
        <v>1336</v>
      </c>
      <c r="C232" s="14" t="s">
        <v>1356</v>
      </c>
      <c r="D232" s="14" t="s">
        <v>535</v>
      </c>
      <c r="E232" s="14" t="s">
        <v>2144</v>
      </c>
      <c r="F232" s="14">
        <v>1.77</v>
      </c>
      <c r="G232" s="14">
        <v>115.18</v>
      </c>
      <c r="H232" s="14">
        <v>65.069999999999993</v>
      </c>
      <c r="I232" s="14">
        <v>40</v>
      </c>
      <c r="J232" s="14">
        <v>69.11</v>
      </c>
      <c r="K232" s="110"/>
    </row>
    <row r="233" spans="1:11">
      <c r="A233" s="131" t="str">
        <f t="shared" si="3"/>
        <v>Crowne Plaza Montpellier_2018-08</v>
      </c>
      <c r="B233" s="14" t="s">
        <v>1336</v>
      </c>
      <c r="C233" s="14" t="s">
        <v>1356</v>
      </c>
      <c r="D233" s="14" t="s">
        <v>535</v>
      </c>
      <c r="E233" s="14" t="s">
        <v>2189</v>
      </c>
      <c r="F233" s="14">
        <v>0</v>
      </c>
      <c r="G233" s="14">
        <v>5.36</v>
      </c>
      <c r="H233" s="14" t="s">
        <v>535</v>
      </c>
      <c r="I233" s="14">
        <v>40</v>
      </c>
      <c r="J233" s="14">
        <v>3.22</v>
      </c>
      <c r="K233" s="110"/>
    </row>
    <row r="234" spans="1:11" hidden="1">
      <c r="A234" s="131" t="str">
        <f t="shared" si="3"/>
        <v>Crowne Plaza Montpellier_2018-09</v>
      </c>
      <c r="B234" s="14" t="s">
        <v>1336</v>
      </c>
      <c r="C234" s="14" t="s">
        <v>1356</v>
      </c>
      <c r="D234" s="14" t="s">
        <v>535</v>
      </c>
      <c r="E234" s="14" t="s">
        <v>2268</v>
      </c>
      <c r="F234" s="14">
        <v>5</v>
      </c>
      <c r="G234" s="14">
        <v>536.6</v>
      </c>
      <c r="H234" s="14">
        <v>107.32</v>
      </c>
      <c r="I234" s="14">
        <v>40</v>
      </c>
      <c r="J234" s="14">
        <v>321.95999999999998</v>
      </c>
      <c r="K234" s="110"/>
    </row>
    <row r="235" spans="1:11" hidden="1">
      <c r="A235" s="131" t="str">
        <f t="shared" si="3"/>
        <v>CT Exploitation_2018-07</v>
      </c>
      <c r="B235" s="14" t="s">
        <v>1088</v>
      </c>
      <c r="C235" s="14" t="s">
        <v>813</v>
      </c>
      <c r="D235" s="14" t="s">
        <v>535</v>
      </c>
      <c r="E235" s="14" t="s">
        <v>2144</v>
      </c>
      <c r="F235" s="14">
        <v>7</v>
      </c>
      <c r="G235" s="14">
        <v>225.57</v>
      </c>
      <c r="H235" s="14">
        <v>32.22</v>
      </c>
      <c r="I235" s="14">
        <v>40</v>
      </c>
      <c r="J235" s="14">
        <v>135.34</v>
      </c>
      <c r="K235" s="110"/>
    </row>
    <row r="236" spans="1:11">
      <c r="A236" s="131" t="str">
        <f t="shared" si="3"/>
        <v>CT Exploitation_2018-08</v>
      </c>
      <c r="B236" s="14" t="s">
        <v>1088</v>
      </c>
      <c r="C236" s="14" t="s">
        <v>813</v>
      </c>
      <c r="D236" s="14" t="s">
        <v>535</v>
      </c>
      <c r="E236" s="14" t="s">
        <v>2189</v>
      </c>
      <c r="F236" s="14">
        <v>7</v>
      </c>
      <c r="G236" s="14">
        <v>424.4</v>
      </c>
      <c r="H236" s="14">
        <v>60.63</v>
      </c>
      <c r="I236" s="14">
        <v>40</v>
      </c>
      <c r="J236" s="14">
        <v>254.64</v>
      </c>
      <c r="K236" s="110"/>
    </row>
    <row r="237" spans="1:11" hidden="1">
      <c r="A237" s="131" t="str">
        <f t="shared" si="3"/>
        <v>CT Exploitation_2018-09</v>
      </c>
      <c r="B237" s="14" t="s">
        <v>1088</v>
      </c>
      <c r="C237" s="14" t="s">
        <v>813</v>
      </c>
      <c r="D237" s="14" t="s">
        <v>535</v>
      </c>
      <c r="E237" s="14" t="s">
        <v>2268</v>
      </c>
      <c r="F237" s="14">
        <v>7</v>
      </c>
      <c r="G237" s="14">
        <v>321.57</v>
      </c>
      <c r="H237" s="14">
        <v>45.94</v>
      </c>
      <c r="I237" s="14">
        <v>40</v>
      </c>
      <c r="J237" s="14">
        <v>192.94</v>
      </c>
      <c r="K237" s="110"/>
    </row>
    <row r="238" spans="1:11" hidden="1">
      <c r="A238" s="131" t="str">
        <f t="shared" si="3"/>
        <v>CUS Habitat_2018-07</v>
      </c>
      <c r="B238" s="14" t="s">
        <v>1033</v>
      </c>
      <c r="C238" s="14" t="s">
        <v>1756</v>
      </c>
      <c r="D238" s="14" t="s">
        <v>1757</v>
      </c>
      <c r="E238" s="14" t="s">
        <v>2144</v>
      </c>
      <c r="F238" s="14">
        <v>7</v>
      </c>
      <c r="G238" s="14">
        <v>380.12</v>
      </c>
      <c r="H238" s="14">
        <v>54.3</v>
      </c>
      <c r="I238" s="14">
        <v>35</v>
      </c>
      <c r="J238" s="14">
        <v>247.08</v>
      </c>
      <c r="K238" s="110"/>
    </row>
    <row r="239" spans="1:11">
      <c r="A239" s="131" t="str">
        <f t="shared" si="3"/>
        <v>CUS Habitat_2018-08</v>
      </c>
      <c r="B239" s="14" t="s">
        <v>1033</v>
      </c>
      <c r="C239" s="14" t="s">
        <v>1756</v>
      </c>
      <c r="D239" s="14" t="s">
        <v>1757</v>
      </c>
      <c r="E239" s="14" t="s">
        <v>2189</v>
      </c>
      <c r="F239" s="14">
        <v>7</v>
      </c>
      <c r="G239" s="14">
        <v>683.89</v>
      </c>
      <c r="H239" s="14">
        <v>97.7</v>
      </c>
      <c r="I239" s="14">
        <v>35</v>
      </c>
      <c r="J239" s="14">
        <v>444.53</v>
      </c>
      <c r="K239" s="110"/>
    </row>
    <row r="240" spans="1:11" hidden="1">
      <c r="A240" s="131" t="str">
        <f t="shared" si="3"/>
        <v>CUS Habitat_2018-09</v>
      </c>
      <c r="B240" s="14" t="s">
        <v>1033</v>
      </c>
      <c r="C240" s="14" t="s">
        <v>1756</v>
      </c>
      <c r="D240" s="14" t="s">
        <v>1757</v>
      </c>
      <c r="E240" s="14" t="s">
        <v>2268</v>
      </c>
      <c r="F240" s="14">
        <v>7</v>
      </c>
      <c r="G240" s="14">
        <v>741.68</v>
      </c>
      <c r="H240" s="14">
        <v>105.95</v>
      </c>
      <c r="I240" s="14">
        <v>35</v>
      </c>
      <c r="J240" s="14">
        <v>482.09</v>
      </c>
      <c r="K240" s="110"/>
    </row>
    <row r="241" spans="1:11" hidden="1">
      <c r="A241" s="131" t="str">
        <f t="shared" si="3"/>
        <v>CUS Habitat_2018-07</v>
      </c>
      <c r="B241" s="14" t="s">
        <v>1033</v>
      </c>
      <c r="C241" s="14" t="s">
        <v>1034</v>
      </c>
      <c r="D241" s="14" t="s">
        <v>1758</v>
      </c>
      <c r="E241" s="14" t="s">
        <v>2144</v>
      </c>
      <c r="F241" s="14">
        <v>10</v>
      </c>
      <c r="G241" s="14">
        <v>270</v>
      </c>
      <c r="H241" s="14">
        <v>27</v>
      </c>
      <c r="I241" s="14">
        <v>70</v>
      </c>
      <c r="J241" s="14">
        <v>81</v>
      </c>
      <c r="K241" s="110"/>
    </row>
    <row r="242" spans="1:11">
      <c r="A242" s="131" t="str">
        <f t="shared" si="3"/>
        <v>CUS Habitat_2018-08</v>
      </c>
      <c r="B242" s="14" t="s">
        <v>1033</v>
      </c>
      <c r="C242" s="14" t="s">
        <v>1034</v>
      </c>
      <c r="D242" s="14" t="s">
        <v>1758</v>
      </c>
      <c r="E242" s="14" t="s">
        <v>2189</v>
      </c>
      <c r="F242" s="14">
        <v>10</v>
      </c>
      <c r="G242" s="14">
        <v>270</v>
      </c>
      <c r="H242" s="14">
        <v>27</v>
      </c>
      <c r="I242" s="14">
        <v>70</v>
      </c>
      <c r="J242" s="14">
        <v>81</v>
      </c>
      <c r="K242" s="110"/>
    </row>
    <row r="243" spans="1:11" hidden="1">
      <c r="A243" s="131" t="str">
        <f t="shared" si="3"/>
        <v>CUS Habitat_2018-09</v>
      </c>
      <c r="B243" s="14" t="s">
        <v>1033</v>
      </c>
      <c r="C243" s="14" t="s">
        <v>1034</v>
      </c>
      <c r="D243" s="14" t="s">
        <v>1758</v>
      </c>
      <c r="E243" s="14" t="s">
        <v>2268</v>
      </c>
      <c r="F243" s="14">
        <v>10</v>
      </c>
      <c r="G243" s="14">
        <v>270</v>
      </c>
      <c r="H243" s="14">
        <v>27</v>
      </c>
      <c r="I243" s="14">
        <v>70</v>
      </c>
      <c r="J243" s="14">
        <v>81</v>
      </c>
      <c r="K243" s="110"/>
    </row>
    <row r="244" spans="1:11" hidden="1">
      <c r="A244" s="131" t="str">
        <f t="shared" si="3"/>
        <v>CUS Habitat_2018-07</v>
      </c>
      <c r="B244" s="14" t="s">
        <v>1033</v>
      </c>
      <c r="C244" s="14" t="s">
        <v>1130</v>
      </c>
      <c r="D244" s="14" t="s">
        <v>1759</v>
      </c>
      <c r="E244" s="14" t="s">
        <v>2144</v>
      </c>
      <c r="F244" s="14">
        <v>10</v>
      </c>
      <c r="G244" s="14">
        <v>299.02999999999997</v>
      </c>
      <c r="H244" s="14">
        <v>29.9</v>
      </c>
      <c r="I244" s="14">
        <v>70</v>
      </c>
      <c r="J244" s="14">
        <v>89.71</v>
      </c>
      <c r="K244" s="110"/>
    </row>
    <row r="245" spans="1:11">
      <c r="A245" s="131" t="str">
        <f t="shared" si="3"/>
        <v>CUS Habitat_2018-08</v>
      </c>
      <c r="B245" s="14" t="s">
        <v>1033</v>
      </c>
      <c r="C245" s="14" t="s">
        <v>1130</v>
      </c>
      <c r="D245" s="14" t="s">
        <v>1759</v>
      </c>
      <c r="E245" s="14" t="s">
        <v>2189</v>
      </c>
      <c r="F245" s="14">
        <v>10</v>
      </c>
      <c r="G245" s="14">
        <v>348.07</v>
      </c>
      <c r="H245" s="14">
        <v>34.81</v>
      </c>
      <c r="I245" s="14">
        <v>70</v>
      </c>
      <c r="J245" s="14">
        <v>104.42</v>
      </c>
      <c r="K245" s="110"/>
    </row>
    <row r="246" spans="1:11" hidden="1">
      <c r="A246" s="131" t="str">
        <f t="shared" si="3"/>
        <v>CUS Habitat_2018-09</v>
      </c>
      <c r="B246" s="14" t="s">
        <v>1033</v>
      </c>
      <c r="C246" s="14" t="s">
        <v>1130</v>
      </c>
      <c r="D246" s="14" t="s">
        <v>1759</v>
      </c>
      <c r="E246" s="14" t="s">
        <v>2268</v>
      </c>
      <c r="F246" s="14">
        <v>10</v>
      </c>
      <c r="G246" s="14">
        <v>391.5</v>
      </c>
      <c r="H246" s="14">
        <v>39.15</v>
      </c>
      <c r="I246" s="14">
        <v>70</v>
      </c>
      <c r="J246" s="14">
        <v>117.45</v>
      </c>
      <c r="K246" s="110"/>
    </row>
    <row r="247" spans="1:11" hidden="1">
      <c r="A247" s="131" t="str">
        <f t="shared" si="3"/>
        <v>Discount Parking Beauvais_2018-07</v>
      </c>
      <c r="B247" s="14" t="s">
        <v>1255</v>
      </c>
      <c r="C247" s="14" t="s">
        <v>1760</v>
      </c>
      <c r="D247" s="14" t="s">
        <v>535</v>
      </c>
      <c r="E247" s="14" t="s">
        <v>2144</v>
      </c>
      <c r="F247" s="14">
        <v>40</v>
      </c>
      <c r="G247" s="14">
        <v>668</v>
      </c>
      <c r="H247" s="14">
        <v>16.7</v>
      </c>
      <c r="I247" s="14">
        <v>25</v>
      </c>
      <c r="J247" s="14">
        <v>501</v>
      </c>
      <c r="K247" s="110"/>
    </row>
    <row r="248" spans="1:11">
      <c r="A248" s="131" t="str">
        <f t="shared" si="3"/>
        <v>Discount Parking Beauvais_2018-08</v>
      </c>
      <c r="B248" s="14" t="s">
        <v>1255</v>
      </c>
      <c r="C248" s="14" t="s">
        <v>1760</v>
      </c>
      <c r="D248" s="14" t="s">
        <v>535</v>
      </c>
      <c r="E248" s="14" t="s">
        <v>2189</v>
      </c>
      <c r="F248" s="14">
        <v>40</v>
      </c>
      <c r="G248" s="14">
        <v>836</v>
      </c>
      <c r="H248" s="14">
        <v>20.9</v>
      </c>
      <c r="I248" s="14">
        <v>25</v>
      </c>
      <c r="J248" s="14">
        <v>627</v>
      </c>
      <c r="K248" s="110"/>
    </row>
    <row r="249" spans="1:11" hidden="1">
      <c r="A249" s="131" t="str">
        <f t="shared" si="3"/>
        <v>Discount Parking Beauvais_2018-09</v>
      </c>
      <c r="B249" s="14" t="s">
        <v>1255</v>
      </c>
      <c r="C249" s="14" t="s">
        <v>1760</v>
      </c>
      <c r="D249" s="14" t="s">
        <v>535</v>
      </c>
      <c r="E249" s="14" t="s">
        <v>2268</v>
      </c>
      <c r="F249" s="14">
        <v>40</v>
      </c>
      <c r="G249" s="14">
        <v>132</v>
      </c>
      <c r="H249" s="14">
        <v>3.3</v>
      </c>
      <c r="I249" s="14">
        <v>25</v>
      </c>
      <c r="J249" s="14">
        <v>99</v>
      </c>
      <c r="K249" s="110"/>
    </row>
    <row r="250" spans="1:11" hidden="1">
      <c r="A250" s="131" t="str">
        <f t="shared" si="3"/>
        <v>Domaxis_2018-07</v>
      </c>
      <c r="B250" s="14" t="s">
        <v>1026</v>
      </c>
      <c r="C250" s="14" t="s">
        <v>1357</v>
      </c>
      <c r="D250" s="14" t="s">
        <v>1358</v>
      </c>
      <c r="E250" s="14" t="s">
        <v>2144</v>
      </c>
      <c r="F250" s="14">
        <v>10</v>
      </c>
      <c r="G250" s="14">
        <v>212</v>
      </c>
      <c r="H250" s="14">
        <v>21.2</v>
      </c>
      <c r="I250" s="14">
        <v>50</v>
      </c>
      <c r="J250" s="14">
        <v>106</v>
      </c>
      <c r="K250" s="110"/>
    </row>
    <row r="251" spans="1:11">
      <c r="A251" s="131" t="str">
        <f t="shared" si="3"/>
        <v>Domaxis_2018-08</v>
      </c>
      <c r="B251" s="14" t="s">
        <v>1026</v>
      </c>
      <c r="C251" s="14" t="s">
        <v>1357</v>
      </c>
      <c r="D251" s="14" t="s">
        <v>1358</v>
      </c>
      <c r="E251" s="14" t="s">
        <v>2189</v>
      </c>
      <c r="F251" s="14">
        <v>10</v>
      </c>
      <c r="G251" s="14">
        <v>181</v>
      </c>
      <c r="H251" s="14">
        <v>18.100000000000001</v>
      </c>
      <c r="I251" s="14">
        <v>40</v>
      </c>
      <c r="J251" s="14">
        <v>108.6</v>
      </c>
      <c r="K251" s="110"/>
    </row>
    <row r="252" spans="1:11" hidden="1">
      <c r="A252" s="131" t="str">
        <f t="shared" si="3"/>
        <v>Domaxis_2018-09</v>
      </c>
      <c r="B252" s="14" t="s">
        <v>1026</v>
      </c>
      <c r="C252" s="14" t="s">
        <v>1357</v>
      </c>
      <c r="D252" s="14" t="s">
        <v>1358</v>
      </c>
      <c r="E252" s="14" t="s">
        <v>2268</v>
      </c>
      <c r="F252" s="14">
        <v>10</v>
      </c>
      <c r="G252" s="14">
        <v>48.83</v>
      </c>
      <c r="H252" s="14">
        <v>4.88</v>
      </c>
      <c r="I252" s="14">
        <v>40</v>
      </c>
      <c r="J252" s="14">
        <v>29.3</v>
      </c>
      <c r="K252" s="110"/>
    </row>
    <row r="253" spans="1:11" hidden="1">
      <c r="A253" s="131" t="str">
        <f t="shared" si="3"/>
        <v>Domaxis_2018-07</v>
      </c>
      <c r="B253" s="14" t="s">
        <v>1026</v>
      </c>
      <c r="C253" s="14" t="s">
        <v>1035</v>
      </c>
      <c r="D253" s="14" t="s">
        <v>1036</v>
      </c>
      <c r="E253" s="14" t="s">
        <v>2144</v>
      </c>
      <c r="F253" s="14">
        <v>11</v>
      </c>
      <c r="G253" s="14">
        <v>231.67</v>
      </c>
      <c r="H253" s="14">
        <v>21.06</v>
      </c>
      <c r="I253" s="14">
        <v>40</v>
      </c>
      <c r="J253" s="14">
        <v>139</v>
      </c>
      <c r="K253" s="110"/>
    </row>
    <row r="254" spans="1:11" s="56" customFormat="1">
      <c r="A254" s="131" t="str">
        <f t="shared" si="3"/>
        <v>Domaxis_2018-08</v>
      </c>
      <c r="B254" s="14" t="s">
        <v>1026</v>
      </c>
      <c r="C254" s="14" t="s">
        <v>1035</v>
      </c>
      <c r="D254" s="14" t="s">
        <v>1036</v>
      </c>
      <c r="E254" s="14" t="s">
        <v>2189</v>
      </c>
      <c r="F254" s="14">
        <v>11</v>
      </c>
      <c r="G254" s="14">
        <v>157.72</v>
      </c>
      <c r="H254" s="14">
        <v>14.34</v>
      </c>
      <c r="I254" s="14">
        <v>40</v>
      </c>
      <c r="J254" s="14">
        <v>94.63</v>
      </c>
      <c r="K254" s="110"/>
    </row>
    <row r="255" spans="1:11" hidden="1">
      <c r="A255" s="131" t="str">
        <f t="shared" si="3"/>
        <v>Domaxis_2018-09</v>
      </c>
      <c r="B255" s="14" t="s">
        <v>1026</v>
      </c>
      <c r="C255" s="14" t="s">
        <v>1035</v>
      </c>
      <c r="D255" s="14" t="s">
        <v>1036</v>
      </c>
      <c r="E255" s="14" t="s">
        <v>2268</v>
      </c>
      <c r="F255" s="14">
        <v>11</v>
      </c>
      <c r="G255" s="14">
        <v>349.91</v>
      </c>
      <c r="H255" s="14">
        <v>31.81</v>
      </c>
      <c r="I255" s="14">
        <v>40</v>
      </c>
      <c r="J255" s="14">
        <v>209.95</v>
      </c>
      <c r="K255" s="110"/>
    </row>
    <row r="256" spans="1:11" hidden="1">
      <c r="A256" s="131" t="str">
        <f t="shared" si="3"/>
        <v>Domaxis_2018-07</v>
      </c>
      <c r="B256" s="14" t="s">
        <v>1026</v>
      </c>
      <c r="C256" s="14" t="s">
        <v>1176</v>
      </c>
      <c r="D256" s="14" t="s">
        <v>1177</v>
      </c>
      <c r="E256" s="14" t="s">
        <v>2144</v>
      </c>
      <c r="F256" s="14">
        <v>9</v>
      </c>
      <c r="G256" s="14">
        <v>360.44</v>
      </c>
      <c r="H256" s="14">
        <v>40.049999999999997</v>
      </c>
      <c r="I256" s="14">
        <v>50</v>
      </c>
      <c r="J256" s="14">
        <v>180.22</v>
      </c>
      <c r="K256" s="110"/>
    </row>
    <row r="257" spans="1:11">
      <c r="A257" s="131" t="str">
        <f t="shared" si="3"/>
        <v>Domaxis_2018-08</v>
      </c>
      <c r="B257" s="14" t="s">
        <v>1026</v>
      </c>
      <c r="C257" s="14" t="s">
        <v>1176</v>
      </c>
      <c r="D257" s="14" t="s">
        <v>1177</v>
      </c>
      <c r="E257" s="14" t="s">
        <v>2189</v>
      </c>
      <c r="F257" s="14">
        <v>9</v>
      </c>
      <c r="G257" s="14">
        <v>399.08</v>
      </c>
      <c r="H257" s="14">
        <v>44.34</v>
      </c>
      <c r="I257" s="14">
        <v>40</v>
      </c>
      <c r="J257" s="14">
        <v>239.45</v>
      </c>
      <c r="K257" s="110"/>
    </row>
    <row r="258" spans="1:11" hidden="1">
      <c r="A258" s="131" t="str">
        <f t="shared" si="3"/>
        <v>Domaxis_2018-09</v>
      </c>
      <c r="B258" s="14" t="s">
        <v>1026</v>
      </c>
      <c r="C258" s="14" t="s">
        <v>1176</v>
      </c>
      <c r="D258" s="14" t="s">
        <v>1177</v>
      </c>
      <c r="E258" s="14" t="s">
        <v>2268</v>
      </c>
      <c r="F258" s="14">
        <v>9</v>
      </c>
      <c r="G258" s="14">
        <v>429.09</v>
      </c>
      <c r="H258" s="14">
        <v>47.68</v>
      </c>
      <c r="I258" s="14">
        <v>40</v>
      </c>
      <c r="J258" s="14">
        <v>257.45</v>
      </c>
      <c r="K258" s="110"/>
    </row>
    <row r="259" spans="1:11" hidden="1">
      <c r="A259" s="131" t="str">
        <f t="shared" si="3"/>
        <v>Domaxis_2018-07</v>
      </c>
      <c r="B259" s="14" t="s">
        <v>1026</v>
      </c>
      <c r="C259" s="14" t="s">
        <v>1037</v>
      </c>
      <c r="D259" s="14" t="s">
        <v>1038</v>
      </c>
      <c r="E259" s="14" t="s">
        <v>2144</v>
      </c>
      <c r="F259" s="14">
        <v>11</v>
      </c>
      <c r="G259" s="14">
        <v>1222.68</v>
      </c>
      <c r="H259" s="14">
        <v>111.15</v>
      </c>
      <c r="I259" s="14">
        <v>40</v>
      </c>
      <c r="J259" s="14">
        <v>733.61</v>
      </c>
      <c r="K259" s="110"/>
    </row>
    <row r="260" spans="1:11">
      <c r="A260" s="131" t="str">
        <f t="shared" si="3"/>
        <v>Domaxis_2018-08</v>
      </c>
      <c r="B260" s="14" t="s">
        <v>1026</v>
      </c>
      <c r="C260" s="14" t="s">
        <v>1037</v>
      </c>
      <c r="D260" s="14" t="s">
        <v>1038</v>
      </c>
      <c r="E260" s="14" t="s">
        <v>2189</v>
      </c>
      <c r="F260" s="14">
        <v>11</v>
      </c>
      <c r="G260" s="14">
        <v>1350.4</v>
      </c>
      <c r="H260" s="14">
        <v>122.76</v>
      </c>
      <c r="I260" s="14">
        <v>40</v>
      </c>
      <c r="J260" s="14">
        <v>810.24</v>
      </c>
      <c r="K260" s="110"/>
    </row>
    <row r="261" spans="1:11" hidden="1">
      <c r="A261" s="131" t="str">
        <f t="shared" si="3"/>
        <v>Domaxis_2018-09</v>
      </c>
      <c r="B261" s="14" t="s">
        <v>1026</v>
      </c>
      <c r="C261" s="14" t="s">
        <v>1037</v>
      </c>
      <c r="D261" s="14" t="s">
        <v>1038</v>
      </c>
      <c r="E261" s="14" t="s">
        <v>2268</v>
      </c>
      <c r="F261" s="14">
        <v>11</v>
      </c>
      <c r="G261" s="14">
        <v>1564.26</v>
      </c>
      <c r="H261" s="14">
        <v>142.21</v>
      </c>
      <c r="I261" s="14">
        <v>40</v>
      </c>
      <c r="J261" s="14">
        <v>938.56</v>
      </c>
      <c r="K261" s="110"/>
    </row>
    <row r="262" spans="1:11" hidden="1">
      <c r="A262" s="131" t="str">
        <f t="shared" ref="A262:A325" si="4">CONCATENATE(B262,"_",E262)</f>
        <v>Domaxis_2018-07</v>
      </c>
      <c r="B262" s="14" t="s">
        <v>1026</v>
      </c>
      <c r="C262" s="14" t="s">
        <v>1039</v>
      </c>
      <c r="D262" s="14" t="s">
        <v>1040</v>
      </c>
      <c r="E262" s="14" t="s">
        <v>2144</v>
      </c>
      <c r="F262" s="14">
        <v>4</v>
      </c>
      <c r="G262" s="14">
        <v>930.98</v>
      </c>
      <c r="H262" s="14">
        <v>232.75</v>
      </c>
      <c r="I262" s="14">
        <v>40</v>
      </c>
      <c r="J262" s="14">
        <v>558.59</v>
      </c>
      <c r="K262" s="110"/>
    </row>
    <row r="263" spans="1:11">
      <c r="A263" s="131" t="str">
        <f t="shared" si="4"/>
        <v>Domaxis_2018-08</v>
      </c>
      <c r="B263" s="14" t="s">
        <v>1026</v>
      </c>
      <c r="C263" s="14" t="s">
        <v>1039</v>
      </c>
      <c r="D263" s="14" t="s">
        <v>1040</v>
      </c>
      <c r="E263" s="14" t="s">
        <v>2189</v>
      </c>
      <c r="F263" s="14">
        <v>4</v>
      </c>
      <c r="G263" s="14">
        <v>897.85</v>
      </c>
      <c r="H263" s="14">
        <v>224.46</v>
      </c>
      <c r="I263" s="14">
        <v>40</v>
      </c>
      <c r="J263" s="14">
        <v>538.71</v>
      </c>
      <c r="K263" s="110"/>
    </row>
    <row r="264" spans="1:11" hidden="1">
      <c r="A264" s="131" t="str">
        <f t="shared" si="4"/>
        <v>Domaxis_2018-09</v>
      </c>
      <c r="B264" s="14" t="s">
        <v>1026</v>
      </c>
      <c r="C264" s="14" t="s">
        <v>1039</v>
      </c>
      <c r="D264" s="14" t="s">
        <v>1040</v>
      </c>
      <c r="E264" s="14" t="s">
        <v>2268</v>
      </c>
      <c r="F264" s="14">
        <v>4</v>
      </c>
      <c r="G264" s="14">
        <v>859.75</v>
      </c>
      <c r="H264" s="14">
        <v>214.94</v>
      </c>
      <c r="I264" s="14">
        <v>40</v>
      </c>
      <c r="J264" s="14">
        <v>515.85</v>
      </c>
      <c r="K264" s="110"/>
    </row>
    <row r="265" spans="1:11" hidden="1">
      <c r="A265" s="131" t="str">
        <f t="shared" si="4"/>
        <v>Domaxis_2018-07</v>
      </c>
      <c r="B265" s="14" t="s">
        <v>1026</v>
      </c>
      <c r="C265" s="14" t="s">
        <v>1041</v>
      </c>
      <c r="D265" s="14" t="s">
        <v>1042</v>
      </c>
      <c r="E265" s="14" t="s">
        <v>2144</v>
      </c>
      <c r="F265" s="14">
        <v>7</v>
      </c>
      <c r="G265" s="14">
        <v>1808.37</v>
      </c>
      <c r="H265" s="14">
        <v>258.33999999999997</v>
      </c>
      <c r="I265" s="14">
        <v>40</v>
      </c>
      <c r="J265" s="14">
        <v>1085.02</v>
      </c>
      <c r="K265" s="110"/>
    </row>
    <row r="266" spans="1:11">
      <c r="A266" s="131" t="str">
        <f t="shared" si="4"/>
        <v>Domaxis_2018-08</v>
      </c>
      <c r="B266" s="14" t="s">
        <v>1026</v>
      </c>
      <c r="C266" s="14" t="s">
        <v>1041</v>
      </c>
      <c r="D266" s="14" t="s">
        <v>1042</v>
      </c>
      <c r="E266" s="14" t="s">
        <v>2189</v>
      </c>
      <c r="F266" s="14">
        <v>7</v>
      </c>
      <c r="G266" s="14">
        <v>1690.63</v>
      </c>
      <c r="H266" s="14">
        <v>241.52</v>
      </c>
      <c r="I266" s="14">
        <v>40</v>
      </c>
      <c r="J266" s="14">
        <v>1014.38</v>
      </c>
      <c r="K266" s="110"/>
    </row>
    <row r="267" spans="1:11" hidden="1">
      <c r="A267" s="131" t="str">
        <f t="shared" si="4"/>
        <v>Domaxis_2018-09</v>
      </c>
      <c r="B267" s="14" t="s">
        <v>1026</v>
      </c>
      <c r="C267" s="14" t="s">
        <v>1041</v>
      </c>
      <c r="D267" s="14" t="s">
        <v>1042</v>
      </c>
      <c r="E267" s="14" t="s">
        <v>2268</v>
      </c>
      <c r="F267" s="14">
        <v>7</v>
      </c>
      <c r="G267" s="14">
        <v>1682.86</v>
      </c>
      <c r="H267" s="14">
        <v>240.41</v>
      </c>
      <c r="I267" s="14">
        <v>40</v>
      </c>
      <c r="J267" s="14">
        <v>1009.72</v>
      </c>
      <c r="K267" s="110"/>
    </row>
    <row r="268" spans="1:11" hidden="1">
      <c r="A268" s="131" t="str">
        <f t="shared" si="4"/>
        <v>Domaxis_2018-07</v>
      </c>
      <c r="B268" s="14" t="s">
        <v>1026</v>
      </c>
      <c r="C268" s="14" t="s">
        <v>1043</v>
      </c>
      <c r="D268" s="14" t="s">
        <v>1044</v>
      </c>
      <c r="E268" s="14" t="s">
        <v>2144</v>
      </c>
      <c r="F268" s="14">
        <v>20</v>
      </c>
      <c r="G268" s="14">
        <v>2229.83</v>
      </c>
      <c r="H268" s="14">
        <v>111.49</v>
      </c>
      <c r="I268" s="14">
        <v>40</v>
      </c>
      <c r="J268" s="14">
        <v>1337.9</v>
      </c>
      <c r="K268" s="110"/>
    </row>
    <row r="269" spans="1:11">
      <c r="A269" s="131" t="str">
        <f t="shared" si="4"/>
        <v>Domaxis_2018-08</v>
      </c>
      <c r="B269" s="14" t="s">
        <v>1026</v>
      </c>
      <c r="C269" s="14" t="s">
        <v>1043</v>
      </c>
      <c r="D269" s="14" t="s">
        <v>1044</v>
      </c>
      <c r="E269" s="14" t="s">
        <v>2189</v>
      </c>
      <c r="F269" s="14">
        <v>20</v>
      </c>
      <c r="G269" s="14">
        <v>1946.73</v>
      </c>
      <c r="H269" s="14">
        <v>97.34</v>
      </c>
      <c r="I269" s="14">
        <v>40</v>
      </c>
      <c r="J269" s="14">
        <v>1168.04</v>
      </c>
      <c r="K269" s="110"/>
    </row>
    <row r="270" spans="1:11" hidden="1">
      <c r="A270" s="131" t="str">
        <f t="shared" si="4"/>
        <v>Domaxis_2018-09</v>
      </c>
      <c r="B270" s="14" t="s">
        <v>1026</v>
      </c>
      <c r="C270" s="14" t="s">
        <v>1043</v>
      </c>
      <c r="D270" s="14" t="s">
        <v>1044</v>
      </c>
      <c r="E270" s="14" t="s">
        <v>2268</v>
      </c>
      <c r="F270" s="14">
        <v>16</v>
      </c>
      <c r="G270" s="14">
        <v>1759.32</v>
      </c>
      <c r="H270" s="14">
        <v>109.96</v>
      </c>
      <c r="I270" s="14">
        <v>40</v>
      </c>
      <c r="J270" s="14">
        <v>1055.5899999999999</v>
      </c>
      <c r="K270" s="110"/>
    </row>
    <row r="271" spans="1:11" hidden="1">
      <c r="A271" s="131" t="str">
        <f t="shared" si="4"/>
        <v>Domaxis_2018-07</v>
      </c>
      <c r="B271" s="14" t="s">
        <v>1026</v>
      </c>
      <c r="C271" s="14" t="s">
        <v>1803</v>
      </c>
      <c r="D271" s="14" t="s">
        <v>1178</v>
      </c>
      <c r="E271" s="14" t="s">
        <v>2144</v>
      </c>
      <c r="F271" s="14">
        <v>16</v>
      </c>
      <c r="G271" s="14">
        <v>47.79</v>
      </c>
      <c r="H271" s="14">
        <v>2.99</v>
      </c>
      <c r="I271" s="14">
        <v>50</v>
      </c>
      <c r="J271" s="14">
        <v>23.89</v>
      </c>
      <c r="K271" s="110"/>
    </row>
    <row r="272" spans="1:11">
      <c r="A272" s="131" t="str">
        <f t="shared" si="4"/>
        <v>Domaxis_2018-08</v>
      </c>
      <c r="B272" s="14" t="s">
        <v>1026</v>
      </c>
      <c r="C272" s="14" t="s">
        <v>1803</v>
      </c>
      <c r="D272" s="14" t="s">
        <v>1178</v>
      </c>
      <c r="E272" s="14" t="s">
        <v>2189</v>
      </c>
      <c r="F272" s="14">
        <v>16</v>
      </c>
      <c r="G272" s="14">
        <v>32.96</v>
      </c>
      <c r="H272" s="14">
        <v>2.06</v>
      </c>
      <c r="I272" s="14">
        <v>40</v>
      </c>
      <c r="J272" s="14">
        <v>19.78</v>
      </c>
      <c r="K272" s="110"/>
    </row>
    <row r="273" spans="1:11" hidden="1">
      <c r="A273" s="131" t="str">
        <f t="shared" si="4"/>
        <v>Domaxis_2018-09</v>
      </c>
      <c r="B273" s="14" t="s">
        <v>1026</v>
      </c>
      <c r="C273" s="14" t="s">
        <v>1803</v>
      </c>
      <c r="D273" s="14" t="s">
        <v>1178</v>
      </c>
      <c r="E273" s="14" t="s">
        <v>2268</v>
      </c>
      <c r="F273" s="14">
        <v>16</v>
      </c>
      <c r="G273" s="14">
        <v>88.87</v>
      </c>
      <c r="H273" s="14">
        <v>5.55</v>
      </c>
      <c r="I273" s="14">
        <v>40</v>
      </c>
      <c r="J273" s="14">
        <v>53.32</v>
      </c>
      <c r="K273" s="110"/>
    </row>
    <row r="274" spans="1:11" hidden="1">
      <c r="A274" s="131" t="str">
        <f t="shared" si="4"/>
        <v>Domaxis_2018-07</v>
      </c>
      <c r="B274" s="14" t="s">
        <v>1026</v>
      </c>
      <c r="C274" s="14" t="s">
        <v>2288</v>
      </c>
      <c r="D274" s="14" t="s">
        <v>1396</v>
      </c>
      <c r="E274" s="14" t="s">
        <v>2144</v>
      </c>
      <c r="F274" s="14">
        <v>10</v>
      </c>
      <c r="G274" s="14">
        <v>105</v>
      </c>
      <c r="H274" s="14">
        <v>10.5</v>
      </c>
      <c r="I274" s="14">
        <v>50</v>
      </c>
      <c r="J274" s="14">
        <v>52.5</v>
      </c>
      <c r="K274" s="110"/>
    </row>
    <row r="275" spans="1:11">
      <c r="A275" s="131" t="str">
        <f t="shared" si="4"/>
        <v>Domaxis_2018-08</v>
      </c>
      <c r="B275" s="14" t="s">
        <v>1026</v>
      </c>
      <c r="C275" s="14" t="s">
        <v>2288</v>
      </c>
      <c r="D275" s="14" t="s">
        <v>1396</v>
      </c>
      <c r="E275" s="14" t="s">
        <v>2189</v>
      </c>
      <c r="F275" s="14">
        <v>10</v>
      </c>
      <c r="G275" s="14">
        <v>67.739999999999995</v>
      </c>
      <c r="H275" s="14">
        <v>6.77</v>
      </c>
      <c r="I275" s="14">
        <v>40</v>
      </c>
      <c r="J275" s="14">
        <v>40.64</v>
      </c>
      <c r="K275" s="110"/>
    </row>
    <row r="276" spans="1:11" hidden="1">
      <c r="A276" s="131" t="str">
        <f t="shared" si="4"/>
        <v>Domaxis_2018-09</v>
      </c>
      <c r="B276" s="14" t="s">
        <v>1026</v>
      </c>
      <c r="C276" s="14" t="s">
        <v>2288</v>
      </c>
      <c r="D276" s="14" t="s">
        <v>1396</v>
      </c>
      <c r="E276" s="14" t="s">
        <v>2268</v>
      </c>
      <c r="F276" s="14">
        <v>10</v>
      </c>
      <c r="G276" s="14">
        <v>35</v>
      </c>
      <c r="H276" s="14">
        <v>3.5</v>
      </c>
      <c r="I276" s="14">
        <v>40</v>
      </c>
      <c r="J276" s="14">
        <v>21</v>
      </c>
      <c r="K276" s="110"/>
    </row>
    <row r="277" spans="1:11" hidden="1">
      <c r="A277" s="131" t="str">
        <f t="shared" si="4"/>
        <v>Dynacité_2018-07</v>
      </c>
      <c r="B277" s="14" t="s">
        <v>1397</v>
      </c>
      <c r="C277" s="14" t="s">
        <v>1804</v>
      </c>
      <c r="D277" s="14" t="s">
        <v>1805</v>
      </c>
      <c r="E277" s="14" t="s">
        <v>2144</v>
      </c>
      <c r="F277" s="14">
        <v>26</v>
      </c>
      <c r="G277" s="14">
        <v>63.43</v>
      </c>
      <c r="H277" s="14">
        <v>2.44</v>
      </c>
      <c r="I277" s="14">
        <v>35</v>
      </c>
      <c r="J277" s="14">
        <v>41.23</v>
      </c>
      <c r="K277" s="110"/>
    </row>
    <row r="278" spans="1:11">
      <c r="A278" s="131" t="str">
        <f t="shared" si="4"/>
        <v>Dynacité_2018-08</v>
      </c>
      <c r="B278" s="14" t="s">
        <v>1397</v>
      </c>
      <c r="C278" s="14" t="s">
        <v>1804</v>
      </c>
      <c r="D278" s="14" t="s">
        <v>1805</v>
      </c>
      <c r="E278" s="14" t="s">
        <v>2189</v>
      </c>
      <c r="F278" s="14">
        <v>26</v>
      </c>
      <c r="G278" s="14">
        <v>153.44</v>
      </c>
      <c r="H278" s="14">
        <v>5.9</v>
      </c>
      <c r="I278" s="14">
        <v>35</v>
      </c>
      <c r="J278" s="14">
        <v>99.74</v>
      </c>
      <c r="K278" s="110"/>
    </row>
    <row r="279" spans="1:11" hidden="1">
      <c r="A279" s="131" t="str">
        <f t="shared" si="4"/>
        <v>Dynacité_2018-09</v>
      </c>
      <c r="B279" s="14" t="s">
        <v>1397</v>
      </c>
      <c r="C279" s="14" t="s">
        <v>1804</v>
      </c>
      <c r="D279" s="14" t="s">
        <v>1805</v>
      </c>
      <c r="E279" s="14" t="s">
        <v>2268</v>
      </c>
      <c r="F279" s="14">
        <v>26</v>
      </c>
      <c r="G279" s="14">
        <v>140</v>
      </c>
      <c r="H279" s="14">
        <v>5.38</v>
      </c>
      <c r="I279" s="14">
        <v>35</v>
      </c>
      <c r="J279" s="14">
        <v>91</v>
      </c>
      <c r="K279" s="110"/>
    </row>
    <row r="280" spans="1:11" hidden="1">
      <c r="A280" s="131" t="str">
        <f t="shared" si="4"/>
        <v>Dynacité_2018-07</v>
      </c>
      <c r="B280" s="14" t="s">
        <v>1397</v>
      </c>
      <c r="C280" s="14" t="s">
        <v>1972</v>
      </c>
      <c r="D280" s="14" t="s">
        <v>1973</v>
      </c>
      <c r="E280" s="14" t="s">
        <v>2144</v>
      </c>
      <c r="F280" s="14">
        <v>6</v>
      </c>
      <c r="G280" s="14">
        <v>60.3</v>
      </c>
      <c r="H280" s="14">
        <v>10.050000000000001</v>
      </c>
      <c r="I280" s="14">
        <v>35</v>
      </c>
      <c r="J280" s="14">
        <v>39.200000000000003</v>
      </c>
      <c r="K280" s="110"/>
    </row>
    <row r="281" spans="1:11">
      <c r="A281" s="131" t="str">
        <f t="shared" si="4"/>
        <v>Dynacité_2018-08</v>
      </c>
      <c r="B281" s="14" t="s">
        <v>1397</v>
      </c>
      <c r="C281" s="14" t="s">
        <v>1972</v>
      </c>
      <c r="D281" s="14" t="s">
        <v>1973</v>
      </c>
      <c r="E281" s="14" t="s">
        <v>2189</v>
      </c>
      <c r="F281" s="14">
        <v>6</v>
      </c>
      <c r="G281" s="14">
        <v>60</v>
      </c>
      <c r="H281" s="14">
        <v>10</v>
      </c>
      <c r="I281" s="14">
        <v>35</v>
      </c>
      <c r="J281" s="14">
        <v>39</v>
      </c>
      <c r="K281" s="110"/>
    </row>
    <row r="282" spans="1:11" hidden="1">
      <c r="A282" s="131" t="str">
        <f t="shared" si="4"/>
        <v>Dynacité_2018-09</v>
      </c>
      <c r="B282" s="14" t="s">
        <v>1397</v>
      </c>
      <c r="C282" s="14" t="s">
        <v>1972</v>
      </c>
      <c r="D282" s="14" t="s">
        <v>1973</v>
      </c>
      <c r="E282" s="14" t="s">
        <v>2268</v>
      </c>
      <c r="F282" s="14">
        <v>6</v>
      </c>
      <c r="G282" s="14">
        <v>60</v>
      </c>
      <c r="H282" s="14">
        <v>10</v>
      </c>
      <c r="I282" s="14">
        <v>35</v>
      </c>
      <c r="J282" s="14">
        <v>39</v>
      </c>
      <c r="K282" s="110"/>
    </row>
    <row r="283" spans="1:11" hidden="1">
      <c r="A283" s="131" t="str">
        <f t="shared" si="4"/>
        <v>Dynacité_2018-07</v>
      </c>
      <c r="B283" s="14" t="s">
        <v>1397</v>
      </c>
      <c r="C283" s="14" t="s">
        <v>1398</v>
      </c>
      <c r="D283" s="14" t="s">
        <v>1399</v>
      </c>
      <c r="E283" s="14" t="s">
        <v>2144</v>
      </c>
      <c r="F283" s="14">
        <v>16</v>
      </c>
      <c r="G283" s="14">
        <v>151.75</v>
      </c>
      <c r="H283" s="14">
        <v>9.48</v>
      </c>
      <c r="I283" s="14">
        <v>35</v>
      </c>
      <c r="J283" s="14">
        <v>98.64</v>
      </c>
      <c r="K283" s="110"/>
    </row>
    <row r="284" spans="1:11">
      <c r="A284" s="131" t="str">
        <f t="shared" si="4"/>
        <v>Dynacité_2018-08</v>
      </c>
      <c r="B284" s="14" t="s">
        <v>1397</v>
      </c>
      <c r="C284" s="14" t="s">
        <v>1398</v>
      </c>
      <c r="D284" s="14" t="s">
        <v>1399</v>
      </c>
      <c r="E284" s="14" t="s">
        <v>2189</v>
      </c>
      <c r="F284" s="14">
        <v>16</v>
      </c>
      <c r="G284" s="14">
        <v>121.93</v>
      </c>
      <c r="H284" s="14">
        <v>7.62</v>
      </c>
      <c r="I284" s="14">
        <v>35</v>
      </c>
      <c r="J284" s="14">
        <v>79.25</v>
      </c>
      <c r="K284" s="110"/>
    </row>
    <row r="285" spans="1:11" hidden="1">
      <c r="A285" s="131" t="str">
        <f t="shared" si="4"/>
        <v>Dynacité_2018-09</v>
      </c>
      <c r="B285" s="14" t="s">
        <v>1397</v>
      </c>
      <c r="C285" s="14" t="s">
        <v>1398</v>
      </c>
      <c r="D285" s="14" t="s">
        <v>1399</v>
      </c>
      <c r="E285" s="14" t="s">
        <v>2268</v>
      </c>
      <c r="F285" s="14">
        <v>16</v>
      </c>
      <c r="G285" s="14">
        <v>110.1</v>
      </c>
      <c r="H285" s="14">
        <v>6.88</v>
      </c>
      <c r="I285" s="14">
        <v>35</v>
      </c>
      <c r="J285" s="14">
        <v>71.56</v>
      </c>
      <c r="K285" s="110"/>
    </row>
    <row r="286" spans="1:11" hidden="1">
      <c r="A286" s="131" t="str">
        <f t="shared" si="4"/>
        <v>Dynacité_2018-07</v>
      </c>
      <c r="B286" s="14" t="s">
        <v>1397</v>
      </c>
      <c r="C286" s="14" t="s">
        <v>1519</v>
      </c>
      <c r="D286" s="14" t="s">
        <v>1520</v>
      </c>
      <c r="E286" s="14" t="s">
        <v>2144</v>
      </c>
      <c r="F286" s="14">
        <v>32</v>
      </c>
      <c r="G286" s="14">
        <v>211.79</v>
      </c>
      <c r="H286" s="14">
        <v>6.62</v>
      </c>
      <c r="I286" s="14">
        <v>35</v>
      </c>
      <c r="J286" s="14">
        <v>137.66</v>
      </c>
      <c r="K286" s="110"/>
    </row>
    <row r="287" spans="1:11">
      <c r="A287" s="131" t="str">
        <f t="shared" si="4"/>
        <v>Dynacité_2018-08</v>
      </c>
      <c r="B287" s="14" t="s">
        <v>1397</v>
      </c>
      <c r="C287" s="14" t="s">
        <v>1519</v>
      </c>
      <c r="D287" s="14" t="s">
        <v>1520</v>
      </c>
      <c r="E287" s="14" t="s">
        <v>2189</v>
      </c>
      <c r="F287" s="14">
        <v>32</v>
      </c>
      <c r="G287" s="14">
        <v>346.58</v>
      </c>
      <c r="H287" s="14">
        <v>10.83</v>
      </c>
      <c r="I287" s="14">
        <v>35</v>
      </c>
      <c r="J287" s="14">
        <v>225.28</v>
      </c>
      <c r="K287" s="110"/>
    </row>
    <row r="288" spans="1:11" hidden="1">
      <c r="A288" s="131" t="str">
        <f t="shared" si="4"/>
        <v>Dynacité_2018-09</v>
      </c>
      <c r="B288" s="14" t="s">
        <v>1397</v>
      </c>
      <c r="C288" s="14" t="s">
        <v>1519</v>
      </c>
      <c r="D288" s="14" t="s">
        <v>1520</v>
      </c>
      <c r="E288" s="14" t="s">
        <v>2268</v>
      </c>
      <c r="F288" s="14">
        <v>32</v>
      </c>
      <c r="G288" s="14">
        <v>267.61</v>
      </c>
      <c r="H288" s="14">
        <v>8.36</v>
      </c>
      <c r="I288" s="14">
        <v>35</v>
      </c>
      <c r="J288" s="14">
        <v>173.95</v>
      </c>
      <c r="K288" s="110"/>
    </row>
    <row r="289" spans="1:11" hidden="1">
      <c r="A289" s="131" t="str">
        <f t="shared" si="4"/>
        <v>Dynacité_2018-07</v>
      </c>
      <c r="B289" s="14" t="s">
        <v>1397</v>
      </c>
      <c r="C289" s="14" t="s">
        <v>1400</v>
      </c>
      <c r="D289" s="14" t="s">
        <v>535</v>
      </c>
      <c r="E289" s="14" t="s">
        <v>2144</v>
      </c>
      <c r="F289" s="14">
        <v>50.52</v>
      </c>
      <c r="G289" s="14">
        <v>53.52</v>
      </c>
      <c r="H289" s="14">
        <v>1.06</v>
      </c>
      <c r="I289" s="14">
        <v>35</v>
      </c>
      <c r="J289" s="14">
        <v>34.79</v>
      </c>
      <c r="K289" s="110"/>
    </row>
    <row r="290" spans="1:11">
      <c r="A290" s="131" t="str">
        <f t="shared" si="4"/>
        <v>Dynacité_2018-08</v>
      </c>
      <c r="B290" s="14" t="s">
        <v>1397</v>
      </c>
      <c r="C290" s="14" t="s">
        <v>1400</v>
      </c>
      <c r="D290" s="14" t="s">
        <v>535</v>
      </c>
      <c r="E290" s="14" t="s">
        <v>2189</v>
      </c>
      <c r="F290" s="14">
        <v>87</v>
      </c>
      <c r="G290" s="14">
        <v>158.4</v>
      </c>
      <c r="H290" s="14">
        <v>1.82</v>
      </c>
      <c r="I290" s="14">
        <v>35</v>
      </c>
      <c r="J290" s="14">
        <v>102.96</v>
      </c>
      <c r="K290" s="110"/>
    </row>
    <row r="291" spans="1:11" hidden="1">
      <c r="A291" s="131" t="str">
        <f t="shared" si="4"/>
        <v>Dynacité_2018-09</v>
      </c>
      <c r="B291" s="14" t="s">
        <v>1397</v>
      </c>
      <c r="C291" s="14" t="s">
        <v>1400</v>
      </c>
      <c r="D291" s="14" t="s">
        <v>535</v>
      </c>
      <c r="E291" s="14" t="s">
        <v>2268</v>
      </c>
      <c r="F291" s="14">
        <v>87</v>
      </c>
      <c r="G291" s="14">
        <v>298.14</v>
      </c>
      <c r="H291" s="14">
        <v>3.43</v>
      </c>
      <c r="I291" s="14">
        <v>35</v>
      </c>
      <c r="J291" s="14">
        <v>193.79</v>
      </c>
      <c r="K291" s="110"/>
    </row>
    <row r="292" spans="1:11">
      <c r="A292" s="131" t="str">
        <f t="shared" si="4"/>
        <v>Easypark 31_2018-08</v>
      </c>
      <c r="B292" s="14" t="s">
        <v>2198</v>
      </c>
      <c r="C292" s="14" t="s">
        <v>2199</v>
      </c>
      <c r="D292" s="14" t="s">
        <v>535</v>
      </c>
      <c r="E292" s="14" t="s">
        <v>2189</v>
      </c>
      <c r="F292" s="14">
        <v>20</v>
      </c>
      <c r="G292" s="14">
        <v>162</v>
      </c>
      <c r="H292" s="14">
        <v>8.1</v>
      </c>
      <c r="I292" s="14">
        <v>30</v>
      </c>
      <c r="J292" s="14">
        <v>113.4</v>
      </c>
      <c r="K292" s="110"/>
    </row>
    <row r="293" spans="1:11" hidden="1">
      <c r="A293" s="131" t="str">
        <f t="shared" si="4"/>
        <v>Easypark 31_2018-09</v>
      </c>
      <c r="B293" s="14" t="s">
        <v>2198</v>
      </c>
      <c r="C293" s="14" t="s">
        <v>2199</v>
      </c>
      <c r="D293" s="14" t="s">
        <v>535</v>
      </c>
      <c r="E293" s="14" t="s">
        <v>2268</v>
      </c>
      <c r="F293" s="14">
        <v>20</v>
      </c>
      <c r="G293" s="14">
        <v>89</v>
      </c>
      <c r="H293" s="14">
        <v>4.45</v>
      </c>
      <c r="I293" s="14">
        <v>30</v>
      </c>
      <c r="J293" s="14">
        <v>62.3</v>
      </c>
      <c r="K293" s="110"/>
    </row>
    <row r="294" spans="1:11" hidden="1">
      <c r="A294" s="131" t="str">
        <f t="shared" si="4"/>
        <v>EFIDIS Hauts de Seine_2018-07</v>
      </c>
      <c r="B294" s="14" t="s">
        <v>2152</v>
      </c>
      <c r="C294" s="14" t="s">
        <v>1359</v>
      </c>
      <c r="D294" s="14" t="s">
        <v>1360</v>
      </c>
      <c r="E294" s="14" t="s">
        <v>2144</v>
      </c>
      <c r="F294" s="14">
        <v>6</v>
      </c>
      <c r="G294" s="14">
        <v>410.04</v>
      </c>
      <c r="H294" s="14">
        <v>68.34</v>
      </c>
      <c r="I294" s="14">
        <v>40</v>
      </c>
      <c r="J294" s="14">
        <v>246.02</v>
      </c>
      <c r="K294" s="110"/>
    </row>
    <row r="295" spans="1:11">
      <c r="A295" s="131" t="str">
        <f t="shared" si="4"/>
        <v>EFIDIS Hauts de Seine_2018-08</v>
      </c>
      <c r="B295" s="14" t="s">
        <v>2152</v>
      </c>
      <c r="C295" s="14" t="s">
        <v>1359</v>
      </c>
      <c r="D295" s="14" t="s">
        <v>1360</v>
      </c>
      <c r="E295" s="14" t="s">
        <v>2189</v>
      </c>
      <c r="F295" s="14">
        <v>6</v>
      </c>
      <c r="G295" s="14">
        <v>433.52</v>
      </c>
      <c r="H295" s="14">
        <v>72.25</v>
      </c>
      <c r="I295" s="14">
        <v>40</v>
      </c>
      <c r="J295" s="14">
        <v>260.11</v>
      </c>
      <c r="K295" s="110"/>
    </row>
    <row r="296" spans="1:11" hidden="1">
      <c r="A296" s="131" t="str">
        <f t="shared" si="4"/>
        <v>EFIDIS Hauts de Seine_2018-09</v>
      </c>
      <c r="B296" s="14" t="s">
        <v>2152</v>
      </c>
      <c r="C296" s="14" t="s">
        <v>1359</v>
      </c>
      <c r="D296" s="14" t="s">
        <v>1360</v>
      </c>
      <c r="E296" s="14" t="s">
        <v>2268</v>
      </c>
      <c r="F296" s="14">
        <v>6</v>
      </c>
      <c r="G296" s="14">
        <v>374.95</v>
      </c>
      <c r="H296" s="14">
        <v>62.49</v>
      </c>
      <c r="I296" s="14">
        <v>40</v>
      </c>
      <c r="J296" s="14">
        <v>224.97</v>
      </c>
      <c r="K296" s="110"/>
    </row>
    <row r="297" spans="1:11" hidden="1">
      <c r="A297" s="131" t="str">
        <f t="shared" si="4"/>
        <v>EFIDIS Hauts de Seine_2018-07</v>
      </c>
      <c r="B297" s="14" t="s">
        <v>2152</v>
      </c>
      <c r="C297" s="14" t="s">
        <v>696</v>
      </c>
      <c r="D297" s="14" t="s">
        <v>535</v>
      </c>
      <c r="E297" s="14" t="s">
        <v>2144</v>
      </c>
      <c r="F297" s="14">
        <v>9</v>
      </c>
      <c r="G297" s="14">
        <v>688.19</v>
      </c>
      <c r="H297" s="14">
        <v>76.47</v>
      </c>
      <c r="I297" s="14">
        <v>40</v>
      </c>
      <c r="J297" s="14">
        <v>412.91</v>
      </c>
      <c r="K297" s="110"/>
    </row>
    <row r="298" spans="1:11">
      <c r="A298" s="131" t="str">
        <f t="shared" si="4"/>
        <v>EFIDIS Hauts de Seine_2018-08</v>
      </c>
      <c r="B298" s="14" t="s">
        <v>2152</v>
      </c>
      <c r="C298" s="14" t="s">
        <v>696</v>
      </c>
      <c r="D298" s="14" t="s">
        <v>535</v>
      </c>
      <c r="E298" s="14" t="s">
        <v>2189</v>
      </c>
      <c r="F298" s="14">
        <v>9</v>
      </c>
      <c r="G298" s="14">
        <v>774.98</v>
      </c>
      <c r="H298" s="14">
        <v>86.11</v>
      </c>
      <c r="I298" s="14">
        <v>40</v>
      </c>
      <c r="J298" s="14">
        <v>464.99</v>
      </c>
      <c r="K298" s="110"/>
    </row>
    <row r="299" spans="1:11" hidden="1">
      <c r="A299" s="131" t="str">
        <f t="shared" si="4"/>
        <v>EFIDIS Hauts de Seine_2018-09</v>
      </c>
      <c r="B299" s="14" t="s">
        <v>2152</v>
      </c>
      <c r="C299" s="14" t="s">
        <v>696</v>
      </c>
      <c r="D299" s="14" t="s">
        <v>535</v>
      </c>
      <c r="E299" s="14" t="s">
        <v>2268</v>
      </c>
      <c r="F299" s="14">
        <v>9</v>
      </c>
      <c r="G299" s="14">
        <v>486.63</v>
      </c>
      <c r="H299" s="14">
        <v>54.07</v>
      </c>
      <c r="I299" s="14">
        <v>40</v>
      </c>
      <c r="J299" s="14">
        <v>291.98</v>
      </c>
      <c r="K299" s="110"/>
    </row>
    <row r="300" spans="1:11" hidden="1">
      <c r="A300" s="131" t="str">
        <f t="shared" si="4"/>
        <v>EFIDIS Hauts de Seine_2018-07</v>
      </c>
      <c r="B300" s="14" t="s">
        <v>2152</v>
      </c>
      <c r="C300" s="14" t="s">
        <v>971</v>
      </c>
      <c r="D300" s="14" t="s">
        <v>535</v>
      </c>
      <c r="E300" s="14" t="s">
        <v>2144</v>
      </c>
      <c r="F300" s="14">
        <v>10</v>
      </c>
      <c r="G300" s="14">
        <v>612.35</v>
      </c>
      <c r="H300" s="14">
        <v>61.23</v>
      </c>
      <c r="I300" s="14">
        <v>40</v>
      </c>
      <c r="J300" s="14">
        <v>367.41</v>
      </c>
      <c r="K300" s="110"/>
    </row>
    <row r="301" spans="1:11">
      <c r="A301" s="131" t="str">
        <f t="shared" si="4"/>
        <v>EFIDIS Hauts de Seine_2018-08</v>
      </c>
      <c r="B301" s="14" t="s">
        <v>2152</v>
      </c>
      <c r="C301" s="14" t="s">
        <v>971</v>
      </c>
      <c r="D301" s="14" t="s">
        <v>535</v>
      </c>
      <c r="E301" s="14" t="s">
        <v>2189</v>
      </c>
      <c r="F301" s="14">
        <v>10</v>
      </c>
      <c r="G301" s="14">
        <v>579.82000000000005</v>
      </c>
      <c r="H301" s="14">
        <v>57.98</v>
      </c>
      <c r="I301" s="14">
        <v>40</v>
      </c>
      <c r="J301" s="14">
        <v>347.89</v>
      </c>
      <c r="K301" s="110"/>
    </row>
    <row r="302" spans="1:11" hidden="1">
      <c r="A302" s="131" t="str">
        <f t="shared" si="4"/>
        <v>EFIDIS Hauts de Seine_2018-09</v>
      </c>
      <c r="B302" s="14" t="s">
        <v>2152</v>
      </c>
      <c r="C302" s="14" t="s">
        <v>971</v>
      </c>
      <c r="D302" s="14" t="s">
        <v>535</v>
      </c>
      <c r="E302" s="14" t="s">
        <v>2268</v>
      </c>
      <c r="F302" s="14">
        <v>10</v>
      </c>
      <c r="G302" s="14">
        <v>749.43</v>
      </c>
      <c r="H302" s="14">
        <v>74.94</v>
      </c>
      <c r="I302" s="14">
        <v>40</v>
      </c>
      <c r="J302" s="14">
        <v>449.66</v>
      </c>
      <c r="K302" s="110"/>
    </row>
    <row r="303" spans="1:11" hidden="1">
      <c r="A303" s="131" t="str">
        <f t="shared" si="4"/>
        <v>EFIDIS Hauts de Seine_2018-07</v>
      </c>
      <c r="B303" s="14" t="s">
        <v>2152</v>
      </c>
      <c r="C303" s="14" t="s">
        <v>697</v>
      </c>
      <c r="D303" s="14" t="s">
        <v>535</v>
      </c>
      <c r="E303" s="14" t="s">
        <v>2144</v>
      </c>
      <c r="F303" s="14">
        <v>15</v>
      </c>
      <c r="G303" s="14">
        <v>939.44</v>
      </c>
      <c r="H303" s="14">
        <v>62.63</v>
      </c>
      <c r="I303" s="14">
        <v>40</v>
      </c>
      <c r="J303" s="14">
        <v>563.66</v>
      </c>
      <c r="K303" s="110"/>
    </row>
    <row r="304" spans="1:11">
      <c r="A304" s="131" t="str">
        <f t="shared" si="4"/>
        <v>EFIDIS Hauts de Seine_2018-08</v>
      </c>
      <c r="B304" s="14" t="s">
        <v>2152</v>
      </c>
      <c r="C304" s="14" t="s">
        <v>697</v>
      </c>
      <c r="D304" s="14" t="s">
        <v>535</v>
      </c>
      <c r="E304" s="14" t="s">
        <v>2189</v>
      </c>
      <c r="F304" s="14">
        <v>15</v>
      </c>
      <c r="G304" s="14">
        <v>664.74</v>
      </c>
      <c r="H304" s="14">
        <v>44.32</v>
      </c>
      <c r="I304" s="14">
        <v>40</v>
      </c>
      <c r="J304" s="14">
        <v>398.84</v>
      </c>
      <c r="K304" s="110"/>
    </row>
    <row r="305" spans="1:11" hidden="1">
      <c r="A305" s="131" t="str">
        <f t="shared" si="4"/>
        <v>EFIDIS Hauts de Seine_2018-09</v>
      </c>
      <c r="B305" s="14" t="s">
        <v>2152</v>
      </c>
      <c r="C305" s="14" t="s">
        <v>697</v>
      </c>
      <c r="D305" s="14" t="s">
        <v>535</v>
      </c>
      <c r="E305" s="14" t="s">
        <v>2268</v>
      </c>
      <c r="F305" s="14">
        <v>15</v>
      </c>
      <c r="G305" s="14">
        <v>958.94</v>
      </c>
      <c r="H305" s="14">
        <v>63.93</v>
      </c>
      <c r="I305" s="14">
        <v>40</v>
      </c>
      <c r="J305" s="14">
        <v>575.36</v>
      </c>
      <c r="K305" s="110"/>
    </row>
    <row r="306" spans="1:11" s="56" customFormat="1" hidden="1">
      <c r="A306" s="131" t="str">
        <f t="shared" si="4"/>
        <v>EFIDIS Hauts de Seine_2018-07</v>
      </c>
      <c r="B306" s="14" t="s">
        <v>2152</v>
      </c>
      <c r="C306" s="14" t="s">
        <v>1256</v>
      </c>
      <c r="D306" s="14" t="s">
        <v>535</v>
      </c>
      <c r="E306" s="14" t="s">
        <v>2144</v>
      </c>
      <c r="F306" s="14">
        <v>15</v>
      </c>
      <c r="G306" s="14">
        <v>414.05</v>
      </c>
      <c r="H306" s="14">
        <v>27.6</v>
      </c>
      <c r="I306" s="14">
        <v>40</v>
      </c>
      <c r="J306" s="14">
        <v>248.43</v>
      </c>
      <c r="K306" s="110"/>
    </row>
    <row r="307" spans="1:11">
      <c r="A307" s="131" t="str">
        <f t="shared" si="4"/>
        <v>EFIDIS Hauts de Seine_2018-08</v>
      </c>
      <c r="B307" s="14" t="s">
        <v>2152</v>
      </c>
      <c r="C307" s="14" t="s">
        <v>1256</v>
      </c>
      <c r="D307" s="14" t="s">
        <v>535</v>
      </c>
      <c r="E307" s="14" t="s">
        <v>2189</v>
      </c>
      <c r="F307" s="14">
        <v>15</v>
      </c>
      <c r="G307" s="14">
        <v>574.39</v>
      </c>
      <c r="H307" s="14">
        <v>38.29</v>
      </c>
      <c r="I307" s="14">
        <v>40</v>
      </c>
      <c r="J307" s="14">
        <v>344.63</v>
      </c>
      <c r="K307" s="110"/>
    </row>
    <row r="308" spans="1:11" hidden="1">
      <c r="A308" s="131" t="str">
        <f t="shared" si="4"/>
        <v>EFIDIS Hauts de Seine_2018-09</v>
      </c>
      <c r="B308" s="14" t="s">
        <v>2152</v>
      </c>
      <c r="C308" s="14" t="s">
        <v>1256</v>
      </c>
      <c r="D308" s="14" t="s">
        <v>535</v>
      </c>
      <c r="E308" s="14" t="s">
        <v>2268</v>
      </c>
      <c r="F308" s="14">
        <v>15</v>
      </c>
      <c r="G308" s="14">
        <v>362</v>
      </c>
      <c r="H308" s="14">
        <v>24.13</v>
      </c>
      <c r="I308" s="14">
        <v>40</v>
      </c>
      <c r="J308" s="14">
        <v>217.2</v>
      </c>
      <c r="K308" s="110"/>
    </row>
    <row r="309" spans="1:11" hidden="1">
      <c r="A309" s="131" t="str">
        <f t="shared" si="4"/>
        <v>EFIDIS Paris_2018-07</v>
      </c>
      <c r="B309" s="14" t="s">
        <v>698</v>
      </c>
      <c r="C309" s="14" t="s">
        <v>699</v>
      </c>
      <c r="D309" s="14" t="s">
        <v>700</v>
      </c>
      <c r="E309" s="14" t="s">
        <v>2144</v>
      </c>
      <c r="F309" s="14">
        <v>10</v>
      </c>
      <c r="G309" s="14">
        <v>280.64999999999998</v>
      </c>
      <c r="H309" s="14">
        <v>28.06</v>
      </c>
      <c r="I309" s="14">
        <v>40</v>
      </c>
      <c r="J309" s="14">
        <v>168.39</v>
      </c>
      <c r="K309" s="110"/>
    </row>
    <row r="310" spans="1:11">
      <c r="A310" s="131" t="str">
        <f t="shared" si="4"/>
        <v>EFIDIS Paris_2018-08</v>
      </c>
      <c r="B310" s="14" t="s">
        <v>698</v>
      </c>
      <c r="C310" s="14" t="s">
        <v>699</v>
      </c>
      <c r="D310" s="14" t="s">
        <v>700</v>
      </c>
      <c r="E310" s="14" t="s">
        <v>2189</v>
      </c>
      <c r="F310" s="14">
        <v>10</v>
      </c>
      <c r="G310" s="14">
        <v>312.54000000000002</v>
      </c>
      <c r="H310" s="14">
        <v>31.25</v>
      </c>
      <c r="I310" s="14">
        <v>40</v>
      </c>
      <c r="J310" s="14">
        <v>187.52</v>
      </c>
      <c r="K310" s="110"/>
    </row>
    <row r="311" spans="1:11" hidden="1">
      <c r="A311" s="131" t="str">
        <f t="shared" si="4"/>
        <v>EFIDIS Paris_2018-09</v>
      </c>
      <c r="B311" s="14" t="s">
        <v>698</v>
      </c>
      <c r="C311" s="14" t="s">
        <v>699</v>
      </c>
      <c r="D311" s="14" t="s">
        <v>700</v>
      </c>
      <c r="E311" s="14" t="s">
        <v>2268</v>
      </c>
      <c r="F311" s="14">
        <v>10</v>
      </c>
      <c r="G311" s="14">
        <v>275</v>
      </c>
      <c r="H311" s="14">
        <v>27.5</v>
      </c>
      <c r="I311" s="14">
        <v>40</v>
      </c>
      <c r="J311" s="14">
        <v>165</v>
      </c>
      <c r="K311" s="110"/>
    </row>
    <row r="312" spans="1:11" hidden="1">
      <c r="A312" s="131" t="str">
        <f t="shared" si="4"/>
        <v>EFIDIS Paris_2018-07</v>
      </c>
      <c r="B312" s="14" t="s">
        <v>698</v>
      </c>
      <c r="C312" s="14" t="s">
        <v>701</v>
      </c>
      <c r="D312" s="14" t="s">
        <v>702</v>
      </c>
      <c r="E312" s="14" t="s">
        <v>2144</v>
      </c>
      <c r="F312" s="14">
        <v>10</v>
      </c>
      <c r="G312" s="14">
        <v>1485.04</v>
      </c>
      <c r="H312" s="14">
        <v>148.5</v>
      </c>
      <c r="I312" s="14">
        <v>40</v>
      </c>
      <c r="J312" s="14">
        <v>891.02</v>
      </c>
      <c r="K312" s="110"/>
    </row>
    <row r="313" spans="1:11">
      <c r="A313" s="131" t="str">
        <f t="shared" si="4"/>
        <v>EFIDIS Paris_2018-08</v>
      </c>
      <c r="B313" s="14" t="s">
        <v>698</v>
      </c>
      <c r="C313" s="14" t="s">
        <v>701</v>
      </c>
      <c r="D313" s="14" t="s">
        <v>702</v>
      </c>
      <c r="E313" s="14" t="s">
        <v>2189</v>
      </c>
      <c r="F313" s="14">
        <v>10</v>
      </c>
      <c r="G313" s="14">
        <v>1270.8</v>
      </c>
      <c r="H313" s="14">
        <v>127.08</v>
      </c>
      <c r="I313" s="14">
        <v>40</v>
      </c>
      <c r="J313" s="14">
        <v>762.48</v>
      </c>
      <c r="K313" s="110"/>
    </row>
    <row r="314" spans="1:11" s="56" customFormat="1" hidden="1">
      <c r="A314" s="131" t="str">
        <f t="shared" si="4"/>
        <v>EFIDIS Paris_2018-09</v>
      </c>
      <c r="B314" s="14" t="s">
        <v>698</v>
      </c>
      <c r="C314" s="14" t="s">
        <v>701</v>
      </c>
      <c r="D314" s="14" t="s">
        <v>702</v>
      </c>
      <c r="E314" s="14" t="s">
        <v>2268</v>
      </c>
      <c r="F314" s="14">
        <v>10</v>
      </c>
      <c r="G314" s="14">
        <v>1403.91</v>
      </c>
      <c r="H314" s="14">
        <v>140.38999999999999</v>
      </c>
      <c r="I314" s="14">
        <v>40</v>
      </c>
      <c r="J314" s="14">
        <v>842.35</v>
      </c>
      <c r="K314" s="110"/>
    </row>
    <row r="315" spans="1:11" s="56" customFormat="1" hidden="1">
      <c r="A315" s="131" t="str">
        <f t="shared" si="4"/>
        <v>EFIDIS Paris_2018-07</v>
      </c>
      <c r="B315" s="14" t="s">
        <v>698</v>
      </c>
      <c r="C315" s="14" t="s">
        <v>703</v>
      </c>
      <c r="D315" s="14" t="s">
        <v>704</v>
      </c>
      <c r="E315" s="14" t="s">
        <v>2144</v>
      </c>
      <c r="F315" s="14">
        <v>13</v>
      </c>
      <c r="G315" s="14">
        <v>468.64</v>
      </c>
      <c r="H315" s="14">
        <v>36.049999999999997</v>
      </c>
      <c r="I315" s="14">
        <v>40</v>
      </c>
      <c r="J315" s="14">
        <v>281.18</v>
      </c>
      <c r="K315" s="110"/>
    </row>
    <row r="316" spans="1:11" s="56" customFormat="1">
      <c r="A316" s="131" t="str">
        <f t="shared" si="4"/>
        <v>EFIDIS Paris_2018-08</v>
      </c>
      <c r="B316" s="14" t="s">
        <v>698</v>
      </c>
      <c r="C316" s="14" t="s">
        <v>703</v>
      </c>
      <c r="D316" s="14" t="s">
        <v>704</v>
      </c>
      <c r="E316" s="14" t="s">
        <v>2189</v>
      </c>
      <c r="F316" s="14">
        <v>13</v>
      </c>
      <c r="G316" s="14">
        <v>429.77</v>
      </c>
      <c r="H316" s="14">
        <v>33.06</v>
      </c>
      <c r="I316" s="14">
        <v>40</v>
      </c>
      <c r="J316" s="14">
        <v>257.86</v>
      </c>
      <c r="K316" s="110"/>
    </row>
    <row r="317" spans="1:11" hidden="1">
      <c r="A317" s="131" t="str">
        <f t="shared" si="4"/>
        <v>EFIDIS Paris_2018-09</v>
      </c>
      <c r="B317" s="14" t="s">
        <v>698</v>
      </c>
      <c r="C317" s="14" t="s">
        <v>703</v>
      </c>
      <c r="D317" s="14" t="s">
        <v>704</v>
      </c>
      <c r="E317" s="14" t="s">
        <v>2268</v>
      </c>
      <c r="F317" s="14">
        <v>13</v>
      </c>
      <c r="G317" s="14">
        <v>335.22</v>
      </c>
      <c r="H317" s="14">
        <v>25.79</v>
      </c>
      <c r="I317" s="14">
        <v>40</v>
      </c>
      <c r="J317" s="14">
        <v>201.13</v>
      </c>
      <c r="K317" s="110"/>
    </row>
    <row r="318" spans="1:11" hidden="1">
      <c r="A318" s="131" t="str">
        <f t="shared" si="4"/>
        <v>ELOGIE-SIEMP_2018-07</v>
      </c>
      <c r="B318" s="14" t="s">
        <v>1082</v>
      </c>
      <c r="C318" s="14" t="s">
        <v>51</v>
      </c>
      <c r="D318" s="14" t="s">
        <v>706</v>
      </c>
      <c r="E318" s="14" t="s">
        <v>2144</v>
      </c>
      <c r="F318" s="14">
        <v>20</v>
      </c>
      <c r="G318" s="14">
        <v>2526.5500000000002</v>
      </c>
      <c r="H318" s="14">
        <v>126.33</v>
      </c>
      <c r="I318" s="14">
        <v>30</v>
      </c>
      <c r="J318" s="14">
        <v>1768.59</v>
      </c>
      <c r="K318" s="110"/>
    </row>
    <row r="319" spans="1:11">
      <c r="A319" s="131" t="str">
        <f t="shared" si="4"/>
        <v>ELOGIE-SIEMP_2018-08</v>
      </c>
      <c r="B319" s="14" t="s">
        <v>1082</v>
      </c>
      <c r="C319" s="14" t="s">
        <v>51</v>
      </c>
      <c r="D319" s="14" t="s">
        <v>706</v>
      </c>
      <c r="E319" s="14" t="s">
        <v>2189</v>
      </c>
      <c r="F319" s="14">
        <v>20</v>
      </c>
      <c r="G319" s="14">
        <v>2326.6999999999998</v>
      </c>
      <c r="H319" s="14">
        <v>116.33</v>
      </c>
      <c r="I319" s="14">
        <v>30</v>
      </c>
      <c r="J319" s="14">
        <v>1628.69</v>
      </c>
      <c r="K319" s="110"/>
    </row>
    <row r="320" spans="1:11" hidden="1">
      <c r="A320" s="131" t="str">
        <f t="shared" si="4"/>
        <v>ELOGIE-SIEMP_2018-09</v>
      </c>
      <c r="B320" s="14" t="s">
        <v>1082</v>
      </c>
      <c r="C320" s="14" t="s">
        <v>51</v>
      </c>
      <c r="D320" s="14" t="s">
        <v>706</v>
      </c>
      <c r="E320" s="14" t="s">
        <v>2268</v>
      </c>
      <c r="F320" s="14">
        <v>20</v>
      </c>
      <c r="G320" s="14">
        <v>1943.58</v>
      </c>
      <c r="H320" s="14">
        <v>97.18</v>
      </c>
      <c r="I320" s="14">
        <v>30</v>
      </c>
      <c r="J320" s="14">
        <v>1360.51</v>
      </c>
      <c r="K320" s="110"/>
    </row>
    <row r="321" spans="1:11" hidden="1">
      <c r="A321" s="131" t="str">
        <f t="shared" si="4"/>
        <v>ELOGIE-SIEMP_2018-07</v>
      </c>
      <c r="B321" s="14" t="s">
        <v>1082</v>
      </c>
      <c r="C321" s="14" t="s">
        <v>234</v>
      </c>
      <c r="D321" s="14" t="s">
        <v>707</v>
      </c>
      <c r="E321" s="14" t="s">
        <v>2144</v>
      </c>
      <c r="F321" s="14">
        <v>32</v>
      </c>
      <c r="G321" s="14">
        <v>5076.6499999999996</v>
      </c>
      <c r="H321" s="14">
        <v>158.65</v>
      </c>
      <c r="I321" s="14">
        <v>30</v>
      </c>
      <c r="J321" s="14">
        <v>3553.66</v>
      </c>
      <c r="K321" s="110"/>
    </row>
    <row r="322" spans="1:11">
      <c r="A322" s="131" t="str">
        <f t="shared" si="4"/>
        <v>ELOGIE-SIEMP_2018-08</v>
      </c>
      <c r="B322" s="14" t="s">
        <v>1082</v>
      </c>
      <c r="C322" s="14" t="s">
        <v>234</v>
      </c>
      <c r="D322" s="14" t="s">
        <v>707</v>
      </c>
      <c r="E322" s="14" t="s">
        <v>2189</v>
      </c>
      <c r="F322" s="14">
        <v>32</v>
      </c>
      <c r="G322" s="14">
        <v>3734.99</v>
      </c>
      <c r="H322" s="14">
        <v>116.72</v>
      </c>
      <c r="I322" s="14">
        <v>30</v>
      </c>
      <c r="J322" s="14">
        <v>2614.4899999999998</v>
      </c>
      <c r="K322" s="110"/>
    </row>
    <row r="323" spans="1:11" hidden="1">
      <c r="A323" s="131" t="str">
        <f t="shared" si="4"/>
        <v>ELOGIE-SIEMP_2018-09</v>
      </c>
      <c r="B323" s="14" t="s">
        <v>1082</v>
      </c>
      <c r="C323" s="14" t="s">
        <v>234</v>
      </c>
      <c r="D323" s="14" t="s">
        <v>707</v>
      </c>
      <c r="E323" s="14" t="s">
        <v>2268</v>
      </c>
      <c r="F323" s="14">
        <v>32</v>
      </c>
      <c r="G323" s="14">
        <v>4757.55</v>
      </c>
      <c r="H323" s="14">
        <v>148.66999999999999</v>
      </c>
      <c r="I323" s="14">
        <v>30</v>
      </c>
      <c r="J323" s="14">
        <v>3330.28</v>
      </c>
      <c r="K323" s="110"/>
    </row>
    <row r="324" spans="1:11" hidden="1">
      <c r="A324" s="131" t="str">
        <f t="shared" si="4"/>
        <v>ELOGIE-SIEMP_2018-07</v>
      </c>
      <c r="B324" s="14" t="s">
        <v>1082</v>
      </c>
      <c r="C324" s="14" t="s">
        <v>235</v>
      </c>
      <c r="D324" s="14" t="s">
        <v>708</v>
      </c>
      <c r="E324" s="14" t="s">
        <v>2144</v>
      </c>
      <c r="F324" s="14">
        <v>36</v>
      </c>
      <c r="G324" s="14">
        <v>4087.77</v>
      </c>
      <c r="H324" s="14">
        <v>113.55</v>
      </c>
      <c r="I324" s="14">
        <v>30</v>
      </c>
      <c r="J324" s="14">
        <v>2861.44</v>
      </c>
      <c r="K324" s="110"/>
    </row>
    <row r="325" spans="1:11">
      <c r="A325" s="131" t="str">
        <f t="shared" si="4"/>
        <v>ELOGIE-SIEMP_2018-08</v>
      </c>
      <c r="B325" s="14" t="s">
        <v>1082</v>
      </c>
      <c r="C325" s="14" t="s">
        <v>235</v>
      </c>
      <c r="D325" s="14" t="s">
        <v>708</v>
      </c>
      <c r="E325" s="14" t="s">
        <v>2189</v>
      </c>
      <c r="F325" s="14">
        <v>36</v>
      </c>
      <c r="G325" s="14">
        <v>3148.77</v>
      </c>
      <c r="H325" s="14">
        <v>87.47</v>
      </c>
      <c r="I325" s="14">
        <v>30</v>
      </c>
      <c r="J325" s="14">
        <v>2204.14</v>
      </c>
      <c r="K325" s="110"/>
    </row>
    <row r="326" spans="1:11" hidden="1">
      <c r="A326" s="131" t="str">
        <f t="shared" ref="A326:A389" si="5">CONCATENATE(B326,"_",E326)</f>
        <v>ELOGIE-SIEMP_2018-09</v>
      </c>
      <c r="B326" s="14" t="s">
        <v>1082</v>
      </c>
      <c r="C326" s="14" t="s">
        <v>235</v>
      </c>
      <c r="D326" s="14" t="s">
        <v>708</v>
      </c>
      <c r="E326" s="14" t="s">
        <v>2268</v>
      </c>
      <c r="F326" s="14">
        <v>36</v>
      </c>
      <c r="G326" s="14">
        <v>4347.28</v>
      </c>
      <c r="H326" s="14">
        <v>120.76</v>
      </c>
      <c r="I326" s="14">
        <v>30</v>
      </c>
      <c r="J326" s="14">
        <v>3043.1</v>
      </c>
      <c r="K326" s="110"/>
    </row>
    <row r="327" spans="1:11" hidden="1">
      <c r="A327" s="131" t="str">
        <f t="shared" si="5"/>
        <v>ELOGIE-SIEMP_2018-07</v>
      </c>
      <c r="B327" s="14" t="s">
        <v>1082</v>
      </c>
      <c r="C327" s="14" t="s">
        <v>38</v>
      </c>
      <c r="D327" s="14" t="s">
        <v>709</v>
      </c>
      <c r="E327" s="14" t="s">
        <v>2144</v>
      </c>
      <c r="F327" s="14">
        <v>34</v>
      </c>
      <c r="G327" s="14">
        <v>2280.15</v>
      </c>
      <c r="H327" s="14">
        <v>67.06</v>
      </c>
      <c r="I327" s="14">
        <v>30</v>
      </c>
      <c r="J327" s="14">
        <v>1596.11</v>
      </c>
      <c r="K327" s="110"/>
    </row>
    <row r="328" spans="1:11">
      <c r="A328" s="131" t="str">
        <f t="shared" si="5"/>
        <v>ELOGIE-SIEMP_2018-08</v>
      </c>
      <c r="B328" s="14" t="s">
        <v>1082</v>
      </c>
      <c r="C328" s="14" t="s">
        <v>38</v>
      </c>
      <c r="D328" s="14" t="s">
        <v>709</v>
      </c>
      <c r="E328" s="14" t="s">
        <v>2189</v>
      </c>
      <c r="F328" s="14">
        <v>34</v>
      </c>
      <c r="G328" s="14">
        <v>2145.5</v>
      </c>
      <c r="H328" s="14">
        <v>63.1</v>
      </c>
      <c r="I328" s="14">
        <v>30</v>
      </c>
      <c r="J328" s="14">
        <v>1501.85</v>
      </c>
      <c r="K328" s="110"/>
    </row>
    <row r="329" spans="1:11" hidden="1">
      <c r="A329" s="131" t="str">
        <f t="shared" si="5"/>
        <v>ELOGIE-SIEMP_2018-09</v>
      </c>
      <c r="B329" s="14" t="s">
        <v>1082</v>
      </c>
      <c r="C329" s="14" t="s">
        <v>38</v>
      </c>
      <c r="D329" s="14" t="s">
        <v>709</v>
      </c>
      <c r="E329" s="14" t="s">
        <v>2268</v>
      </c>
      <c r="F329" s="14">
        <v>34</v>
      </c>
      <c r="G329" s="14">
        <v>2528.5</v>
      </c>
      <c r="H329" s="14">
        <v>74.37</v>
      </c>
      <c r="I329" s="14">
        <v>30</v>
      </c>
      <c r="J329" s="14">
        <v>1769.95</v>
      </c>
      <c r="K329" s="110"/>
    </row>
    <row r="330" spans="1:11" hidden="1">
      <c r="A330" s="131" t="str">
        <f t="shared" si="5"/>
        <v>ELOGIE-SIEMP_2018-07</v>
      </c>
      <c r="B330" s="14" t="s">
        <v>1082</v>
      </c>
      <c r="C330" s="14" t="s">
        <v>0</v>
      </c>
      <c r="D330" s="14" t="s">
        <v>710</v>
      </c>
      <c r="E330" s="14" t="s">
        <v>2144</v>
      </c>
      <c r="F330" s="14">
        <v>14</v>
      </c>
      <c r="G330" s="14">
        <v>2479.73</v>
      </c>
      <c r="H330" s="14">
        <v>177.12</v>
      </c>
      <c r="I330" s="14">
        <v>30</v>
      </c>
      <c r="J330" s="14">
        <v>1735.81</v>
      </c>
      <c r="K330" s="110"/>
    </row>
    <row r="331" spans="1:11">
      <c r="A331" s="131" t="str">
        <f t="shared" si="5"/>
        <v>ELOGIE-SIEMP_2018-08</v>
      </c>
      <c r="B331" s="14" t="s">
        <v>1082</v>
      </c>
      <c r="C331" s="14" t="s">
        <v>0</v>
      </c>
      <c r="D331" s="14" t="s">
        <v>710</v>
      </c>
      <c r="E331" s="14" t="s">
        <v>2189</v>
      </c>
      <c r="F331" s="14">
        <v>14</v>
      </c>
      <c r="G331" s="14">
        <v>2423.63</v>
      </c>
      <c r="H331" s="14">
        <v>173.12</v>
      </c>
      <c r="I331" s="14">
        <v>30</v>
      </c>
      <c r="J331" s="14">
        <v>1696.54</v>
      </c>
      <c r="K331" s="110"/>
    </row>
    <row r="332" spans="1:11" hidden="1">
      <c r="A332" s="131" t="str">
        <f t="shared" si="5"/>
        <v>ELOGIE-SIEMP_2018-09</v>
      </c>
      <c r="B332" s="14" t="s">
        <v>1082</v>
      </c>
      <c r="C332" s="14" t="s">
        <v>0</v>
      </c>
      <c r="D332" s="14" t="s">
        <v>710</v>
      </c>
      <c r="E332" s="14" t="s">
        <v>2268</v>
      </c>
      <c r="F332" s="14">
        <v>14</v>
      </c>
      <c r="G332" s="14">
        <v>2423.33</v>
      </c>
      <c r="H332" s="14">
        <v>173.09</v>
      </c>
      <c r="I332" s="14">
        <v>30</v>
      </c>
      <c r="J332" s="14">
        <v>1696.33</v>
      </c>
      <c r="K332" s="110"/>
    </row>
    <row r="333" spans="1:11" hidden="1">
      <c r="A333" s="131" t="str">
        <f t="shared" si="5"/>
        <v>ELOGIE-SIEMP_2018-07</v>
      </c>
      <c r="B333" s="14" t="s">
        <v>1082</v>
      </c>
      <c r="C333" s="14" t="s">
        <v>265</v>
      </c>
      <c r="D333" s="14" t="s">
        <v>711</v>
      </c>
      <c r="E333" s="14" t="s">
        <v>2144</v>
      </c>
      <c r="F333" s="14">
        <v>10</v>
      </c>
      <c r="G333" s="14">
        <v>1614.48</v>
      </c>
      <c r="H333" s="14">
        <v>161.44999999999999</v>
      </c>
      <c r="I333" s="14">
        <v>30</v>
      </c>
      <c r="J333" s="14">
        <v>1130.1400000000001</v>
      </c>
      <c r="K333" s="110"/>
    </row>
    <row r="334" spans="1:11">
      <c r="A334" s="131" t="str">
        <f t="shared" si="5"/>
        <v>ELOGIE-SIEMP_2018-08</v>
      </c>
      <c r="B334" s="14" t="s">
        <v>1082</v>
      </c>
      <c r="C334" s="14" t="s">
        <v>265</v>
      </c>
      <c r="D334" s="14" t="s">
        <v>711</v>
      </c>
      <c r="E334" s="14" t="s">
        <v>2189</v>
      </c>
      <c r="F334" s="14">
        <v>10</v>
      </c>
      <c r="G334" s="14">
        <v>1788.78</v>
      </c>
      <c r="H334" s="14">
        <v>178.88</v>
      </c>
      <c r="I334" s="14">
        <v>30</v>
      </c>
      <c r="J334" s="14">
        <v>1252.1500000000001</v>
      </c>
      <c r="K334" s="110"/>
    </row>
    <row r="335" spans="1:11" hidden="1">
      <c r="A335" s="131" t="str">
        <f t="shared" si="5"/>
        <v>ELOGIE-SIEMP_2018-09</v>
      </c>
      <c r="B335" s="14" t="s">
        <v>1082</v>
      </c>
      <c r="C335" s="14" t="s">
        <v>265</v>
      </c>
      <c r="D335" s="14" t="s">
        <v>711</v>
      </c>
      <c r="E335" s="14" t="s">
        <v>2268</v>
      </c>
      <c r="F335" s="14">
        <v>10</v>
      </c>
      <c r="G335" s="14">
        <v>2262.3200000000002</v>
      </c>
      <c r="H335" s="14">
        <v>226.23</v>
      </c>
      <c r="I335" s="14">
        <v>30</v>
      </c>
      <c r="J335" s="14">
        <v>1583.62</v>
      </c>
      <c r="K335" s="110"/>
    </row>
    <row r="336" spans="1:11" hidden="1">
      <c r="A336" s="131" t="str">
        <f t="shared" si="5"/>
        <v>ELOGIE-SIEMP_2018-07</v>
      </c>
      <c r="B336" s="14" t="s">
        <v>1082</v>
      </c>
      <c r="C336" s="14" t="s">
        <v>705</v>
      </c>
      <c r="D336" s="14" t="s">
        <v>1361</v>
      </c>
      <c r="E336" s="14" t="s">
        <v>2144</v>
      </c>
      <c r="F336" s="14">
        <v>10</v>
      </c>
      <c r="G336" s="14">
        <v>1583.37</v>
      </c>
      <c r="H336" s="14">
        <v>158.34</v>
      </c>
      <c r="I336" s="14">
        <v>30</v>
      </c>
      <c r="J336" s="14">
        <v>1108.3599999999999</v>
      </c>
      <c r="K336" s="110"/>
    </row>
    <row r="337" spans="1:12">
      <c r="A337" s="131" t="str">
        <f t="shared" si="5"/>
        <v>ELOGIE-SIEMP_2018-08</v>
      </c>
      <c r="B337" s="14" t="s">
        <v>1082</v>
      </c>
      <c r="C337" s="14" t="s">
        <v>705</v>
      </c>
      <c r="D337" s="14" t="s">
        <v>1361</v>
      </c>
      <c r="E337" s="14" t="s">
        <v>2189</v>
      </c>
      <c r="F337" s="14">
        <v>10</v>
      </c>
      <c r="G337" s="14">
        <v>1471.39</v>
      </c>
      <c r="H337" s="14">
        <v>147.13999999999999</v>
      </c>
      <c r="I337" s="14">
        <v>30</v>
      </c>
      <c r="J337" s="14">
        <v>1029.97</v>
      </c>
      <c r="K337" s="110"/>
    </row>
    <row r="338" spans="1:12" hidden="1">
      <c r="A338" s="131" t="str">
        <f t="shared" si="5"/>
        <v>ELOGIE-SIEMP_2018-09</v>
      </c>
      <c r="B338" s="14" t="s">
        <v>1082</v>
      </c>
      <c r="C338" s="14" t="s">
        <v>705</v>
      </c>
      <c r="D338" s="14" t="s">
        <v>1361</v>
      </c>
      <c r="E338" s="14" t="s">
        <v>2268</v>
      </c>
      <c r="F338" s="14">
        <v>10</v>
      </c>
      <c r="G338" s="14">
        <v>1651.06</v>
      </c>
      <c r="H338" s="14">
        <v>165.11</v>
      </c>
      <c r="I338" s="14">
        <v>30</v>
      </c>
      <c r="J338" s="14">
        <v>1155.74</v>
      </c>
      <c r="K338" s="110"/>
    </row>
    <row r="339" spans="1:12" hidden="1">
      <c r="A339" s="131" t="str">
        <f t="shared" si="5"/>
        <v>ELOGIE-SIEMP_2018-07</v>
      </c>
      <c r="B339" s="14" t="s">
        <v>1082</v>
      </c>
      <c r="C339" s="14" t="s">
        <v>1362</v>
      </c>
      <c r="D339" s="14" t="s">
        <v>1363</v>
      </c>
      <c r="E339" s="14" t="s">
        <v>2144</v>
      </c>
      <c r="F339" s="14">
        <v>11</v>
      </c>
      <c r="G339" s="14">
        <v>724.87</v>
      </c>
      <c r="H339" s="14">
        <v>65.900000000000006</v>
      </c>
      <c r="I339" s="14">
        <v>40</v>
      </c>
      <c r="J339" s="14">
        <v>434.92</v>
      </c>
      <c r="K339" s="110"/>
    </row>
    <row r="340" spans="1:12">
      <c r="A340" s="131" t="str">
        <f t="shared" si="5"/>
        <v>ELOGIE-SIEMP_2018-08</v>
      </c>
      <c r="B340" s="14" t="s">
        <v>1082</v>
      </c>
      <c r="C340" s="14" t="s">
        <v>1362</v>
      </c>
      <c r="D340" s="14" t="s">
        <v>1363</v>
      </c>
      <c r="E340" s="14" t="s">
        <v>2189</v>
      </c>
      <c r="F340" s="14">
        <v>11</v>
      </c>
      <c r="G340" s="14">
        <v>801.13</v>
      </c>
      <c r="H340" s="14">
        <v>72.83</v>
      </c>
      <c r="I340" s="14">
        <v>40</v>
      </c>
      <c r="J340" s="14">
        <v>480.68</v>
      </c>
      <c r="K340" s="110"/>
    </row>
    <row r="341" spans="1:12" hidden="1">
      <c r="A341" s="131" t="str">
        <f t="shared" si="5"/>
        <v>ELOGIE-SIEMP_2018-09</v>
      </c>
      <c r="B341" s="14" t="s">
        <v>1082</v>
      </c>
      <c r="C341" s="14" t="s">
        <v>1362</v>
      </c>
      <c r="D341" s="14" t="s">
        <v>1363</v>
      </c>
      <c r="E341" s="14" t="s">
        <v>2268</v>
      </c>
      <c r="F341" s="14">
        <v>11</v>
      </c>
      <c r="G341" s="14">
        <v>889.11</v>
      </c>
      <c r="H341" s="14">
        <v>80.83</v>
      </c>
      <c r="I341" s="14">
        <v>40</v>
      </c>
      <c r="J341" s="14">
        <v>533.47</v>
      </c>
      <c r="K341" s="110"/>
    </row>
    <row r="342" spans="1:12" hidden="1">
      <c r="A342" s="131" t="str">
        <f t="shared" si="5"/>
        <v>ELOGIE-SIEMP_2018-07</v>
      </c>
      <c r="B342" s="14" t="s">
        <v>1082</v>
      </c>
      <c r="C342" s="14" t="s">
        <v>36</v>
      </c>
      <c r="D342" s="14" t="s">
        <v>712</v>
      </c>
      <c r="E342" s="14" t="s">
        <v>2144</v>
      </c>
      <c r="F342" s="14">
        <v>7</v>
      </c>
      <c r="G342" s="14">
        <v>716.56</v>
      </c>
      <c r="H342" s="14">
        <v>102.37</v>
      </c>
      <c r="I342" s="14">
        <v>30</v>
      </c>
      <c r="J342" s="14">
        <v>501.59</v>
      </c>
      <c r="K342" s="110"/>
    </row>
    <row r="343" spans="1:12">
      <c r="A343" s="131" t="str">
        <f t="shared" si="5"/>
        <v>ELOGIE-SIEMP_2018-08</v>
      </c>
      <c r="B343" s="14" t="s">
        <v>1082</v>
      </c>
      <c r="C343" s="14" t="s">
        <v>36</v>
      </c>
      <c r="D343" s="14" t="s">
        <v>712</v>
      </c>
      <c r="E343" s="14" t="s">
        <v>2189</v>
      </c>
      <c r="F343" s="14">
        <v>7</v>
      </c>
      <c r="G343" s="14">
        <v>815.07</v>
      </c>
      <c r="H343" s="14">
        <v>116.44</v>
      </c>
      <c r="I343" s="14">
        <v>30</v>
      </c>
      <c r="J343" s="14">
        <v>570.54999999999995</v>
      </c>
      <c r="K343" s="110"/>
    </row>
    <row r="344" spans="1:12" hidden="1">
      <c r="A344" s="131" t="str">
        <f t="shared" si="5"/>
        <v>ELOGIE-SIEMP_2018-09</v>
      </c>
      <c r="B344" s="14" t="s">
        <v>1082</v>
      </c>
      <c r="C344" s="14" t="s">
        <v>36</v>
      </c>
      <c r="D344" s="14" t="s">
        <v>712</v>
      </c>
      <c r="E344" s="14" t="s">
        <v>2268</v>
      </c>
      <c r="F344" s="14">
        <v>7</v>
      </c>
      <c r="G344" s="14">
        <v>639.01</v>
      </c>
      <c r="H344" s="14">
        <v>91.29</v>
      </c>
      <c r="I344" s="14">
        <v>30</v>
      </c>
      <c r="J344" s="14">
        <v>447.31</v>
      </c>
      <c r="K344" s="110"/>
    </row>
    <row r="345" spans="1:12" hidden="1">
      <c r="A345" s="131" t="str">
        <f t="shared" si="5"/>
        <v>ELOGIE-SIEMP_2018-07</v>
      </c>
      <c r="B345" s="14" t="s">
        <v>1082</v>
      </c>
      <c r="C345" s="14" t="s">
        <v>58</v>
      </c>
      <c r="D345" s="14" t="s">
        <v>713</v>
      </c>
      <c r="E345" s="14" t="s">
        <v>2144</v>
      </c>
      <c r="F345" s="14">
        <v>5</v>
      </c>
      <c r="G345" s="14">
        <v>1026.54</v>
      </c>
      <c r="H345" s="14">
        <v>205.31</v>
      </c>
      <c r="I345" s="14">
        <v>30</v>
      </c>
      <c r="J345" s="14">
        <v>718.58</v>
      </c>
      <c r="K345" s="110"/>
    </row>
    <row r="346" spans="1:12">
      <c r="A346" s="131" t="str">
        <f t="shared" si="5"/>
        <v>ELOGIE-SIEMP_2018-08</v>
      </c>
      <c r="B346" s="14" t="s">
        <v>1082</v>
      </c>
      <c r="C346" s="14" t="s">
        <v>58</v>
      </c>
      <c r="D346" s="14" t="s">
        <v>713</v>
      </c>
      <c r="E346" s="14" t="s">
        <v>2189</v>
      </c>
      <c r="F346" s="14">
        <v>5</v>
      </c>
      <c r="G346" s="14">
        <v>809.37</v>
      </c>
      <c r="H346" s="14">
        <v>161.87</v>
      </c>
      <c r="I346" s="14">
        <v>30</v>
      </c>
      <c r="J346" s="14">
        <v>566.55999999999995</v>
      </c>
      <c r="K346" s="110"/>
    </row>
    <row r="347" spans="1:12" hidden="1">
      <c r="A347" s="131" t="str">
        <f t="shared" si="5"/>
        <v>ELOGIE-SIEMP_2018-09</v>
      </c>
      <c r="B347" s="14" t="s">
        <v>1082</v>
      </c>
      <c r="C347" s="14" t="s">
        <v>58</v>
      </c>
      <c r="D347" s="14" t="s">
        <v>713</v>
      </c>
      <c r="E347" s="14" t="s">
        <v>2268</v>
      </c>
      <c r="F347" s="14">
        <v>5</v>
      </c>
      <c r="G347" s="14">
        <v>972.16</v>
      </c>
      <c r="H347" s="14">
        <v>194.43</v>
      </c>
      <c r="I347" s="14">
        <v>30</v>
      </c>
      <c r="J347" s="14">
        <v>680.51</v>
      </c>
      <c r="K347" s="110"/>
    </row>
    <row r="348" spans="1:12" hidden="1">
      <c r="A348" s="131" t="str">
        <f t="shared" si="5"/>
        <v>Elysée Palace SNC_2018-07</v>
      </c>
      <c r="B348" s="14" t="s">
        <v>1219</v>
      </c>
      <c r="C348" s="14" t="s">
        <v>1257</v>
      </c>
      <c r="D348" s="14" t="s">
        <v>535</v>
      </c>
      <c r="E348" s="14" t="s">
        <v>2144</v>
      </c>
      <c r="F348" s="14">
        <v>5</v>
      </c>
      <c r="G348" s="14">
        <v>331.32</v>
      </c>
      <c r="H348" s="14">
        <v>66.260000000000005</v>
      </c>
      <c r="I348" s="14">
        <v>40</v>
      </c>
      <c r="J348" s="14">
        <v>198.79</v>
      </c>
      <c r="K348" s="110"/>
    </row>
    <row r="349" spans="1:12">
      <c r="A349" s="131" t="str">
        <f t="shared" si="5"/>
        <v>Elysée Palace SNC_2018-08</v>
      </c>
      <c r="B349" s="14" t="s">
        <v>1219</v>
      </c>
      <c r="C349" s="14" t="s">
        <v>1257</v>
      </c>
      <c r="D349" s="14" t="s">
        <v>535</v>
      </c>
      <c r="E349" s="14" t="s">
        <v>2189</v>
      </c>
      <c r="F349" s="14">
        <v>5</v>
      </c>
      <c r="G349" s="14">
        <v>1006.46</v>
      </c>
      <c r="H349" s="14">
        <v>201.29</v>
      </c>
      <c r="I349" s="14">
        <v>40</v>
      </c>
      <c r="J349" s="14">
        <v>603.88</v>
      </c>
      <c r="K349" s="110"/>
    </row>
    <row r="350" spans="1:12" hidden="1">
      <c r="A350" s="131" t="str">
        <f t="shared" si="5"/>
        <v>Elysée Palace SNC_2018-09</v>
      </c>
      <c r="B350" s="14" t="s">
        <v>1219</v>
      </c>
      <c r="C350" s="14" t="s">
        <v>1257</v>
      </c>
      <c r="D350" s="14" t="s">
        <v>535</v>
      </c>
      <c r="E350" s="14" t="s">
        <v>2268</v>
      </c>
      <c r="F350" s="14">
        <v>5.57</v>
      </c>
      <c r="G350" s="14">
        <v>1059.03</v>
      </c>
      <c r="H350" s="14">
        <v>190.13</v>
      </c>
      <c r="I350" s="14">
        <v>40</v>
      </c>
      <c r="J350" s="14">
        <v>635.41999999999996</v>
      </c>
      <c r="K350" s="110"/>
    </row>
    <row r="351" spans="1:12" hidden="1">
      <c r="A351" s="131" t="str">
        <f t="shared" si="5"/>
        <v>Erigere_2018-07</v>
      </c>
      <c r="B351" s="14" t="s">
        <v>2078</v>
      </c>
      <c r="C351" s="14" t="s">
        <v>1974</v>
      </c>
      <c r="D351" s="14" t="s">
        <v>1975</v>
      </c>
      <c r="E351" s="14" t="s">
        <v>2144</v>
      </c>
      <c r="F351" s="14">
        <v>20</v>
      </c>
      <c r="G351" s="14">
        <v>183.67</v>
      </c>
      <c r="H351" s="14">
        <v>9.18</v>
      </c>
      <c r="I351" s="14">
        <v>50</v>
      </c>
      <c r="J351" s="14">
        <v>91.83</v>
      </c>
      <c r="K351" s="110"/>
      <c r="L351" s="56"/>
    </row>
    <row r="352" spans="1:12">
      <c r="A352" s="131" t="str">
        <f t="shared" si="5"/>
        <v>Erigere_2018-08</v>
      </c>
      <c r="B352" s="14" t="s">
        <v>2078</v>
      </c>
      <c r="C352" s="14" t="s">
        <v>1974</v>
      </c>
      <c r="D352" s="14" t="s">
        <v>1975</v>
      </c>
      <c r="E352" s="14" t="s">
        <v>2189</v>
      </c>
      <c r="F352" s="14">
        <v>20</v>
      </c>
      <c r="G352" s="14">
        <v>325.63</v>
      </c>
      <c r="H352" s="14">
        <v>16.28</v>
      </c>
      <c r="I352" s="14">
        <v>50</v>
      </c>
      <c r="J352" s="14">
        <v>162.81</v>
      </c>
      <c r="K352" s="110"/>
    </row>
    <row r="353" spans="1:11" hidden="1">
      <c r="A353" s="131" t="str">
        <f t="shared" si="5"/>
        <v>Erigere_2018-09</v>
      </c>
      <c r="B353" s="14" t="s">
        <v>2078</v>
      </c>
      <c r="C353" s="14" t="s">
        <v>1974</v>
      </c>
      <c r="D353" s="14" t="s">
        <v>1975</v>
      </c>
      <c r="E353" s="14" t="s">
        <v>2268</v>
      </c>
      <c r="F353" s="14">
        <v>20</v>
      </c>
      <c r="G353" s="14">
        <v>564.72</v>
      </c>
      <c r="H353" s="14">
        <v>28.24</v>
      </c>
      <c r="I353" s="14">
        <v>50</v>
      </c>
      <c r="J353" s="14">
        <v>282.36</v>
      </c>
      <c r="K353" s="110"/>
    </row>
    <row r="354" spans="1:11" hidden="1">
      <c r="A354" s="131" t="str">
        <f t="shared" si="5"/>
        <v>Erigere_2018-07</v>
      </c>
      <c r="B354" s="14" t="s">
        <v>2078</v>
      </c>
      <c r="C354" s="14" t="s">
        <v>1045</v>
      </c>
      <c r="D354" s="14" t="s">
        <v>535</v>
      </c>
      <c r="E354" s="14" t="s">
        <v>2144</v>
      </c>
      <c r="F354" s="14">
        <v>10</v>
      </c>
      <c r="G354" s="14">
        <v>158.87</v>
      </c>
      <c r="H354" s="14">
        <v>15.89</v>
      </c>
      <c r="I354" s="14">
        <v>40</v>
      </c>
      <c r="J354" s="14">
        <v>95.32</v>
      </c>
      <c r="K354" s="110"/>
    </row>
    <row r="355" spans="1:11">
      <c r="A355" s="131" t="str">
        <f t="shared" si="5"/>
        <v>Erigere_2018-08</v>
      </c>
      <c r="B355" s="14" t="s">
        <v>2078</v>
      </c>
      <c r="C355" s="14" t="s">
        <v>1045</v>
      </c>
      <c r="D355" s="14" t="s">
        <v>535</v>
      </c>
      <c r="E355" s="14" t="s">
        <v>2189</v>
      </c>
      <c r="F355" s="14">
        <v>10</v>
      </c>
      <c r="G355" s="14">
        <v>220.14</v>
      </c>
      <c r="H355" s="14">
        <v>22.01</v>
      </c>
      <c r="I355" s="14">
        <v>40</v>
      </c>
      <c r="J355" s="14">
        <v>132.08000000000001</v>
      </c>
      <c r="K355" s="110"/>
    </row>
    <row r="356" spans="1:11" hidden="1">
      <c r="A356" s="131" t="str">
        <f t="shared" si="5"/>
        <v>Erigere_2018-09</v>
      </c>
      <c r="B356" s="14" t="s">
        <v>2078</v>
      </c>
      <c r="C356" s="14" t="s">
        <v>1045</v>
      </c>
      <c r="D356" s="14" t="s">
        <v>535</v>
      </c>
      <c r="E356" s="14" t="s">
        <v>2268</v>
      </c>
      <c r="F356" s="14">
        <v>10</v>
      </c>
      <c r="G356" s="14">
        <v>148.30000000000001</v>
      </c>
      <c r="H356" s="14">
        <v>14.83</v>
      </c>
      <c r="I356" s="14">
        <v>40</v>
      </c>
      <c r="J356" s="14">
        <v>88.98</v>
      </c>
      <c r="K356" s="110"/>
    </row>
    <row r="357" spans="1:11" hidden="1">
      <c r="A357" s="131" t="str">
        <f t="shared" si="5"/>
        <v>Erigere_2018-09</v>
      </c>
      <c r="B357" s="14" t="s">
        <v>2078</v>
      </c>
      <c r="C357" s="14" t="s">
        <v>2289</v>
      </c>
      <c r="D357" s="14" t="s">
        <v>2290</v>
      </c>
      <c r="E357" s="14" t="s">
        <v>2268</v>
      </c>
      <c r="F357" s="14">
        <v>6</v>
      </c>
      <c r="G357" s="14">
        <v>35.4</v>
      </c>
      <c r="H357" s="14">
        <v>5.9</v>
      </c>
      <c r="I357" s="14">
        <v>50</v>
      </c>
      <c r="J357" s="14">
        <v>17.7</v>
      </c>
      <c r="K357" s="110"/>
    </row>
    <row r="358" spans="1:11" hidden="1">
      <c r="A358" s="131" t="str">
        <f t="shared" si="5"/>
        <v>Erigere_2018-07</v>
      </c>
      <c r="B358" s="14" t="s">
        <v>2078</v>
      </c>
      <c r="C358" s="14" t="s">
        <v>714</v>
      </c>
      <c r="D358" s="14" t="s">
        <v>1807</v>
      </c>
      <c r="E358" s="14" t="s">
        <v>2144</v>
      </c>
      <c r="F358" s="14">
        <v>20</v>
      </c>
      <c r="G358" s="14">
        <v>3416.21</v>
      </c>
      <c r="H358" s="14">
        <v>170.81</v>
      </c>
      <c r="I358" s="14">
        <v>40</v>
      </c>
      <c r="J358" s="14">
        <v>2049.73</v>
      </c>
      <c r="K358" s="110"/>
    </row>
    <row r="359" spans="1:11">
      <c r="A359" s="131" t="str">
        <f t="shared" si="5"/>
        <v>Erigere_2018-08</v>
      </c>
      <c r="B359" s="14" t="s">
        <v>2078</v>
      </c>
      <c r="C359" s="14" t="s">
        <v>714</v>
      </c>
      <c r="D359" s="14" t="s">
        <v>1807</v>
      </c>
      <c r="E359" s="14" t="s">
        <v>2189</v>
      </c>
      <c r="F359" s="14">
        <v>20</v>
      </c>
      <c r="G359" s="14">
        <v>2473.9899999999998</v>
      </c>
      <c r="H359" s="14">
        <v>123.7</v>
      </c>
      <c r="I359" s="14">
        <v>40</v>
      </c>
      <c r="J359" s="14">
        <v>1484.39</v>
      </c>
      <c r="K359" s="110"/>
    </row>
    <row r="360" spans="1:11" hidden="1">
      <c r="A360" s="131" t="str">
        <f t="shared" si="5"/>
        <v>Erigere_2018-09</v>
      </c>
      <c r="B360" s="14" t="s">
        <v>2078</v>
      </c>
      <c r="C360" s="14" t="s">
        <v>714</v>
      </c>
      <c r="D360" s="14" t="s">
        <v>1807</v>
      </c>
      <c r="E360" s="14" t="s">
        <v>2268</v>
      </c>
      <c r="F360" s="14">
        <v>20</v>
      </c>
      <c r="G360" s="14">
        <v>2900.51</v>
      </c>
      <c r="H360" s="14">
        <v>145.03</v>
      </c>
      <c r="I360" s="14">
        <v>40</v>
      </c>
      <c r="J360" s="14">
        <v>1740.31</v>
      </c>
      <c r="K360" s="110"/>
    </row>
    <row r="361" spans="1:11" hidden="1">
      <c r="A361" s="131" t="str">
        <f t="shared" si="5"/>
        <v>Erigere_2018-07</v>
      </c>
      <c r="B361" s="14" t="s">
        <v>2078</v>
      </c>
      <c r="C361" s="14" t="s">
        <v>715</v>
      </c>
      <c r="D361" s="14" t="s">
        <v>535</v>
      </c>
      <c r="E361" s="14" t="s">
        <v>2144</v>
      </c>
      <c r="F361" s="14">
        <v>10</v>
      </c>
      <c r="G361" s="14">
        <v>998.18</v>
      </c>
      <c r="H361" s="14">
        <v>99.82</v>
      </c>
      <c r="I361" s="14">
        <v>40</v>
      </c>
      <c r="J361" s="14">
        <v>598.91</v>
      </c>
      <c r="K361" s="110"/>
    </row>
    <row r="362" spans="1:11" s="56" customFormat="1">
      <c r="A362" s="131" t="str">
        <f t="shared" si="5"/>
        <v>Erigere_2018-08</v>
      </c>
      <c r="B362" s="14" t="s">
        <v>2078</v>
      </c>
      <c r="C362" s="14" t="s">
        <v>715</v>
      </c>
      <c r="D362" s="14" t="s">
        <v>535</v>
      </c>
      <c r="E362" s="14" t="s">
        <v>2189</v>
      </c>
      <c r="F362" s="14">
        <v>10</v>
      </c>
      <c r="G362" s="14">
        <v>1057.46</v>
      </c>
      <c r="H362" s="14">
        <v>105.75</v>
      </c>
      <c r="I362" s="14">
        <v>40</v>
      </c>
      <c r="J362" s="14">
        <v>634.48</v>
      </c>
      <c r="K362" s="110"/>
    </row>
    <row r="363" spans="1:11" s="56" customFormat="1" hidden="1">
      <c r="A363" s="131" t="str">
        <f t="shared" si="5"/>
        <v>Erigere_2018-09</v>
      </c>
      <c r="B363" s="14" t="s">
        <v>2078</v>
      </c>
      <c r="C363" s="14" t="s">
        <v>715</v>
      </c>
      <c r="D363" s="14" t="s">
        <v>535</v>
      </c>
      <c r="E363" s="14" t="s">
        <v>2268</v>
      </c>
      <c r="F363" s="14">
        <v>10</v>
      </c>
      <c r="G363" s="14">
        <v>1077.98</v>
      </c>
      <c r="H363" s="14">
        <v>107.8</v>
      </c>
      <c r="I363" s="14">
        <v>40</v>
      </c>
      <c r="J363" s="14">
        <v>646.79</v>
      </c>
      <c r="K363" s="110"/>
    </row>
    <row r="364" spans="1:11" s="56" customFormat="1" hidden="1">
      <c r="A364" s="131" t="str">
        <f t="shared" si="5"/>
        <v>Erigere_2018-07</v>
      </c>
      <c r="B364" s="14" t="s">
        <v>2078</v>
      </c>
      <c r="C364" s="14" t="s">
        <v>2153</v>
      </c>
      <c r="D364" s="14" t="s">
        <v>2154</v>
      </c>
      <c r="E364" s="14" t="s">
        <v>2144</v>
      </c>
      <c r="F364" s="14">
        <v>10</v>
      </c>
      <c r="G364" s="14">
        <v>15.97</v>
      </c>
      <c r="H364" s="14">
        <v>1.6</v>
      </c>
      <c r="I364" s="14">
        <v>50</v>
      </c>
      <c r="J364" s="14">
        <v>7.99</v>
      </c>
      <c r="K364" s="110"/>
    </row>
    <row r="365" spans="1:11" s="56" customFormat="1">
      <c r="A365" s="131" t="str">
        <f t="shared" si="5"/>
        <v>Erigere_2018-08</v>
      </c>
      <c r="B365" s="14" t="s">
        <v>2078</v>
      </c>
      <c r="C365" s="14" t="s">
        <v>2153</v>
      </c>
      <c r="D365" s="14" t="s">
        <v>2154</v>
      </c>
      <c r="E365" s="14" t="s">
        <v>2189</v>
      </c>
      <c r="F365" s="14">
        <v>10</v>
      </c>
      <c r="G365" s="14">
        <v>94.03</v>
      </c>
      <c r="H365" s="14">
        <v>9.4</v>
      </c>
      <c r="I365" s="14">
        <v>50</v>
      </c>
      <c r="J365" s="14">
        <v>47.02</v>
      </c>
      <c r="K365" s="110"/>
    </row>
    <row r="366" spans="1:11" s="56" customFormat="1" hidden="1">
      <c r="A366" s="131" t="str">
        <f t="shared" si="5"/>
        <v>Erigere_2018-09</v>
      </c>
      <c r="B366" s="14" t="s">
        <v>2078</v>
      </c>
      <c r="C366" s="14" t="s">
        <v>2153</v>
      </c>
      <c r="D366" s="14" t="s">
        <v>2154</v>
      </c>
      <c r="E366" s="14" t="s">
        <v>2268</v>
      </c>
      <c r="F366" s="14">
        <v>10</v>
      </c>
      <c r="G366" s="14">
        <v>110</v>
      </c>
      <c r="H366" s="14">
        <v>11</v>
      </c>
      <c r="I366" s="14">
        <v>50</v>
      </c>
      <c r="J366" s="14">
        <v>55</v>
      </c>
      <c r="K366" s="110"/>
    </row>
    <row r="367" spans="1:11" s="56" customFormat="1" hidden="1">
      <c r="A367" s="131" t="str">
        <f t="shared" si="5"/>
        <v>Erigere_2018-09</v>
      </c>
      <c r="B367" s="14" t="s">
        <v>2078</v>
      </c>
      <c r="C367" s="14" t="s">
        <v>2291</v>
      </c>
      <c r="D367" s="14" t="s">
        <v>2292</v>
      </c>
      <c r="E367" s="14" t="s">
        <v>2268</v>
      </c>
      <c r="F367" s="14">
        <v>10</v>
      </c>
      <c r="G367" s="14">
        <v>18.670000000000002</v>
      </c>
      <c r="H367" s="14">
        <v>1.87</v>
      </c>
      <c r="I367" s="14">
        <v>50</v>
      </c>
      <c r="J367" s="14">
        <v>9.34</v>
      </c>
      <c r="K367" s="110"/>
    </row>
    <row r="368" spans="1:11" s="56" customFormat="1">
      <c r="A368" s="131" t="str">
        <f t="shared" si="5"/>
        <v>Fimare_2018-08</v>
      </c>
      <c r="B368" s="14" t="s">
        <v>2202</v>
      </c>
      <c r="C368" s="14" t="s">
        <v>2203</v>
      </c>
      <c r="D368" s="14" t="s">
        <v>535</v>
      </c>
      <c r="E368" s="14" t="s">
        <v>2189</v>
      </c>
      <c r="F368" s="14">
        <v>2.71</v>
      </c>
      <c r="G368" s="14">
        <v>92.43</v>
      </c>
      <c r="H368" s="14">
        <v>34.11</v>
      </c>
      <c r="I368" s="14">
        <v>40</v>
      </c>
      <c r="J368" s="14">
        <v>55.46</v>
      </c>
      <c r="K368" s="110"/>
    </row>
    <row r="369" spans="1:11" s="56" customFormat="1" hidden="1">
      <c r="A369" s="131" t="str">
        <f t="shared" si="5"/>
        <v>Fimare_2018-09</v>
      </c>
      <c r="B369" s="14" t="s">
        <v>2202</v>
      </c>
      <c r="C369" s="14" t="s">
        <v>2203</v>
      </c>
      <c r="D369" s="14" t="s">
        <v>535</v>
      </c>
      <c r="E369" s="14" t="s">
        <v>2268</v>
      </c>
      <c r="F369" s="14">
        <v>28</v>
      </c>
      <c r="G369" s="14">
        <v>1037.97</v>
      </c>
      <c r="H369" s="14">
        <v>37.07</v>
      </c>
      <c r="I369" s="14">
        <v>40</v>
      </c>
      <c r="J369" s="14">
        <v>622.78</v>
      </c>
      <c r="K369" s="110"/>
    </row>
    <row r="370" spans="1:11" s="56" customFormat="1" hidden="1">
      <c r="A370" s="131" t="str">
        <f t="shared" si="5"/>
        <v>Foyer Laekenois_2018-07</v>
      </c>
      <c r="B370" s="14" t="s">
        <v>1701</v>
      </c>
      <c r="C370" s="14" t="s">
        <v>2319</v>
      </c>
      <c r="D370" s="14" t="s">
        <v>535</v>
      </c>
      <c r="E370" s="14" t="s">
        <v>2144</v>
      </c>
      <c r="F370" s="14">
        <v>0</v>
      </c>
      <c r="G370" s="14">
        <v>0</v>
      </c>
      <c r="H370" s="14" t="s">
        <v>535</v>
      </c>
      <c r="I370" s="14">
        <v>40</v>
      </c>
      <c r="J370" s="14">
        <v>0</v>
      </c>
      <c r="K370" s="110"/>
    </row>
    <row r="371" spans="1:11" s="56" customFormat="1" hidden="1">
      <c r="A371" s="131" t="str">
        <f t="shared" si="5"/>
        <v>Foyer Laekenois_2018-07</v>
      </c>
      <c r="B371" s="14" t="s">
        <v>1701</v>
      </c>
      <c r="C371" s="14" t="s">
        <v>1809</v>
      </c>
      <c r="D371" s="14" t="s">
        <v>535</v>
      </c>
      <c r="E371" s="14" t="s">
        <v>2144</v>
      </c>
      <c r="F371" s="14">
        <v>10</v>
      </c>
      <c r="G371" s="14">
        <v>257.58999999999997</v>
      </c>
      <c r="H371" s="14">
        <v>25.76</v>
      </c>
      <c r="I371" s="14">
        <v>40</v>
      </c>
      <c r="J371" s="14">
        <v>154.55000000000001</v>
      </c>
      <c r="K371" s="110"/>
    </row>
    <row r="372" spans="1:11" s="56" customFormat="1">
      <c r="A372" s="131" t="str">
        <f t="shared" si="5"/>
        <v>Foyer Laekenois_2018-08</v>
      </c>
      <c r="B372" s="14" t="s">
        <v>1701</v>
      </c>
      <c r="C372" s="14" t="s">
        <v>1809</v>
      </c>
      <c r="D372" s="14" t="s">
        <v>535</v>
      </c>
      <c r="E372" s="14" t="s">
        <v>2189</v>
      </c>
      <c r="F372" s="14">
        <v>10</v>
      </c>
      <c r="G372" s="14">
        <v>91.53</v>
      </c>
      <c r="H372" s="14">
        <v>9.15</v>
      </c>
      <c r="I372" s="14">
        <v>40</v>
      </c>
      <c r="J372" s="14">
        <v>54.92</v>
      </c>
      <c r="K372" s="110"/>
    </row>
    <row r="373" spans="1:11" s="56" customFormat="1" hidden="1">
      <c r="A373" s="131" t="str">
        <f t="shared" si="5"/>
        <v>Foyer Laekenois_2018-09</v>
      </c>
      <c r="B373" s="14" t="s">
        <v>1701</v>
      </c>
      <c r="C373" s="14" t="s">
        <v>1809</v>
      </c>
      <c r="D373" s="14" t="s">
        <v>535</v>
      </c>
      <c r="E373" s="14" t="s">
        <v>2268</v>
      </c>
      <c r="F373" s="14">
        <v>10</v>
      </c>
      <c r="G373" s="14">
        <v>78.52</v>
      </c>
      <c r="H373" s="14">
        <v>7.85</v>
      </c>
      <c r="I373" s="14">
        <v>40</v>
      </c>
      <c r="J373" s="14">
        <v>47.11</v>
      </c>
      <c r="K373" s="110"/>
    </row>
    <row r="374" spans="1:11" s="56" customFormat="1" hidden="1">
      <c r="A374" s="131" t="str">
        <f t="shared" si="5"/>
        <v>Global Exploitation_2018-07</v>
      </c>
      <c r="B374" s="14" t="s">
        <v>439</v>
      </c>
      <c r="C374" s="14" t="s">
        <v>1401</v>
      </c>
      <c r="D374" s="14" t="s">
        <v>535</v>
      </c>
      <c r="E374" s="14" t="s">
        <v>2144</v>
      </c>
      <c r="F374" s="14">
        <v>10</v>
      </c>
      <c r="G374" s="14">
        <v>461.76</v>
      </c>
      <c r="H374" s="14">
        <v>46.18</v>
      </c>
      <c r="I374" s="14">
        <v>40</v>
      </c>
      <c r="J374" s="14">
        <v>277.06</v>
      </c>
      <c r="K374" s="110"/>
    </row>
    <row r="375" spans="1:11" s="56" customFormat="1">
      <c r="A375" s="131" t="str">
        <f t="shared" si="5"/>
        <v>Global Exploitation_2018-08</v>
      </c>
      <c r="B375" s="14" t="s">
        <v>439</v>
      </c>
      <c r="C375" s="14" t="s">
        <v>1401</v>
      </c>
      <c r="D375" s="14" t="s">
        <v>535</v>
      </c>
      <c r="E375" s="14" t="s">
        <v>2189</v>
      </c>
      <c r="F375" s="14">
        <v>10</v>
      </c>
      <c r="G375" s="14">
        <v>521.59</v>
      </c>
      <c r="H375" s="14">
        <v>52.16</v>
      </c>
      <c r="I375" s="14">
        <v>40</v>
      </c>
      <c r="J375" s="14">
        <v>312.95</v>
      </c>
      <c r="K375" s="110"/>
    </row>
    <row r="376" spans="1:11" hidden="1">
      <c r="A376" s="131" t="str">
        <f t="shared" si="5"/>
        <v>Global Exploitation_2018-09</v>
      </c>
      <c r="B376" s="14" t="s">
        <v>439</v>
      </c>
      <c r="C376" s="14" t="s">
        <v>1401</v>
      </c>
      <c r="D376" s="14" t="s">
        <v>535</v>
      </c>
      <c r="E376" s="14" t="s">
        <v>2268</v>
      </c>
      <c r="F376" s="14">
        <v>10</v>
      </c>
      <c r="G376" s="14">
        <v>383.75</v>
      </c>
      <c r="H376" s="14">
        <v>38.380000000000003</v>
      </c>
      <c r="I376" s="14">
        <v>40</v>
      </c>
      <c r="J376" s="14">
        <v>230.25</v>
      </c>
      <c r="K376" s="110"/>
    </row>
    <row r="377" spans="1:11" s="56" customFormat="1" hidden="1">
      <c r="A377" s="131" t="str">
        <f t="shared" si="5"/>
        <v>Global Exploitation_2018-07</v>
      </c>
      <c r="B377" s="14" t="s">
        <v>439</v>
      </c>
      <c r="C377" s="14" t="s">
        <v>716</v>
      </c>
      <c r="D377" s="14" t="s">
        <v>535</v>
      </c>
      <c r="E377" s="14" t="s">
        <v>2144</v>
      </c>
      <c r="F377" s="14">
        <v>15</v>
      </c>
      <c r="G377" s="14">
        <v>238.09</v>
      </c>
      <c r="H377" s="14">
        <v>15.87</v>
      </c>
      <c r="I377" s="14">
        <v>40</v>
      </c>
      <c r="J377" s="14">
        <v>142.85</v>
      </c>
      <c r="K377" s="110"/>
    </row>
    <row r="378" spans="1:11">
      <c r="A378" s="131" t="str">
        <f t="shared" si="5"/>
        <v>Global Exploitation_2018-08</v>
      </c>
      <c r="B378" s="14" t="s">
        <v>439</v>
      </c>
      <c r="C378" s="14" t="s">
        <v>716</v>
      </c>
      <c r="D378" s="14" t="s">
        <v>535</v>
      </c>
      <c r="E378" s="14" t="s">
        <v>2189</v>
      </c>
      <c r="F378" s="14">
        <v>15</v>
      </c>
      <c r="G378" s="14">
        <v>235.23</v>
      </c>
      <c r="H378" s="14">
        <v>15.68</v>
      </c>
      <c r="I378" s="14">
        <v>40</v>
      </c>
      <c r="J378" s="14">
        <v>141.13999999999999</v>
      </c>
      <c r="K378" s="110"/>
    </row>
    <row r="379" spans="1:11" hidden="1">
      <c r="A379" s="131" t="str">
        <f t="shared" si="5"/>
        <v>Global Exploitation_2018-09</v>
      </c>
      <c r="B379" s="14" t="s">
        <v>439</v>
      </c>
      <c r="C379" s="14" t="s">
        <v>716</v>
      </c>
      <c r="D379" s="14" t="s">
        <v>535</v>
      </c>
      <c r="E379" s="14" t="s">
        <v>2268</v>
      </c>
      <c r="F379" s="14">
        <v>15</v>
      </c>
      <c r="G379" s="14">
        <v>203.01</v>
      </c>
      <c r="H379" s="14">
        <v>13.53</v>
      </c>
      <c r="I379" s="14">
        <v>40</v>
      </c>
      <c r="J379" s="14">
        <v>121.81</v>
      </c>
      <c r="K379" s="110"/>
    </row>
    <row r="380" spans="1:11" hidden="1">
      <c r="A380" s="131" t="str">
        <f t="shared" si="5"/>
        <v>Global Exploitation_2018-07</v>
      </c>
      <c r="B380" s="14" t="s">
        <v>439</v>
      </c>
      <c r="C380" s="14" t="s">
        <v>717</v>
      </c>
      <c r="D380" s="14" t="s">
        <v>535</v>
      </c>
      <c r="E380" s="14" t="s">
        <v>2144</v>
      </c>
      <c r="F380" s="14">
        <v>5</v>
      </c>
      <c r="G380" s="14">
        <v>390.87</v>
      </c>
      <c r="H380" s="14">
        <v>78.17</v>
      </c>
      <c r="I380" s="14">
        <v>40</v>
      </c>
      <c r="J380" s="14">
        <v>234.52</v>
      </c>
      <c r="K380" s="110"/>
    </row>
    <row r="381" spans="1:11">
      <c r="A381" s="131" t="str">
        <f t="shared" si="5"/>
        <v>Global Exploitation_2018-08</v>
      </c>
      <c r="B381" s="14" t="s">
        <v>439</v>
      </c>
      <c r="C381" s="14" t="s">
        <v>717</v>
      </c>
      <c r="D381" s="14" t="s">
        <v>535</v>
      </c>
      <c r="E381" s="14" t="s">
        <v>2189</v>
      </c>
      <c r="F381" s="14">
        <v>5</v>
      </c>
      <c r="G381" s="14">
        <v>214.65</v>
      </c>
      <c r="H381" s="14">
        <v>42.93</v>
      </c>
      <c r="I381" s="14">
        <v>40</v>
      </c>
      <c r="J381" s="14">
        <v>128.79</v>
      </c>
      <c r="K381" s="110"/>
    </row>
    <row r="382" spans="1:11" hidden="1">
      <c r="A382" s="131" t="str">
        <f t="shared" si="5"/>
        <v>Global Exploitation_2018-09</v>
      </c>
      <c r="B382" s="14" t="s">
        <v>439</v>
      </c>
      <c r="C382" s="14" t="s">
        <v>717</v>
      </c>
      <c r="D382" s="14" t="s">
        <v>535</v>
      </c>
      <c r="E382" s="14" t="s">
        <v>2268</v>
      </c>
      <c r="F382" s="14">
        <v>5</v>
      </c>
      <c r="G382" s="14">
        <v>383.17</v>
      </c>
      <c r="H382" s="14">
        <v>76.63</v>
      </c>
      <c r="I382" s="14">
        <v>40</v>
      </c>
      <c r="J382" s="14">
        <v>229.9</v>
      </c>
      <c r="K382" s="110"/>
    </row>
    <row r="383" spans="1:11" hidden="1">
      <c r="A383" s="131" t="str">
        <f t="shared" si="5"/>
        <v>Global Exploitation_2018-07</v>
      </c>
      <c r="B383" s="14" t="s">
        <v>439</v>
      </c>
      <c r="C383" s="14" t="s">
        <v>1179</v>
      </c>
      <c r="D383" s="14" t="s">
        <v>535</v>
      </c>
      <c r="E383" s="14" t="s">
        <v>2144</v>
      </c>
      <c r="F383" s="14">
        <v>23</v>
      </c>
      <c r="G383" s="14">
        <v>68.349999999999994</v>
      </c>
      <c r="H383" s="14">
        <v>2.97</v>
      </c>
      <c r="I383" s="14">
        <v>40</v>
      </c>
      <c r="J383" s="14">
        <v>41.01</v>
      </c>
      <c r="K383" s="110"/>
    </row>
    <row r="384" spans="1:11">
      <c r="A384" s="131" t="str">
        <f t="shared" si="5"/>
        <v>Global Exploitation_2018-08</v>
      </c>
      <c r="B384" s="14" t="s">
        <v>439</v>
      </c>
      <c r="C384" s="14" t="s">
        <v>1179</v>
      </c>
      <c r="D384" s="14" t="s">
        <v>535</v>
      </c>
      <c r="E384" s="14" t="s">
        <v>2189</v>
      </c>
      <c r="F384" s="14">
        <v>23</v>
      </c>
      <c r="G384" s="14">
        <v>94.25</v>
      </c>
      <c r="H384" s="14">
        <v>4.0999999999999996</v>
      </c>
      <c r="I384" s="14">
        <v>40</v>
      </c>
      <c r="J384" s="14">
        <v>56.55</v>
      </c>
      <c r="K384" s="110"/>
    </row>
    <row r="385" spans="1:12" hidden="1">
      <c r="A385" s="131" t="str">
        <f t="shared" si="5"/>
        <v>Global Exploitation_2018-09</v>
      </c>
      <c r="B385" s="14" t="s">
        <v>439</v>
      </c>
      <c r="C385" s="14" t="s">
        <v>1179</v>
      </c>
      <c r="D385" s="14" t="s">
        <v>535</v>
      </c>
      <c r="E385" s="14" t="s">
        <v>2268</v>
      </c>
      <c r="F385" s="14">
        <v>23</v>
      </c>
      <c r="G385" s="14">
        <v>47.97</v>
      </c>
      <c r="H385" s="14">
        <v>2.09</v>
      </c>
      <c r="I385" s="14">
        <v>40</v>
      </c>
      <c r="J385" s="14">
        <v>28.78</v>
      </c>
      <c r="K385" s="110"/>
    </row>
    <row r="386" spans="1:12" hidden="1">
      <c r="A386" s="131" t="str">
        <f t="shared" si="5"/>
        <v>Global Exploitation_2018-07</v>
      </c>
      <c r="B386" s="14" t="s">
        <v>439</v>
      </c>
      <c r="C386" s="14" t="s">
        <v>1180</v>
      </c>
      <c r="D386" s="14" t="s">
        <v>535</v>
      </c>
      <c r="E386" s="14" t="s">
        <v>2144</v>
      </c>
      <c r="F386" s="14">
        <v>12</v>
      </c>
      <c r="G386" s="14">
        <v>37.5</v>
      </c>
      <c r="H386" s="14">
        <v>3.13</v>
      </c>
      <c r="I386" s="14">
        <v>40</v>
      </c>
      <c r="J386" s="14">
        <v>22.5</v>
      </c>
      <c r="K386" s="110"/>
    </row>
    <row r="387" spans="1:12">
      <c r="A387" s="131" t="str">
        <f t="shared" si="5"/>
        <v>Global Exploitation_2018-08</v>
      </c>
      <c r="B387" s="14" t="s">
        <v>439</v>
      </c>
      <c r="C387" s="14" t="s">
        <v>1180</v>
      </c>
      <c r="D387" s="14" t="s">
        <v>535</v>
      </c>
      <c r="E387" s="14" t="s">
        <v>2189</v>
      </c>
      <c r="F387" s="14">
        <v>12</v>
      </c>
      <c r="G387" s="14">
        <v>1.89</v>
      </c>
      <c r="H387" s="14">
        <v>0.16</v>
      </c>
      <c r="I387" s="14">
        <v>40</v>
      </c>
      <c r="J387" s="14">
        <v>1.1299999999999999</v>
      </c>
      <c r="K387" s="110"/>
      <c r="L387" s="56"/>
    </row>
    <row r="388" spans="1:12" hidden="1">
      <c r="A388" s="131" t="str">
        <f t="shared" si="5"/>
        <v>Grand Garage de Clignancourt_2018-07</v>
      </c>
      <c r="B388" s="14" t="s">
        <v>230</v>
      </c>
      <c r="C388" s="14" t="s">
        <v>718</v>
      </c>
      <c r="D388" s="14" t="s">
        <v>535</v>
      </c>
      <c r="E388" s="14" t="s">
        <v>2144</v>
      </c>
      <c r="F388" s="14">
        <v>45</v>
      </c>
      <c r="G388" s="14">
        <v>1397.32</v>
      </c>
      <c r="H388" s="14">
        <v>31.05</v>
      </c>
      <c r="I388" s="14">
        <v>25</v>
      </c>
      <c r="J388" s="14">
        <v>1047.99</v>
      </c>
      <c r="K388" s="110"/>
    </row>
    <row r="389" spans="1:12">
      <c r="A389" s="131" t="str">
        <f t="shared" si="5"/>
        <v>Grand Garage de Clignancourt_2018-08</v>
      </c>
      <c r="B389" s="14" t="s">
        <v>230</v>
      </c>
      <c r="C389" s="14" t="s">
        <v>718</v>
      </c>
      <c r="D389" s="14" t="s">
        <v>535</v>
      </c>
      <c r="E389" s="14" t="s">
        <v>2189</v>
      </c>
      <c r="F389" s="14">
        <v>45</v>
      </c>
      <c r="G389" s="14">
        <v>1202.3900000000001</v>
      </c>
      <c r="H389" s="14">
        <v>26.72</v>
      </c>
      <c r="I389" s="14">
        <v>25</v>
      </c>
      <c r="J389" s="14">
        <v>901.79</v>
      </c>
      <c r="K389" s="110"/>
    </row>
    <row r="390" spans="1:12" hidden="1">
      <c r="A390" s="131" t="str">
        <f t="shared" ref="A390:A453" si="6">CONCATENATE(B390,"_",E390)</f>
        <v>Grand Garage de Clignancourt_2018-09</v>
      </c>
      <c r="B390" s="14" t="s">
        <v>230</v>
      </c>
      <c r="C390" s="14" t="s">
        <v>718</v>
      </c>
      <c r="D390" s="14" t="s">
        <v>535</v>
      </c>
      <c r="E390" s="14" t="s">
        <v>2268</v>
      </c>
      <c r="F390" s="14">
        <v>45</v>
      </c>
      <c r="G390" s="14">
        <v>1373.2</v>
      </c>
      <c r="H390" s="14">
        <v>30.52</v>
      </c>
      <c r="I390" s="14">
        <v>25</v>
      </c>
      <c r="J390" s="14">
        <v>1029.9000000000001</v>
      </c>
      <c r="K390" s="110"/>
    </row>
    <row r="391" spans="1:12" hidden="1">
      <c r="A391" s="131" t="str">
        <f t="shared" si="6"/>
        <v>Grand Lyon Habitat_2018-07</v>
      </c>
      <c r="B391" s="14" t="s">
        <v>1402</v>
      </c>
      <c r="C391" s="14" t="s">
        <v>1892</v>
      </c>
      <c r="D391" s="14" t="s">
        <v>535</v>
      </c>
      <c r="E391" s="14" t="s">
        <v>2144</v>
      </c>
      <c r="F391" s="14">
        <v>6</v>
      </c>
      <c r="G391" s="14">
        <v>6.6</v>
      </c>
      <c r="H391" s="14">
        <v>1.1000000000000001</v>
      </c>
      <c r="I391" s="14">
        <v>40</v>
      </c>
      <c r="J391" s="14">
        <v>3.96</v>
      </c>
      <c r="K391" s="110"/>
    </row>
    <row r="392" spans="1:12">
      <c r="A392" s="131" t="str">
        <f t="shared" si="6"/>
        <v>Grand Lyon Habitat_2018-08</v>
      </c>
      <c r="B392" s="14" t="s">
        <v>1402</v>
      </c>
      <c r="C392" s="14" t="s">
        <v>1892</v>
      </c>
      <c r="D392" s="14" t="s">
        <v>535</v>
      </c>
      <c r="E392" s="14" t="s">
        <v>2189</v>
      </c>
      <c r="F392" s="14">
        <v>6</v>
      </c>
      <c r="G392" s="14">
        <v>3.23</v>
      </c>
      <c r="H392" s="14">
        <v>0.54</v>
      </c>
      <c r="I392" s="14">
        <v>40</v>
      </c>
      <c r="J392" s="14">
        <v>1.94</v>
      </c>
      <c r="K392" s="110"/>
    </row>
    <row r="393" spans="1:12" hidden="1">
      <c r="A393" s="131" t="str">
        <f t="shared" si="6"/>
        <v>Grand Lyon Habitat_2018-09</v>
      </c>
      <c r="B393" s="14" t="s">
        <v>1402</v>
      </c>
      <c r="C393" s="14" t="s">
        <v>1892</v>
      </c>
      <c r="D393" s="14" t="s">
        <v>535</v>
      </c>
      <c r="E393" s="14" t="s">
        <v>2268</v>
      </c>
      <c r="F393" s="14">
        <v>6</v>
      </c>
      <c r="G393" s="14">
        <v>54.04</v>
      </c>
      <c r="H393" s="14">
        <v>9.01</v>
      </c>
      <c r="I393" s="14">
        <v>40</v>
      </c>
      <c r="J393" s="14">
        <v>32.42</v>
      </c>
      <c r="K393" s="110"/>
    </row>
    <row r="394" spans="1:12" hidden="1">
      <c r="A394" s="131" t="str">
        <f t="shared" si="6"/>
        <v>Grand Lyon Habitat_2018-07</v>
      </c>
      <c r="B394" s="14" t="s">
        <v>1402</v>
      </c>
      <c r="C394" s="14" t="s">
        <v>1810</v>
      </c>
      <c r="D394" s="14" t="s">
        <v>535</v>
      </c>
      <c r="E394" s="14" t="s">
        <v>2144</v>
      </c>
      <c r="F394" s="14">
        <v>8</v>
      </c>
      <c r="G394" s="14">
        <v>373.37</v>
      </c>
      <c r="H394" s="14">
        <v>46.67</v>
      </c>
      <c r="I394" s="14">
        <v>40</v>
      </c>
      <c r="J394" s="14">
        <v>224.02</v>
      </c>
      <c r="K394" s="110"/>
    </row>
    <row r="395" spans="1:12">
      <c r="A395" s="131" t="str">
        <f t="shared" si="6"/>
        <v>Grand Lyon Habitat_2018-08</v>
      </c>
      <c r="B395" s="14" t="s">
        <v>1402</v>
      </c>
      <c r="C395" s="14" t="s">
        <v>1810</v>
      </c>
      <c r="D395" s="14" t="s">
        <v>535</v>
      </c>
      <c r="E395" s="14" t="s">
        <v>2189</v>
      </c>
      <c r="F395" s="14">
        <v>8</v>
      </c>
      <c r="G395" s="14">
        <v>293.68</v>
      </c>
      <c r="H395" s="14">
        <v>36.71</v>
      </c>
      <c r="I395" s="14">
        <v>40</v>
      </c>
      <c r="J395" s="14">
        <v>176.21</v>
      </c>
      <c r="K395" s="110"/>
    </row>
    <row r="396" spans="1:12" hidden="1">
      <c r="A396" s="131" t="str">
        <f t="shared" si="6"/>
        <v>Grand Lyon Habitat_2018-09</v>
      </c>
      <c r="B396" s="14" t="s">
        <v>1402</v>
      </c>
      <c r="C396" s="14" t="s">
        <v>1810</v>
      </c>
      <c r="D396" s="14" t="s">
        <v>535</v>
      </c>
      <c r="E396" s="14" t="s">
        <v>2268</v>
      </c>
      <c r="F396" s="14">
        <v>8</v>
      </c>
      <c r="G396" s="14">
        <v>624.26</v>
      </c>
      <c r="H396" s="14">
        <v>78.03</v>
      </c>
      <c r="I396" s="14">
        <v>40</v>
      </c>
      <c r="J396" s="14">
        <v>374.56</v>
      </c>
      <c r="K396" s="110"/>
    </row>
    <row r="397" spans="1:12" hidden="1">
      <c r="A397" s="131" t="str">
        <f t="shared" si="6"/>
        <v>Grand Lyon Habitat_2018-07</v>
      </c>
      <c r="B397" s="14" t="s">
        <v>1402</v>
      </c>
      <c r="C397" s="14" t="s">
        <v>1403</v>
      </c>
      <c r="D397" s="14" t="s">
        <v>535</v>
      </c>
      <c r="E397" s="14" t="s">
        <v>2144</v>
      </c>
      <c r="F397" s="14">
        <v>20</v>
      </c>
      <c r="G397" s="14">
        <v>1940.69</v>
      </c>
      <c r="H397" s="14">
        <v>97.03</v>
      </c>
      <c r="I397" s="14">
        <v>40</v>
      </c>
      <c r="J397" s="14">
        <v>1164.4100000000001</v>
      </c>
      <c r="K397" s="110"/>
    </row>
    <row r="398" spans="1:12">
      <c r="A398" s="131" t="str">
        <f t="shared" si="6"/>
        <v>Grand Lyon Habitat_2018-08</v>
      </c>
      <c r="B398" s="14" t="s">
        <v>1402</v>
      </c>
      <c r="C398" s="14" t="s">
        <v>1403</v>
      </c>
      <c r="D398" s="14" t="s">
        <v>535</v>
      </c>
      <c r="E398" s="14" t="s">
        <v>2189</v>
      </c>
      <c r="F398" s="14">
        <v>20</v>
      </c>
      <c r="G398" s="14">
        <v>1316.79</v>
      </c>
      <c r="H398" s="14">
        <v>65.84</v>
      </c>
      <c r="I398" s="14">
        <v>40</v>
      </c>
      <c r="J398" s="14">
        <v>790.07</v>
      </c>
      <c r="K398" s="110"/>
    </row>
    <row r="399" spans="1:12" hidden="1">
      <c r="A399" s="131" t="str">
        <f t="shared" si="6"/>
        <v>Grand Lyon Habitat_2018-09</v>
      </c>
      <c r="B399" s="14" t="s">
        <v>1402</v>
      </c>
      <c r="C399" s="14" t="s">
        <v>1403</v>
      </c>
      <c r="D399" s="14" t="s">
        <v>535</v>
      </c>
      <c r="E399" s="14" t="s">
        <v>2268</v>
      </c>
      <c r="F399" s="14">
        <v>20</v>
      </c>
      <c r="G399" s="14">
        <v>2133.09</v>
      </c>
      <c r="H399" s="14">
        <v>106.65</v>
      </c>
      <c r="I399" s="14">
        <v>40</v>
      </c>
      <c r="J399" s="14">
        <v>1279.8499999999999</v>
      </c>
      <c r="K399" s="110"/>
    </row>
    <row r="400" spans="1:12" hidden="1">
      <c r="A400" s="131" t="str">
        <f t="shared" si="6"/>
        <v>Grand Lyon Habitat_2018-07</v>
      </c>
      <c r="B400" s="14" t="s">
        <v>1402</v>
      </c>
      <c r="C400" s="14" t="s">
        <v>1811</v>
      </c>
      <c r="D400" s="14" t="s">
        <v>535</v>
      </c>
      <c r="E400" s="14" t="s">
        <v>2144</v>
      </c>
      <c r="F400" s="14">
        <v>4</v>
      </c>
      <c r="G400" s="14">
        <v>123.36</v>
      </c>
      <c r="H400" s="14">
        <v>30.84</v>
      </c>
      <c r="I400" s="14">
        <v>40</v>
      </c>
      <c r="J400" s="14">
        <v>74.02</v>
      </c>
      <c r="K400" s="110"/>
    </row>
    <row r="401" spans="1:11">
      <c r="A401" s="131" t="str">
        <f t="shared" si="6"/>
        <v>Grand Lyon Habitat_2018-08</v>
      </c>
      <c r="B401" s="14" t="s">
        <v>1402</v>
      </c>
      <c r="C401" s="14" t="s">
        <v>1811</v>
      </c>
      <c r="D401" s="14" t="s">
        <v>535</v>
      </c>
      <c r="E401" s="14" t="s">
        <v>2189</v>
      </c>
      <c r="F401" s="14">
        <v>4</v>
      </c>
      <c r="G401" s="14">
        <v>105</v>
      </c>
      <c r="H401" s="14">
        <v>26.25</v>
      </c>
      <c r="I401" s="14">
        <v>40</v>
      </c>
      <c r="J401" s="14">
        <v>63</v>
      </c>
      <c r="K401" s="110"/>
    </row>
    <row r="402" spans="1:11" hidden="1">
      <c r="A402" s="131" t="str">
        <f t="shared" si="6"/>
        <v>Grand Lyon Habitat_2018-09</v>
      </c>
      <c r="B402" s="14" t="s">
        <v>1402</v>
      </c>
      <c r="C402" s="14" t="s">
        <v>1811</v>
      </c>
      <c r="D402" s="14" t="s">
        <v>535</v>
      </c>
      <c r="E402" s="14" t="s">
        <v>2268</v>
      </c>
      <c r="F402" s="14">
        <v>4</v>
      </c>
      <c r="G402" s="14">
        <v>76.5</v>
      </c>
      <c r="H402" s="14">
        <v>19.13</v>
      </c>
      <c r="I402" s="14">
        <v>40</v>
      </c>
      <c r="J402" s="14">
        <v>45.9</v>
      </c>
      <c r="K402" s="110"/>
    </row>
    <row r="403" spans="1:11" hidden="1">
      <c r="A403" s="131" t="str">
        <f t="shared" si="6"/>
        <v>Grand Lyon Habitat_2018-07</v>
      </c>
      <c r="B403" s="14" t="s">
        <v>1402</v>
      </c>
      <c r="C403" s="14" t="s">
        <v>1612</v>
      </c>
      <c r="D403" s="14" t="s">
        <v>535</v>
      </c>
      <c r="E403" s="14" t="s">
        <v>2144</v>
      </c>
      <c r="F403" s="14">
        <v>9</v>
      </c>
      <c r="G403" s="14">
        <v>1007.29</v>
      </c>
      <c r="H403" s="14">
        <v>111.92</v>
      </c>
      <c r="I403" s="14">
        <v>40</v>
      </c>
      <c r="J403" s="14">
        <v>604.37</v>
      </c>
      <c r="K403" s="110"/>
    </row>
    <row r="404" spans="1:11">
      <c r="A404" s="131" t="str">
        <f t="shared" si="6"/>
        <v>Grand Lyon Habitat_2018-08</v>
      </c>
      <c r="B404" s="14" t="s">
        <v>1402</v>
      </c>
      <c r="C404" s="14" t="s">
        <v>1612</v>
      </c>
      <c r="D404" s="14" t="s">
        <v>535</v>
      </c>
      <c r="E404" s="14" t="s">
        <v>2189</v>
      </c>
      <c r="F404" s="14">
        <v>9</v>
      </c>
      <c r="G404" s="14">
        <v>1015.1</v>
      </c>
      <c r="H404" s="14">
        <v>112.79</v>
      </c>
      <c r="I404" s="14">
        <v>40</v>
      </c>
      <c r="J404" s="14">
        <v>609.05999999999995</v>
      </c>
      <c r="K404" s="110"/>
    </row>
    <row r="405" spans="1:11" hidden="1">
      <c r="A405" s="131" t="str">
        <f t="shared" si="6"/>
        <v>Grand Lyon Habitat_2018-09</v>
      </c>
      <c r="B405" s="14" t="s">
        <v>1402</v>
      </c>
      <c r="C405" s="14" t="s">
        <v>1612</v>
      </c>
      <c r="D405" s="14" t="s">
        <v>535</v>
      </c>
      <c r="E405" s="14" t="s">
        <v>2268</v>
      </c>
      <c r="F405" s="14">
        <v>9</v>
      </c>
      <c r="G405" s="14">
        <v>1146.19</v>
      </c>
      <c r="H405" s="14">
        <v>127.35</v>
      </c>
      <c r="I405" s="14">
        <v>40</v>
      </c>
      <c r="J405" s="14">
        <v>687.71</v>
      </c>
      <c r="K405" s="110"/>
    </row>
    <row r="406" spans="1:11" hidden="1">
      <c r="A406" s="131" t="str">
        <f t="shared" si="6"/>
        <v>Grand Lyon Habitat_2018-07</v>
      </c>
      <c r="B406" s="14" t="s">
        <v>1402</v>
      </c>
      <c r="C406" s="14" t="s">
        <v>1522</v>
      </c>
      <c r="D406" s="14" t="s">
        <v>535</v>
      </c>
      <c r="E406" s="14" t="s">
        <v>2144</v>
      </c>
      <c r="F406" s="14">
        <v>11</v>
      </c>
      <c r="G406" s="14">
        <v>427.95</v>
      </c>
      <c r="H406" s="14">
        <v>38.9</v>
      </c>
      <c r="I406" s="14">
        <v>40</v>
      </c>
      <c r="J406" s="14">
        <v>256.77</v>
      </c>
      <c r="K406" s="110"/>
    </row>
    <row r="407" spans="1:11">
      <c r="A407" s="131" t="str">
        <f t="shared" si="6"/>
        <v>Grand Lyon Habitat_2018-08</v>
      </c>
      <c r="B407" s="14" t="s">
        <v>1402</v>
      </c>
      <c r="C407" s="14" t="s">
        <v>1522</v>
      </c>
      <c r="D407" s="14" t="s">
        <v>535</v>
      </c>
      <c r="E407" s="14" t="s">
        <v>2189</v>
      </c>
      <c r="F407" s="14">
        <v>11</v>
      </c>
      <c r="G407" s="14">
        <v>322.18</v>
      </c>
      <c r="H407" s="14">
        <v>29.29</v>
      </c>
      <c r="I407" s="14">
        <v>40</v>
      </c>
      <c r="J407" s="14">
        <v>193.31</v>
      </c>
      <c r="K407" s="110"/>
    </row>
    <row r="408" spans="1:11" hidden="1">
      <c r="A408" s="131" t="str">
        <f t="shared" si="6"/>
        <v>Grand Lyon Habitat_2018-09</v>
      </c>
      <c r="B408" s="14" t="s">
        <v>1402</v>
      </c>
      <c r="C408" s="14" t="s">
        <v>1522</v>
      </c>
      <c r="D408" s="14" t="s">
        <v>535</v>
      </c>
      <c r="E408" s="14" t="s">
        <v>2268</v>
      </c>
      <c r="F408" s="14">
        <v>11</v>
      </c>
      <c r="G408" s="14">
        <v>372.15</v>
      </c>
      <c r="H408" s="14">
        <v>33.83</v>
      </c>
      <c r="I408" s="14">
        <v>40</v>
      </c>
      <c r="J408" s="14">
        <v>223.29</v>
      </c>
      <c r="K408" s="110"/>
    </row>
    <row r="409" spans="1:11" hidden="1">
      <c r="A409" s="131" t="str">
        <f t="shared" si="6"/>
        <v>Grand Lyon Habitat_2018-07</v>
      </c>
      <c r="B409" s="14" t="s">
        <v>1402</v>
      </c>
      <c r="C409" s="14" t="s">
        <v>1523</v>
      </c>
      <c r="D409" s="14" t="s">
        <v>535</v>
      </c>
      <c r="E409" s="14" t="s">
        <v>2144</v>
      </c>
      <c r="F409" s="14">
        <v>0</v>
      </c>
      <c r="G409" s="14">
        <v>371.8</v>
      </c>
      <c r="H409" s="14" t="s">
        <v>535</v>
      </c>
      <c r="I409" s="14">
        <v>40</v>
      </c>
      <c r="J409" s="14">
        <v>223.08</v>
      </c>
      <c r="K409" s="110"/>
    </row>
    <row r="410" spans="1:11">
      <c r="A410" s="131" t="str">
        <f t="shared" si="6"/>
        <v>Grand Lyon Habitat_2018-08</v>
      </c>
      <c r="B410" s="14" t="s">
        <v>1402</v>
      </c>
      <c r="C410" s="14" t="s">
        <v>1523</v>
      </c>
      <c r="D410" s="14" t="s">
        <v>535</v>
      </c>
      <c r="E410" s="14" t="s">
        <v>2189</v>
      </c>
      <c r="F410" s="14">
        <v>0</v>
      </c>
      <c r="G410" s="14">
        <v>45</v>
      </c>
      <c r="H410" s="14" t="s">
        <v>535</v>
      </c>
      <c r="I410" s="14">
        <v>40</v>
      </c>
      <c r="J410" s="14">
        <v>27</v>
      </c>
      <c r="K410" s="110"/>
    </row>
    <row r="411" spans="1:11" hidden="1">
      <c r="A411" s="131" t="str">
        <f t="shared" si="6"/>
        <v>Grand Lyon Habitat_2018-09</v>
      </c>
      <c r="B411" s="14" t="s">
        <v>1402</v>
      </c>
      <c r="C411" s="14" t="s">
        <v>1523</v>
      </c>
      <c r="D411" s="14" t="s">
        <v>535</v>
      </c>
      <c r="E411" s="14" t="s">
        <v>2268</v>
      </c>
      <c r="F411" s="14">
        <v>0</v>
      </c>
      <c r="G411" s="14">
        <v>300</v>
      </c>
      <c r="H411" s="14" t="s">
        <v>535</v>
      </c>
      <c r="I411" s="14">
        <v>40</v>
      </c>
      <c r="J411" s="14">
        <v>180</v>
      </c>
      <c r="K411" s="110"/>
    </row>
    <row r="412" spans="1:11" hidden="1">
      <c r="A412" s="131" t="str">
        <f t="shared" si="6"/>
        <v>Grand Lyon Habitat_2018-07</v>
      </c>
      <c r="B412" s="14" t="s">
        <v>1402</v>
      </c>
      <c r="C412" s="14" t="s">
        <v>1812</v>
      </c>
      <c r="D412" s="14" t="s">
        <v>535</v>
      </c>
      <c r="E412" s="14" t="s">
        <v>2144</v>
      </c>
      <c r="F412" s="14">
        <v>17</v>
      </c>
      <c r="G412" s="14">
        <v>168.27</v>
      </c>
      <c r="H412" s="14">
        <v>9.9</v>
      </c>
      <c r="I412" s="14">
        <v>40</v>
      </c>
      <c r="J412" s="14">
        <v>100.96</v>
      </c>
      <c r="K412" s="110"/>
    </row>
    <row r="413" spans="1:11">
      <c r="A413" s="131" t="str">
        <f t="shared" si="6"/>
        <v>Grand Lyon Habitat_2018-08</v>
      </c>
      <c r="B413" s="14" t="s">
        <v>1402</v>
      </c>
      <c r="C413" s="14" t="s">
        <v>1812</v>
      </c>
      <c r="D413" s="14" t="s">
        <v>535</v>
      </c>
      <c r="E413" s="14" t="s">
        <v>2189</v>
      </c>
      <c r="F413" s="14">
        <v>17</v>
      </c>
      <c r="G413" s="14">
        <v>229</v>
      </c>
      <c r="H413" s="14">
        <v>13.47</v>
      </c>
      <c r="I413" s="14">
        <v>40</v>
      </c>
      <c r="J413" s="14">
        <v>137.4</v>
      </c>
      <c r="K413" s="110"/>
    </row>
    <row r="414" spans="1:11" hidden="1">
      <c r="A414" s="131" t="str">
        <f t="shared" si="6"/>
        <v>Grand Lyon Habitat_2018-09</v>
      </c>
      <c r="B414" s="14" t="s">
        <v>1402</v>
      </c>
      <c r="C414" s="14" t="s">
        <v>1812</v>
      </c>
      <c r="D414" s="14" t="s">
        <v>535</v>
      </c>
      <c r="E414" s="14" t="s">
        <v>2268</v>
      </c>
      <c r="F414" s="14">
        <v>17</v>
      </c>
      <c r="G414" s="14">
        <v>194.03</v>
      </c>
      <c r="H414" s="14">
        <v>11.41</v>
      </c>
      <c r="I414" s="14">
        <v>40</v>
      </c>
      <c r="J414" s="14">
        <v>116.42</v>
      </c>
      <c r="K414" s="110"/>
    </row>
    <row r="415" spans="1:11" hidden="1">
      <c r="A415" s="131" t="str">
        <f t="shared" si="6"/>
        <v>Grand Lyon Habitat_2018-07</v>
      </c>
      <c r="B415" s="14" t="s">
        <v>1402</v>
      </c>
      <c r="C415" s="14" t="s">
        <v>1524</v>
      </c>
      <c r="D415" s="14" t="s">
        <v>535</v>
      </c>
      <c r="E415" s="14" t="s">
        <v>2144</v>
      </c>
      <c r="F415" s="14">
        <v>8</v>
      </c>
      <c r="G415" s="14">
        <v>429.82</v>
      </c>
      <c r="H415" s="14">
        <v>53.73</v>
      </c>
      <c r="I415" s="14">
        <v>40</v>
      </c>
      <c r="J415" s="14">
        <v>257.89</v>
      </c>
      <c r="K415" s="110"/>
    </row>
    <row r="416" spans="1:11">
      <c r="A416" s="131" t="str">
        <f t="shared" si="6"/>
        <v>Grand Lyon Habitat_2018-08</v>
      </c>
      <c r="B416" s="14" t="s">
        <v>1402</v>
      </c>
      <c r="C416" s="14" t="s">
        <v>1524</v>
      </c>
      <c r="D416" s="14" t="s">
        <v>535</v>
      </c>
      <c r="E416" s="14" t="s">
        <v>2189</v>
      </c>
      <c r="F416" s="14">
        <v>8</v>
      </c>
      <c r="G416" s="14">
        <v>371.9</v>
      </c>
      <c r="H416" s="14">
        <v>46.49</v>
      </c>
      <c r="I416" s="14">
        <v>40</v>
      </c>
      <c r="J416" s="14">
        <v>223.14</v>
      </c>
      <c r="K416" s="110"/>
    </row>
    <row r="417" spans="1:11" hidden="1">
      <c r="A417" s="131" t="str">
        <f t="shared" si="6"/>
        <v>Grand Lyon Habitat_2018-09</v>
      </c>
      <c r="B417" s="14" t="s">
        <v>1402</v>
      </c>
      <c r="C417" s="14" t="s">
        <v>1524</v>
      </c>
      <c r="D417" s="14" t="s">
        <v>535</v>
      </c>
      <c r="E417" s="14" t="s">
        <v>2268</v>
      </c>
      <c r="F417" s="14">
        <v>8</v>
      </c>
      <c r="G417" s="14">
        <v>539.05999999999995</v>
      </c>
      <c r="H417" s="14">
        <v>67.38</v>
      </c>
      <c r="I417" s="14">
        <v>40</v>
      </c>
      <c r="J417" s="14">
        <v>323.44</v>
      </c>
      <c r="K417" s="110"/>
    </row>
    <row r="418" spans="1:11" hidden="1">
      <c r="A418" s="131" t="str">
        <f t="shared" si="6"/>
        <v>Grand Lyon Habitat_2018-07</v>
      </c>
      <c r="B418" s="14" t="s">
        <v>1402</v>
      </c>
      <c r="C418" s="14" t="s">
        <v>1613</v>
      </c>
      <c r="D418" s="14" t="s">
        <v>535</v>
      </c>
      <c r="E418" s="14" t="s">
        <v>2144</v>
      </c>
      <c r="F418" s="14">
        <v>5</v>
      </c>
      <c r="G418" s="14">
        <v>268.95999999999998</v>
      </c>
      <c r="H418" s="14">
        <v>53.79</v>
      </c>
      <c r="I418" s="14">
        <v>40</v>
      </c>
      <c r="J418" s="14">
        <v>161.38</v>
      </c>
      <c r="K418" s="110"/>
    </row>
    <row r="419" spans="1:11">
      <c r="A419" s="131" t="str">
        <f t="shared" si="6"/>
        <v>Grand Lyon Habitat_2018-08</v>
      </c>
      <c r="B419" s="14" t="s">
        <v>1402</v>
      </c>
      <c r="C419" s="14" t="s">
        <v>1613</v>
      </c>
      <c r="D419" s="14" t="s">
        <v>535</v>
      </c>
      <c r="E419" s="14" t="s">
        <v>2189</v>
      </c>
      <c r="F419" s="14">
        <v>5</v>
      </c>
      <c r="G419" s="14">
        <v>189.21</v>
      </c>
      <c r="H419" s="14">
        <v>37.840000000000003</v>
      </c>
      <c r="I419" s="14">
        <v>40</v>
      </c>
      <c r="J419" s="14">
        <v>113.53</v>
      </c>
      <c r="K419" s="110"/>
    </row>
    <row r="420" spans="1:11" hidden="1">
      <c r="A420" s="131" t="str">
        <f t="shared" si="6"/>
        <v>Grand Lyon Habitat_2018-09</v>
      </c>
      <c r="B420" s="14" t="s">
        <v>1402</v>
      </c>
      <c r="C420" s="14" t="s">
        <v>1613</v>
      </c>
      <c r="D420" s="14" t="s">
        <v>535</v>
      </c>
      <c r="E420" s="14" t="s">
        <v>2268</v>
      </c>
      <c r="F420" s="14">
        <v>5</v>
      </c>
      <c r="G420" s="14">
        <v>351.66</v>
      </c>
      <c r="H420" s="14">
        <v>70.33</v>
      </c>
      <c r="I420" s="14">
        <v>40</v>
      </c>
      <c r="J420" s="14">
        <v>211</v>
      </c>
      <c r="K420" s="110"/>
    </row>
    <row r="421" spans="1:11" hidden="1">
      <c r="A421" s="131" t="str">
        <f t="shared" si="6"/>
        <v>Grand Lyon Habitat_2018-07</v>
      </c>
      <c r="B421" s="14" t="s">
        <v>1402</v>
      </c>
      <c r="C421" s="14" t="s">
        <v>1614</v>
      </c>
      <c r="D421" s="14" t="s">
        <v>535</v>
      </c>
      <c r="E421" s="14" t="s">
        <v>2144</v>
      </c>
      <c r="F421" s="14">
        <v>9.94</v>
      </c>
      <c r="G421" s="14">
        <v>157.83000000000001</v>
      </c>
      <c r="H421" s="14">
        <v>15.88</v>
      </c>
      <c r="I421" s="14">
        <v>40</v>
      </c>
      <c r="J421" s="14">
        <v>94.7</v>
      </c>
      <c r="K421" s="110"/>
    </row>
    <row r="422" spans="1:11">
      <c r="A422" s="131" t="str">
        <f t="shared" si="6"/>
        <v>Grand Lyon Habitat_2018-08</v>
      </c>
      <c r="B422" s="14" t="s">
        <v>1402</v>
      </c>
      <c r="C422" s="14" t="s">
        <v>1614</v>
      </c>
      <c r="D422" s="14" t="s">
        <v>535</v>
      </c>
      <c r="E422" s="14" t="s">
        <v>2189</v>
      </c>
      <c r="F422" s="14">
        <v>9</v>
      </c>
      <c r="G422" s="14">
        <v>288.63</v>
      </c>
      <c r="H422" s="14">
        <v>32.07</v>
      </c>
      <c r="I422" s="14">
        <v>40</v>
      </c>
      <c r="J422" s="14">
        <v>173.18</v>
      </c>
      <c r="K422" s="110"/>
    </row>
    <row r="423" spans="1:11" hidden="1">
      <c r="A423" s="131" t="str">
        <f t="shared" si="6"/>
        <v>Grand Lyon Habitat_2018-09</v>
      </c>
      <c r="B423" s="14" t="s">
        <v>1402</v>
      </c>
      <c r="C423" s="14" t="s">
        <v>1614</v>
      </c>
      <c r="D423" s="14" t="s">
        <v>535</v>
      </c>
      <c r="E423" s="14" t="s">
        <v>2268</v>
      </c>
      <c r="F423" s="14">
        <v>9</v>
      </c>
      <c r="G423" s="14">
        <v>216.74</v>
      </c>
      <c r="H423" s="14">
        <v>24.08</v>
      </c>
      <c r="I423" s="14">
        <v>40</v>
      </c>
      <c r="J423" s="14">
        <v>130.04</v>
      </c>
      <c r="K423" s="110"/>
    </row>
    <row r="424" spans="1:11" hidden="1">
      <c r="A424" s="131" t="str">
        <f t="shared" si="6"/>
        <v>Grand Lyon Habitat_2018-07</v>
      </c>
      <c r="B424" s="14" t="s">
        <v>1402</v>
      </c>
      <c r="C424" s="14" t="s">
        <v>1893</v>
      </c>
      <c r="D424" s="14" t="s">
        <v>535</v>
      </c>
      <c r="E424" s="14" t="s">
        <v>2144</v>
      </c>
      <c r="F424" s="14">
        <v>3</v>
      </c>
      <c r="G424" s="14">
        <v>81.8</v>
      </c>
      <c r="H424" s="14">
        <v>27.27</v>
      </c>
      <c r="I424" s="14">
        <v>40</v>
      </c>
      <c r="J424" s="14">
        <v>49.08</v>
      </c>
      <c r="K424" s="110"/>
    </row>
    <row r="425" spans="1:11">
      <c r="A425" s="131" t="str">
        <f t="shared" si="6"/>
        <v>Grand Lyon Habitat_2018-08</v>
      </c>
      <c r="B425" s="14" t="s">
        <v>1402</v>
      </c>
      <c r="C425" s="14" t="s">
        <v>1893</v>
      </c>
      <c r="D425" s="14" t="s">
        <v>535</v>
      </c>
      <c r="E425" s="14" t="s">
        <v>2189</v>
      </c>
      <c r="F425" s="14">
        <v>3</v>
      </c>
      <c r="G425" s="14">
        <v>70.97</v>
      </c>
      <c r="H425" s="14">
        <v>23.66</v>
      </c>
      <c r="I425" s="14">
        <v>40</v>
      </c>
      <c r="J425" s="14">
        <v>42.58</v>
      </c>
      <c r="K425" s="110"/>
    </row>
    <row r="426" spans="1:11" hidden="1">
      <c r="A426" s="131" t="str">
        <f t="shared" si="6"/>
        <v>Grand Lyon Habitat_2018-09</v>
      </c>
      <c r="B426" s="14" t="s">
        <v>1402</v>
      </c>
      <c r="C426" s="14" t="s">
        <v>1893</v>
      </c>
      <c r="D426" s="14" t="s">
        <v>535</v>
      </c>
      <c r="E426" s="14" t="s">
        <v>2268</v>
      </c>
      <c r="F426" s="14">
        <v>3</v>
      </c>
      <c r="G426" s="14">
        <v>45</v>
      </c>
      <c r="H426" s="14">
        <v>15</v>
      </c>
      <c r="I426" s="14">
        <v>40</v>
      </c>
      <c r="J426" s="14">
        <v>27</v>
      </c>
      <c r="K426" s="110"/>
    </row>
    <row r="427" spans="1:11" hidden="1">
      <c r="A427" s="131" t="str">
        <f t="shared" si="6"/>
        <v>Grenoble Habitat_2018-07</v>
      </c>
      <c r="B427" s="14" t="s">
        <v>1258</v>
      </c>
      <c r="C427" s="14" t="s">
        <v>1259</v>
      </c>
      <c r="D427" s="14" t="s">
        <v>535</v>
      </c>
      <c r="E427" s="14" t="s">
        <v>2144</v>
      </c>
      <c r="F427" s="14">
        <v>2</v>
      </c>
      <c r="G427" s="14">
        <v>86.17</v>
      </c>
      <c r="H427" s="14">
        <v>43.09</v>
      </c>
      <c r="I427" s="14">
        <v>40</v>
      </c>
      <c r="J427" s="14">
        <v>51.7</v>
      </c>
      <c r="K427" s="110"/>
    </row>
    <row r="428" spans="1:11">
      <c r="A428" s="131" t="str">
        <f t="shared" si="6"/>
        <v>Grenoble Habitat_2018-08</v>
      </c>
      <c r="B428" s="14" t="s">
        <v>1258</v>
      </c>
      <c r="C428" s="14" t="s">
        <v>1259</v>
      </c>
      <c r="D428" s="14" t="s">
        <v>535</v>
      </c>
      <c r="E428" s="14" t="s">
        <v>2189</v>
      </c>
      <c r="F428" s="14">
        <v>2</v>
      </c>
      <c r="G428" s="14">
        <v>55</v>
      </c>
      <c r="H428" s="14">
        <v>27.5</v>
      </c>
      <c r="I428" s="14">
        <v>40</v>
      </c>
      <c r="J428" s="14">
        <v>33</v>
      </c>
      <c r="K428" s="110"/>
    </row>
    <row r="429" spans="1:11" hidden="1">
      <c r="A429" s="131" t="str">
        <f t="shared" si="6"/>
        <v>Grenoble Habitat_2018-09</v>
      </c>
      <c r="B429" s="14" t="s">
        <v>1258</v>
      </c>
      <c r="C429" s="14" t="s">
        <v>1259</v>
      </c>
      <c r="D429" s="14" t="s">
        <v>535</v>
      </c>
      <c r="E429" s="14" t="s">
        <v>2268</v>
      </c>
      <c r="F429" s="14">
        <v>2</v>
      </c>
      <c r="G429" s="14">
        <v>55</v>
      </c>
      <c r="H429" s="14">
        <v>27.5</v>
      </c>
      <c r="I429" s="14">
        <v>40</v>
      </c>
      <c r="J429" s="14">
        <v>33</v>
      </c>
      <c r="K429" s="110"/>
    </row>
    <row r="430" spans="1:11" hidden="1">
      <c r="A430" s="131" t="str">
        <f t="shared" si="6"/>
        <v>Grenoble Habitat_2018-07</v>
      </c>
      <c r="B430" s="14" t="s">
        <v>1258</v>
      </c>
      <c r="C430" s="14" t="s">
        <v>942</v>
      </c>
      <c r="D430" s="14" t="s">
        <v>535</v>
      </c>
      <c r="E430" s="14" t="s">
        <v>2144</v>
      </c>
      <c r="F430" s="14">
        <v>5</v>
      </c>
      <c r="G430" s="14">
        <v>443.38</v>
      </c>
      <c r="H430" s="14">
        <v>88.68</v>
      </c>
      <c r="I430" s="14">
        <v>40</v>
      </c>
      <c r="J430" s="14">
        <v>266.02999999999997</v>
      </c>
      <c r="K430" s="110"/>
    </row>
    <row r="431" spans="1:11">
      <c r="A431" s="131" t="str">
        <f t="shared" si="6"/>
        <v>Grenoble Habitat_2018-08</v>
      </c>
      <c r="B431" s="14" t="s">
        <v>1258</v>
      </c>
      <c r="C431" s="14" t="s">
        <v>942</v>
      </c>
      <c r="D431" s="14" t="s">
        <v>535</v>
      </c>
      <c r="E431" s="14" t="s">
        <v>2189</v>
      </c>
      <c r="F431" s="14">
        <v>5</v>
      </c>
      <c r="G431" s="14">
        <v>186.66</v>
      </c>
      <c r="H431" s="14">
        <v>37.33</v>
      </c>
      <c r="I431" s="14">
        <v>40</v>
      </c>
      <c r="J431" s="14">
        <v>112</v>
      </c>
      <c r="K431" s="110"/>
    </row>
    <row r="432" spans="1:11" hidden="1">
      <c r="A432" s="131" t="str">
        <f t="shared" si="6"/>
        <v>Grenoble Habitat_2018-09</v>
      </c>
      <c r="B432" s="14" t="s">
        <v>1258</v>
      </c>
      <c r="C432" s="14" t="s">
        <v>942</v>
      </c>
      <c r="D432" s="14" t="s">
        <v>535</v>
      </c>
      <c r="E432" s="14" t="s">
        <v>2268</v>
      </c>
      <c r="F432" s="14">
        <v>5</v>
      </c>
      <c r="G432" s="14">
        <v>609.44000000000005</v>
      </c>
      <c r="H432" s="14">
        <v>121.89</v>
      </c>
      <c r="I432" s="14">
        <v>40</v>
      </c>
      <c r="J432" s="14">
        <v>365.66</v>
      </c>
      <c r="K432" s="110"/>
    </row>
    <row r="433" spans="1:11" hidden="1">
      <c r="A433" s="131" t="str">
        <f t="shared" si="6"/>
        <v>Grenoble Habitat_2018-07</v>
      </c>
      <c r="B433" s="14" t="s">
        <v>1258</v>
      </c>
      <c r="C433" s="14" t="s">
        <v>973</v>
      </c>
      <c r="D433" s="14" t="s">
        <v>535</v>
      </c>
      <c r="E433" s="14" t="s">
        <v>2144</v>
      </c>
      <c r="F433" s="14">
        <v>5</v>
      </c>
      <c r="G433" s="14">
        <v>169.33</v>
      </c>
      <c r="H433" s="14">
        <v>33.869999999999997</v>
      </c>
      <c r="I433" s="14">
        <v>40</v>
      </c>
      <c r="J433" s="14">
        <v>101.6</v>
      </c>
      <c r="K433" s="110"/>
    </row>
    <row r="434" spans="1:11">
      <c r="A434" s="131" t="str">
        <f t="shared" si="6"/>
        <v>Grenoble Habitat_2018-08</v>
      </c>
      <c r="B434" s="14" t="s">
        <v>1258</v>
      </c>
      <c r="C434" s="14" t="s">
        <v>973</v>
      </c>
      <c r="D434" s="14" t="s">
        <v>535</v>
      </c>
      <c r="E434" s="14" t="s">
        <v>2189</v>
      </c>
      <c r="F434" s="14">
        <v>5</v>
      </c>
      <c r="G434" s="14">
        <v>163</v>
      </c>
      <c r="H434" s="14">
        <v>32.6</v>
      </c>
      <c r="I434" s="14">
        <v>40</v>
      </c>
      <c r="J434" s="14">
        <v>97.8</v>
      </c>
      <c r="K434" s="110"/>
    </row>
    <row r="435" spans="1:11" hidden="1">
      <c r="A435" s="131" t="str">
        <f t="shared" si="6"/>
        <v>Grenoble Habitat_2018-09</v>
      </c>
      <c r="B435" s="14" t="s">
        <v>1258</v>
      </c>
      <c r="C435" s="14" t="s">
        <v>973</v>
      </c>
      <c r="D435" s="14" t="s">
        <v>535</v>
      </c>
      <c r="E435" s="14" t="s">
        <v>2268</v>
      </c>
      <c r="F435" s="14">
        <v>5</v>
      </c>
      <c r="G435" s="14">
        <v>40.090000000000003</v>
      </c>
      <c r="H435" s="14">
        <v>8.02</v>
      </c>
      <c r="I435" s="14">
        <v>40</v>
      </c>
      <c r="J435" s="14">
        <v>24.05</v>
      </c>
      <c r="K435" s="110"/>
    </row>
    <row r="436" spans="1:11" hidden="1">
      <c r="A436" s="131" t="str">
        <f t="shared" si="6"/>
        <v>GSA Résidences_2018-07</v>
      </c>
      <c r="B436" s="14" t="s">
        <v>472</v>
      </c>
      <c r="C436" s="14" t="s">
        <v>719</v>
      </c>
      <c r="D436" s="14" t="s">
        <v>535</v>
      </c>
      <c r="E436" s="14" t="s">
        <v>2144</v>
      </c>
      <c r="F436" s="14">
        <v>23</v>
      </c>
      <c r="G436" s="14">
        <v>220.96</v>
      </c>
      <c r="H436" s="14">
        <v>9.61</v>
      </c>
      <c r="I436" s="14">
        <v>40</v>
      </c>
      <c r="J436" s="14">
        <v>132.58000000000001</v>
      </c>
      <c r="K436" s="110"/>
    </row>
    <row r="437" spans="1:11">
      <c r="A437" s="131" t="str">
        <f t="shared" si="6"/>
        <v>GSA Résidences_2018-08</v>
      </c>
      <c r="B437" s="14" t="s">
        <v>472</v>
      </c>
      <c r="C437" s="14" t="s">
        <v>719</v>
      </c>
      <c r="D437" s="14" t="s">
        <v>535</v>
      </c>
      <c r="E437" s="14" t="s">
        <v>2189</v>
      </c>
      <c r="F437" s="14">
        <v>23</v>
      </c>
      <c r="G437" s="14">
        <v>367.52</v>
      </c>
      <c r="H437" s="14">
        <v>15.98</v>
      </c>
      <c r="I437" s="14">
        <v>40</v>
      </c>
      <c r="J437" s="14">
        <v>220.51</v>
      </c>
      <c r="K437" s="110"/>
    </row>
    <row r="438" spans="1:11" hidden="1">
      <c r="A438" s="131" t="str">
        <f t="shared" si="6"/>
        <v>GSA Résidences_2018-09</v>
      </c>
      <c r="B438" s="14" t="s">
        <v>472</v>
      </c>
      <c r="C438" s="14" t="s">
        <v>719</v>
      </c>
      <c r="D438" s="14" t="s">
        <v>535</v>
      </c>
      <c r="E438" s="14" t="s">
        <v>2268</v>
      </c>
      <c r="F438" s="14">
        <v>23</v>
      </c>
      <c r="G438" s="14">
        <v>214.38</v>
      </c>
      <c r="H438" s="14">
        <v>9.32</v>
      </c>
      <c r="I438" s="14">
        <v>40</v>
      </c>
      <c r="J438" s="14">
        <v>128.63</v>
      </c>
      <c r="K438" s="110"/>
    </row>
    <row r="439" spans="1:11" hidden="1">
      <c r="A439" s="131" t="str">
        <f t="shared" si="6"/>
        <v>Habitat 76_2018-09</v>
      </c>
      <c r="B439" s="14" t="s">
        <v>1705</v>
      </c>
      <c r="C439" s="14" t="s">
        <v>2293</v>
      </c>
      <c r="D439" s="14" t="s">
        <v>535</v>
      </c>
      <c r="E439" s="14" t="s">
        <v>2268</v>
      </c>
      <c r="F439" s="14">
        <v>15</v>
      </c>
      <c r="G439" s="14">
        <v>51.22</v>
      </c>
      <c r="H439" s="14">
        <v>3.41</v>
      </c>
      <c r="I439" s="14">
        <v>40</v>
      </c>
      <c r="J439" s="14">
        <v>30.73</v>
      </c>
      <c r="K439" s="110"/>
    </row>
    <row r="440" spans="1:11" hidden="1">
      <c r="A440" s="131" t="str">
        <f t="shared" si="6"/>
        <v>Habitat 76_2018-07</v>
      </c>
      <c r="B440" s="14" t="s">
        <v>1705</v>
      </c>
      <c r="C440" s="14" t="s">
        <v>1894</v>
      </c>
      <c r="D440" s="14" t="s">
        <v>535</v>
      </c>
      <c r="E440" s="14" t="s">
        <v>2144</v>
      </c>
      <c r="F440" s="14">
        <v>30</v>
      </c>
      <c r="G440" s="14">
        <v>111.38</v>
      </c>
      <c r="H440" s="14">
        <v>3.71</v>
      </c>
      <c r="I440" s="14">
        <v>40</v>
      </c>
      <c r="J440" s="14">
        <v>66.83</v>
      </c>
      <c r="K440" s="110"/>
    </row>
    <row r="441" spans="1:11">
      <c r="A441" s="131" t="str">
        <f t="shared" si="6"/>
        <v>Habitat 76_2018-08</v>
      </c>
      <c r="B441" s="14" t="s">
        <v>1705</v>
      </c>
      <c r="C441" s="14" t="s">
        <v>1894</v>
      </c>
      <c r="D441" s="14" t="s">
        <v>535</v>
      </c>
      <c r="E441" s="14" t="s">
        <v>2189</v>
      </c>
      <c r="F441" s="14">
        <v>30</v>
      </c>
      <c r="G441" s="14">
        <v>243.43</v>
      </c>
      <c r="H441" s="14">
        <v>8.11</v>
      </c>
      <c r="I441" s="14">
        <v>40</v>
      </c>
      <c r="J441" s="14">
        <v>146.06</v>
      </c>
      <c r="K441" s="110"/>
    </row>
    <row r="442" spans="1:11" hidden="1">
      <c r="A442" s="131" t="str">
        <f t="shared" si="6"/>
        <v>Habitat 76_2018-09</v>
      </c>
      <c r="B442" s="14" t="s">
        <v>1705</v>
      </c>
      <c r="C442" s="14" t="s">
        <v>1894</v>
      </c>
      <c r="D442" s="14" t="s">
        <v>535</v>
      </c>
      <c r="E442" s="14" t="s">
        <v>2268</v>
      </c>
      <c r="F442" s="14">
        <v>30</v>
      </c>
      <c r="G442" s="14">
        <v>154.13999999999999</v>
      </c>
      <c r="H442" s="14">
        <v>5.14</v>
      </c>
      <c r="I442" s="14">
        <v>40</v>
      </c>
      <c r="J442" s="14">
        <v>92.48</v>
      </c>
      <c r="K442" s="110"/>
    </row>
    <row r="443" spans="1:11" hidden="1">
      <c r="A443" s="131" t="str">
        <f t="shared" si="6"/>
        <v>Habitat 76_2018-07</v>
      </c>
      <c r="B443" s="14" t="s">
        <v>1705</v>
      </c>
      <c r="C443" s="14" t="s">
        <v>1761</v>
      </c>
      <c r="D443" s="14" t="s">
        <v>1895</v>
      </c>
      <c r="E443" s="14" t="s">
        <v>2144</v>
      </c>
      <c r="F443" s="14">
        <v>8</v>
      </c>
      <c r="G443" s="14">
        <v>-28.09</v>
      </c>
      <c r="H443" s="14">
        <v>-3.51</v>
      </c>
      <c r="I443" s="14">
        <v>40</v>
      </c>
      <c r="J443" s="14">
        <v>-16.850000000000001</v>
      </c>
      <c r="K443" s="110"/>
    </row>
    <row r="444" spans="1:11">
      <c r="A444" s="131" t="str">
        <f t="shared" si="6"/>
        <v>Habitat 76_2018-08</v>
      </c>
      <c r="B444" s="14" t="s">
        <v>1705</v>
      </c>
      <c r="C444" s="14" t="s">
        <v>1761</v>
      </c>
      <c r="D444" s="14" t="s">
        <v>1895</v>
      </c>
      <c r="E444" s="14" t="s">
        <v>2189</v>
      </c>
      <c r="F444" s="14">
        <v>8</v>
      </c>
      <c r="G444" s="14">
        <v>45</v>
      </c>
      <c r="H444" s="14">
        <v>5.63</v>
      </c>
      <c r="I444" s="14">
        <v>40</v>
      </c>
      <c r="J444" s="14">
        <v>27</v>
      </c>
      <c r="K444" s="110"/>
    </row>
    <row r="445" spans="1:11" hidden="1">
      <c r="A445" s="131" t="str">
        <f t="shared" si="6"/>
        <v>Habitat 76_2018-09</v>
      </c>
      <c r="B445" s="14" t="s">
        <v>1705</v>
      </c>
      <c r="C445" s="14" t="s">
        <v>1761</v>
      </c>
      <c r="D445" s="14" t="s">
        <v>1895</v>
      </c>
      <c r="E445" s="14" t="s">
        <v>2268</v>
      </c>
      <c r="F445" s="14">
        <v>8</v>
      </c>
      <c r="G445" s="14">
        <v>86.66</v>
      </c>
      <c r="H445" s="14">
        <v>10.83</v>
      </c>
      <c r="I445" s="14">
        <v>40</v>
      </c>
      <c r="J445" s="14">
        <v>52</v>
      </c>
      <c r="K445" s="110"/>
    </row>
    <row r="446" spans="1:11" hidden="1">
      <c r="A446" s="131" t="str">
        <f t="shared" si="6"/>
        <v>Habitat 76_2018-07</v>
      </c>
      <c r="B446" s="14" t="s">
        <v>1705</v>
      </c>
      <c r="C446" s="14" t="s">
        <v>1813</v>
      </c>
      <c r="D446" s="14" t="s">
        <v>1896</v>
      </c>
      <c r="E446" s="14" t="s">
        <v>2144</v>
      </c>
      <c r="F446" s="14">
        <v>8</v>
      </c>
      <c r="G446" s="14">
        <v>171</v>
      </c>
      <c r="H446" s="14">
        <v>21.38</v>
      </c>
      <c r="I446" s="14">
        <v>40</v>
      </c>
      <c r="J446" s="14">
        <v>102.6</v>
      </c>
      <c r="K446" s="110"/>
    </row>
    <row r="447" spans="1:11">
      <c r="A447" s="131" t="str">
        <f t="shared" si="6"/>
        <v>Habitat 76_2018-08</v>
      </c>
      <c r="B447" s="14" t="s">
        <v>1705</v>
      </c>
      <c r="C447" s="14" t="s">
        <v>1813</v>
      </c>
      <c r="D447" s="14" t="s">
        <v>1896</v>
      </c>
      <c r="E447" s="14" t="s">
        <v>2189</v>
      </c>
      <c r="F447" s="14">
        <v>8</v>
      </c>
      <c r="G447" s="14">
        <v>161.22999999999999</v>
      </c>
      <c r="H447" s="14">
        <v>20.149999999999999</v>
      </c>
      <c r="I447" s="14">
        <v>40</v>
      </c>
      <c r="J447" s="14">
        <v>96.74</v>
      </c>
      <c r="K447" s="110"/>
    </row>
    <row r="448" spans="1:11" hidden="1">
      <c r="A448" s="131" t="str">
        <f t="shared" si="6"/>
        <v>Habitat 76_2018-09</v>
      </c>
      <c r="B448" s="14" t="s">
        <v>1705</v>
      </c>
      <c r="C448" s="14" t="s">
        <v>1813</v>
      </c>
      <c r="D448" s="14" t="s">
        <v>1896</v>
      </c>
      <c r="E448" s="14" t="s">
        <v>2268</v>
      </c>
      <c r="F448" s="14">
        <v>8</v>
      </c>
      <c r="G448" s="14">
        <v>210</v>
      </c>
      <c r="H448" s="14">
        <v>26.25</v>
      </c>
      <c r="I448" s="14">
        <v>40</v>
      </c>
      <c r="J448" s="14">
        <v>126</v>
      </c>
      <c r="K448" s="110"/>
    </row>
    <row r="449" spans="1:11" s="56" customFormat="1" hidden="1">
      <c r="A449" s="131" t="str">
        <f t="shared" si="6"/>
        <v>Habitat 76_2018-07</v>
      </c>
      <c r="B449" s="14" t="s">
        <v>1705</v>
      </c>
      <c r="C449" s="14" t="s">
        <v>1814</v>
      </c>
      <c r="D449" s="14" t="s">
        <v>1897</v>
      </c>
      <c r="E449" s="14" t="s">
        <v>2144</v>
      </c>
      <c r="F449" s="14">
        <v>9</v>
      </c>
      <c r="G449" s="14">
        <v>94.93</v>
      </c>
      <c r="H449" s="14">
        <v>10.55</v>
      </c>
      <c r="I449" s="14">
        <v>40</v>
      </c>
      <c r="J449" s="14">
        <v>56.96</v>
      </c>
      <c r="K449" s="110"/>
    </row>
    <row r="450" spans="1:11" s="56" customFormat="1">
      <c r="A450" s="131" t="str">
        <f t="shared" si="6"/>
        <v>Habitat 76_2018-08</v>
      </c>
      <c r="B450" s="14" t="s">
        <v>1705</v>
      </c>
      <c r="C450" s="14" t="s">
        <v>1814</v>
      </c>
      <c r="D450" s="14" t="s">
        <v>1897</v>
      </c>
      <c r="E450" s="14" t="s">
        <v>2189</v>
      </c>
      <c r="F450" s="14">
        <v>9</v>
      </c>
      <c r="G450" s="14">
        <v>106.65</v>
      </c>
      <c r="H450" s="14">
        <v>11.85</v>
      </c>
      <c r="I450" s="14">
        <v>40</v>
      </c>
      <c r="J450" s="14">
        <v>63.99</v>
      </c>
      <c r="K450" s="110"/>
    </row>
    <row r="451" spans="1:11" hidden="1">
      <c r="A451" s="131" t="str">
        <f t="shared" si="6"/>
        <v>Habitat 76_2018-09</v>
      </c>
      <c r="B451" s="14" t="s">
        <v>1705</v>
      </c>
      <c r="C451" s="14" t="s">
        <v>1814</v>
      </c>
      <c r="D451" s="14" t="s">
        <v>1897</v>
      </c>
      <c r="E451" s="14" t="s">
        <v>2268</v>
      </c>
      <c r="F451" s="14">
        <v>9</v>
      </c>
      <c r="G451" s="14">
        <v>123.95</v>
      </c>
      <c r="H451" s="14">
        <v>13.77</v>
      </c>
      <c r="I451" s="14">
        <v>40</v>
      </c>
      <c r="J451" s="14">
        <v>74.37</v>
      </c>
      <c r="K451" s="110"/>
    </row>
    <row r="452" spans="1:11" hidden="1">
      <c r="A452" s="131" t="str">
        <f t="shared" si="6"/>
        <v>Habitat 76_2018-07</v>
      </c>
      <c r="B452" s="14" t="s">
        <v>1705</v>
      </c>
      <c r="C452" s="14" t="s">
        <v>1815</v>
      </c>
      <c r="D452" s="14" t="s">
        <v>1898</v>
      </c>
      <c r="E452" s="14" t="s">
        <v>2144</v>
      </c>
      <c r="F452" s="14">
        <v>8</v>
      </c>
      <c r="G452" s="14">
        <v>203.76</v>
      </c>
      <c r="H452" s="14">
        <v>25.47</v>
      </c>
      <c r="I452" s="14">
        <v>40</v>
      </c>
      <c r="J452" s="14">
        <v>122.26</v>
      </c>
      <c r="K452" s="110"/>
    </row>
    <row r="453" spans="1:11">
      <c r="A453" s="131" t="str">
        <f t="shared" si="6"/>
        <v>Habitat 76_2018-08</v>
      </c>
      <c r="B453" s="14" t="s">
        <v>1705</v>
      </c>
      <c r="C453" s="14" t="s">
        <v>1815</v>
      </c>
      <c r="D453" s="14" t="s">
        <v>1898</v>
      </c>
      <c r="E453" s="14" t="s">
        <v>2189</v>
      </c>
      <c r="F453" s="14">
        <v>8</v>
      </c>
      <c r="G453" s="14">
        <v>264.05</v>
      </c>
      <c r="H453" s="14">
        <v>33.01</v>
      </c>
      <c r="I453" s="14">
        <v>40</v>
      </c>
      <c r="J453" s="14">
        <v>158.43</v>
      </c>
      <c r="K453" s="110"/>
    </row>
    <row r="454" spans="1:11" hidden="1">
      <c r="A454" s="131" t="str">
        <f>CONCATENATE(B454,"_",E454)</f>
        <v>Habitat 76_2018-09</v>
      </c>
      <c r="B454" s="14" t="s">
        <v>1705</v>
      </c>
      <c r="C454" s="14" t="s">
        <v>1815</v>
      </c>
      <c r="D454" s="14" t="s">
        <v>1898</v>
      </c>
      <c r="E454" s="14" t="s">
        <v>2268</v>
      </c>
      <c r="F454" s="14">
        <v>8</v>
      </c>
      <c r="G454" s="14">
        <v>240.57</v>
      </c>
      <c r="H454" s="14">
        <v>30.07</v>
      </c>
      <c r="I454" s="14">
        <v>40</v>
      </c>
      <c r="J454" s="14">
        <v>144.34</v>
      </c>
      <c r="K454" s="110"/>
    </row>
    <row r="455" spans="1:11" hidden="1">
      <c r="A455" s="131" t="str">
        <f>CONCATENATE(B455,"_",E455)</f>
        <v>Habitat 76_2018-07</v>
      </c>
      <c r="B455" s="14" t="s">
        <v>1705</v>
      </c>
      <c r="C455" s="14" t="s">
        <v>1899</v>
      </c>
      <c r="D455" s="14" t="s">
        <v>535</v>
      </c>
      <c r="E455" s="14" t="s">
        <v>2144</v>
      </c>
      <c r="F455" s="14">
        <v>15</v>
      </c>
      <c r="G455" s="14">
        <v>40</v>
      </c>
      <c r="H455" s="14">
        <v>2.67</v>
      </c>
      <c r="I455" s="14">
        <v>40</v>
      </c>
      <c r="J455" s="14">
        <v>24</v>
      </c>
      <c r="K455" s="110"/>
    </row>
    <row r="456" spans="1:11">
      <c r="A456" s="131" t="str">
        <f>CONCATENATE(B456,"_",E456)</f>
        <v>Habitat 76_2018-08</v>
      </c>
      <c r="B456" s="14" t="s">
        <v>1705</v>
      </c>
      <c r="C456" s="14" t="s">
        <v>1899</v>
      </c>
      <c r="D456" s="14" t="s">
        <v>535</v>
      </c>
      <c r="E456" s="14" t="s">
        <v>2189</v>
      </c>
      <c r="F456" s="14">
        <v>15</v>
      </c>
      <c r="G456" s="14">
        <v>40</v>
      </c>
      <c r="H456" s="14">
        <v>2.67</v>
      </c>
      <c r="I456" s="14">
        <v>40</v>
      </c>
      <c r="J456" s="14">
        <v>24</v>
      </c>
      <c r="K456" s="110"/>
    </row>
    <row r="457" spans="1:11" hidden="1">
      <c r="A457" s="131" t="str">
        <f t="shared" ref="A457:A487" si="7">CONCATENATE(B457,"_",E457)</f>
        <v>Habitat 76_2018-09</v>
      </c>
      <c r="B457" s="14" t="s">
        <v>1705</v>
      </c>
      <c r="C457" s="14" t="s">
        <v>1899</v>
      </c>
      <c r="D457" s="14" t="s">
        <v>535</v>
      </c>
      <c r="E457" s="14" t="s">
        <v>2268</v>
      </c>
      <c r="F457" s="14">
        <v>15</v>
      </c>
      <c r="G457" s="14">
        <v>40</v>
      </c>
      <c r="H457" s="14">
        <v>2.67</v>
      </c>
      <c r="I457" s="14">
        <v>40</v>
      </c>
      <c r="J457" s="14">
        <v>24</v>
      </c>
      <c r="K457" s="110"/>
    </row>
    <row r="458" spans="1:11" hidden="1">
      <c r="A458" s="131" t="str">
        <f t="shared" si="7"/>
        <v>Haute-Savoie Habitat_2018-07</v>
      </c>
      <c r="B458" s="14" t="s">
        <v>614</v>
      </c>
      <c r="C458" s="14" t="s">
        <v>1181</v>
      </c>
      <c r="D458" s="14" t="s">
        <v>535</v>
      </c>
      <c r="E458" s="14" t="s">
        <v>2144</v>
      </c>
      <c r="F458" s="14">
        <v>5</v>
      </c>
      <c r="G458" s="14">
        <v>87.42</v>
      </c>
      <c r="H458" s="14">
        <v>17.48</v>
      </c>
      <c r="I458" s="14">
        <v>40</v>
      </c>
      <c r="J458" s="14">
        <v>52.45</v>
      </c>
      <c r="K458" s="110"/>
    </row>
    <row r="459" spans="1:11">
      <c r="A459" s="131" t="str">
        <f t="shared" si="7"/>
        <v>Haute-Savoie Habitat_2018-08</v>
      </c>
      <c r="B459" s="14" t="s">
        <v>614</v>
      </c>
      <c r="C459" s="14" t="s">
        <v>1181</v>
      </c>
      <c r="D459" s="14" t="s">
        <v>535</v>
      </c>
      <c r="E459" s="14" t="s">
        <v>2189</v>
      </c>
      <c r="F459" s="14">
        <v>5</v>
      </c>
      <c r="G459" s="14">
        <v>124.35</v>
      </c>
      <c r="H459" s="14">
        <v>24.87</v>
      </c>
      <c r="I459" s="14">
        <v>35</v>
      </c>
      <c r="J459" s="14">
        <v>80.83</v>
      </c>
      <c r="K459" s="110"/>
    </row>
    <row r="460" spans="1:11" hidden="1">
      <c r="A460" s="131" t="str">
        <f t="shared" si="7"/>
        <v>Haute-Savoie Habitat_2018-09</v>
      </c>
      <c r="B460" s="14" t="s">
        <v>614</v>
      </c>
      <c r="C460" s="14" t="s">
        <v>1181</v>
      </c>
      <c r="D460" s="14" t="s">
        <v>535</v>
      </c>
      <c r="E460" s="14" t="s">
        <v>2268</v>
      </c>
      <c r="F460" s="14">
        <v>5</v>
      </c>
      <c r="G460" s="14">
        <v>134.16999999999999</v>
      </c>
      <c r="H460" s="14">
        <v>26.83</v>
      </c>
      <c r="I460" s="14">
        <v>35</v>
      </c>
      <c r="J460" s="14">
        <v>87.21</v>
      </c>
      <c r="K460" s="110"/>
    </row>
    <row r="461" spans="1:11" hidden="1">
      <c r="A461" s="131" t="str">
        <f t="shared" si="7"/>
        <v>Haute-Savoie Habitat_2018-07</v>
      </c>
      <c r="B461" s="14" t="s">
        <v>614</v>
      </c>
      <c r="C461" s="14" t="s">
        <v>1364</v>
      </c>
      <c r="D461" s="14" t="s">
        <v>535</v>
      </c>
      <c r="E461" s="14" t="s">
        <v>2144</v>
      </c>
      <c r="F461" s="14">
        <v>18</v>
      </c>
      <c r="G461" s="14">
        <v>583.98</v>
      </c>
      <c r="H461" s="14">
        <v>32.44</v>
      </c>
      <c r="I461" s="14">
        <v>35</v>
      </c>
      <c r="J461" s="14">
        <v>379.59</v>
      </c>
      <c r="K461" s="110"/>
    </row>
    <row r="462" spans="1:11">
      <c r="A462" s="131" t="str">
        <f t="shared" si="7"/>
        <v>Haute-Savoie Habitat_2018-08</v>
      </c>
      <c r="B462" s="14" t="s">
        <v>614</v>
      </c>
      <c r="C462" s="14" t="s">
        <v>1364</v>
      </c>
      <c r="D462" s="14" t="s">
        <v>535</v>
      </c>
      <c r="E462" s="14" t="s">
        <v>2189</v>
      </c>
      <c r="F462" s="14">
        <v>18</v>
      </c>
      <c r="G462" s="14">
        <v>681.4</v>
      </c>
      <c r="H462" s="14">
        <v>37.86</v>
      </c>
      <c r="I462" s="14">
        <v>35</v>
      </c>
      <c r="J462" s="14">
        <v>442.91</v>
      </c>
      <c r="K462" s="110"/>
    </row>
    <row r="463" spans="1:11" hidden="1">
      <c r="A463" s="131" t="str">
        <f t="shared" si="7"/>
        <v>Haute-Savoie Habitat_2018-09</v>
      </c>
      <c r="B463" s="14" t="s">
        <v>614</v>
      </c>
      <c r="C463" s="14" t="s">
        <v>1364</v>
      </c>
      <c r="D463" s="14" t="s">
        <v>535</v>
      </c>
      <c r="E463" s="14" t="s">
        <v>2268</v>
      </c>
      <c r="F463" s="14">
        <v>18</v>
      </c>
      <c r="G463" s="14">
        <v>700.26</v>
      </c>
      <c r="H463" s="14">
        <v>38.9</v>
      </c>
      <c r="I463" s="14">
        <v>35</v>
      </c>
      <c r="J463" s="14">
        <v>455.17</v>
      </c>
      <c r="K463" s="110"/>
    </row>
    <row r="464" spans="1:11" hidden="1">
      <c r="A464" s="131" t="str">
        <f t="shared" si="7"/>
        <v>Haute-Savoie Habitat_2018-07</v>
      </c>
      <c r="B464" s="14" t="s">
        <v>614</v>
      </c>
      <c r="C464" s="14" t="s">
        <v>943</v>
      </c>
      <c r="D464" s="14" t="s">
        <v>535</v>
      </c>
      <c r="E464" s="14" t="s">
        <v>2144</v>
      </c>
      <c r="F464" s="14">
        <v>7</v>
      </c>
      <c r="G464" s="14">
        <v>225</v>
      </c>
      <c r="H464" s="14">
        <v>32.14</v>
      </c>
      <c r="I464" s="14">
        <v>35</v>
      </c>
      <c r="J464" s="14">
        <v>146.25</v>
      </c>
      <c r="K464" s="110"/>
    </row>
    <row r="465" spans="1:11">
      <c r="A465" s="131" t="str">
        <f t="shared" si="7"/>
        <v>Haute-Savoie Habitat_2018-08</v>
      </c>
      <c r="B465" s="14" t="s">
        <v>614</v>
      </c>
      <c r="C465" s="14" t="s">
        <v>943</v>
      </c>
      <c r="D465" s="14" t="s">
        <v>535</v>
      </c>
      <c r="E465" s="14" t="s">
        <v>2189</v>
      </c>
      <c r="F465" s="14">
        <v>7</v>
      </c>
      <c r="G465" s="14">
        <v>245.53</v>
      </c>
      <c r="H465" s="14">
        <v>35.08</v>
      </c>
      <c r="I465" s="14">
        <v>35</v>
      </c>
      <c r="J465" s="14">
        <v>159.59</v>
      </c>
      <c r="K465" s="110"/>
    </row>
    <row r="466" spans="1:11" hidden="1">
      <c r="A466" s="131" t="str">
        <f t="shared" si="7"/>
        <v>Haute-Savoie Habitat_2018-09</v>
      </c>
      <c r="B466" s="14" t="s">
        <v>614</v>
      </c>
      <c r="C466" s="14" t="s">
        <v>943</v>
      </c>
      <c r="D466" s="14" t="s">
        <v>535</v>
      </c>
      <c r="E466" s="14" t="s">
        <v>2268</v>
      </c>
      <c r="F466" s="14">
        <v>7</v>
      </c>
      <c r="G466" s="14">
        <v>225</v>
      </c>
      <c r="H466" s="14">
        <v>32.14</v>
      </c>
      <c r="I466" s="14">
        <v>35</v>
      </c>
      <c r="J466" s="14">
        <v>146.25</v>
      </c>
      <c r="K466" s="110"/>
    </row>
    <row r="467" spans="1:11" hidden="1">
      <c r="A467" s="131" t="str">
        <f t="shared" si="7"/>
        <v>Hérault Habitat_2018-07</v>
      </c>
      <c r="B467" s="14" t="s">
        <v>1711</v>
      </c>
      <c r="C467" s="14" t="s">
        <v>1976</v>
      </c>
      <c r="D467" s="14" t="s">
        <v>535</v>
      </c>
      <c r="E467" s="14" t="s">
        <v>2144</v>
      </c>
      <c r="F467" s="14">
        <v>7</v>
      </c>
      <c r="G467" s="14">
        <v>23.67</v>
      </c>
      <c r="H467" s="14">
        <v>3.38</v>
      </c>
      <c r="I467" s="14">
        <v>40</v>
      </c>
      <c r="J467" s="14">
        <v>14.2</v>
      </c>
      <c r="K467" s="110"/>
    </row>
    <row r="468" spans="1:11">
      <c r="A468" s="131" t="str">
        <f t="shared" si="7"/>
        <v>Hérault Habitat_2018-08</v>
      </c>
      <c r="B468" s="14" t="s">
        <v>1711</v>
      </c>
      <c r="C468" s="14" t="s">
        <v>1976</v>
      </c>
      <c r="D468" s="14" t="s">
        <v>535</v>
      </c>
      <c r="E468" s="14" t="s">
        <v>2189</v>
      </c>
      <c r="F468" s="14">
        <v>7</v>
      </c>
      <c r="G468" s="14">
        <v>58</v>
      </c>
      <c r="H468" s="14">
        <v>8.2899999999999991</v>
      </c>
      <c r="I468" s="14">
        <v>40</v>
      </c>
      <c r="J468" s="14">
        <v>34.799999999999997</v>
      </c>
      <c r="K468" s="110"/>
    </row>
    <row r="469" spans="1:11" hidden="1">
      <c r="A469" s="131" t="str">
        <f t="shared" si="7"/>
        <v>Hérault Habitat_2018-09</v>
      </c>
      <c r="B469" s="14" t="s">
        <v>1711</v>
      </c>
      <c r="C469" s="14" t="s">
        <v>1976</v>
      </c>
      <c r="D469" s="14" t="s">
        <v>535</v>
      </c>
      <c r="E469" s="14" t="s">
        <v>2268</v>
      </c>
      <c r="F469" s="14">
        <v>7</v>
      </c>
      <c r="G469" s="14">
        <v>33.93</v>
      </c>
      <c r="H469" s="14">
        <v>4.8499999999999996</v>
      </c>
      <c r="I469" s="14">
        <v>40</v>
      </c>
      <c r="J469" s="14">
        <v>20.36</v>
      </c>
      <c r="K469" s="110"/>
    </row>
    <row r="470" spans="1:11" hidden="1">
      <c r="A470" s="131" t="str">
        <f t="shared" si="7"/>
        <v>Hérault Habitat_2018-07</v>
      </c>
      <c r="B470" s="14" t="s">
        <v>1711</v>
      </c>
      <c r="C470" s="14" t="s">
        <v>1977</v>
      </c>
      <c r="D470" s="14" t="s">
        <v>535</v>
      </c>
      <c r="E470" s="14" t="s">
        <v>2144</v>
      </c>
      <c r="F470" s="14">
        <v>3</v>
      </c>
      <c r="G470" s="14">
        <v>56.4</v>
      </c>
      <c r="H470" s="14">
        <v>18.8</v>
      </c>
      <c r="I470" s="14">
        <v>40</v>
      </c>
      <c r="J470" s="14">
        <v>33.840000000000003</v>
      </c>
      <c r="K470" s="110"/>
    </row>
    <row r="471" spans="1:11">
      <c r="A471" s="131" t="str">
        <f t="shared" si="7"/>
        <v>Hérault Habitat_2018-08</v>
      </c>
      <c r="B471" s="14" t="s">
        <v>1711</v>
      </c>
      <c r="C471" s="14" t="s">
        <v>1977</v>
      </c>
      <c r="D471" s="14" t="s">
        <v>535</v>
      </c>
      <c r="E471" s="14" t="s">
        <v>2189</v>
      </c>
      <c r="F471" s="14">
        <v>3</v>
      </c>
      <c r="G471" s="14">
        <v>16.05</v>
      </c>
      <c r="H471" s="14">
        <v>5.35</v>
      </c>
      <c r="I471" s="14">
        <v>40</v>
      </c>
      <c r="J471" s="14">
        <v>9.6300000000000008</v>
      </c>
      <c r="K471" s="110"/>
    </row>
    <row r="472" spans="1:11" hidden="1">
      <c r="A472" s="131" t="str">
        <f t="shared" si="7"/>
        <v>Hérault Habitat_2018-09</v>
      </c>
      <c r="B472" s="14" t="s">
        <v>1711</v>
      </c>
      <c r="C472" s="14" t="s">
        <v>1977</v>
      </c>
      <c r="D472" s="14" t="s">
        <v>535</v>
      </c>
      <c r="E472" s="14" t="s">
        <v>2268</v>
      </c>
      <c r="F472" s="14">
        <v>3</v>
      </c>
      <c r="G472" s="14">
        <v>78.959999999999994</v>
      </c>
      <c r="H472" s="14">
        <v>26.32</v>
      </c>
      <c r="I472" s="14">
        <v>40</v>
      </c>
      <c r="J472" s="14">
        <v>47.38</v>
      </c>
      <c r="K472" s="110"/>
    </row>
    <row r="473" spans="1:11" hidden="1">
      <c r="A473" s="131" t="str">
        <f t="shared" si="7"/>
        <v>Hérault Habitat_2018-07</v>
      </c>
      <c r="B473" s="14" t="s">
        <v>1711</v>
      </c>
      <c r="C473" s="14" t="s">
        <v>2155</v>
      </c>
      <c r="D473" s="14" t="s">
        <v>535</v>
      </c>
      <c r="E473" s="14" t="s">
        <v>2144</v>
      </c>
      <c r="F473" s="14">
        <v>40</v>
      </c>
      <c r="G473" s="14">
        <v>35.58</v>
      </c>
      <c r="H473" s="14">
        <v>0.89</v>
      </c>
      <c r="I473" s="14">
        <v>40</v>
      </c>
      <c r="J473" s="14">
        <v>21.35</v>
      </c>
      <c r="K473" s="110"/>
    </row>
    <row r="474" spans="1:11">
      <c r="A474" s="131" t="str">
        <f t="shared" si="7"/>
        <v>Hérault Habitat_2018-08</v>
      </c>
      <c r="B474" s="14" t="s">
        <v>1711</v>
      </c>
      <c r="C474" s="14" t="s">
        <v>2155</v>
      </c>
      <c r="D474" s="14" t="s">
        <v>535</v>
      </c>
      <c r="E474" s="14" t="s">
        <v>2189</v>
      </c>
      <c r="F474" s="14">
        <v>40</v>
      </c>
      <c r="G474" s="14">
        <v>22.41</v>
      </c>
      <c r="H474" s="14">
        <v>0.56000000000000005</v>
      </c>
      <c r="I474" s="14">
        <v>40</v>
      </c>
      <c r="J474" s="14">
        <v>13.45</v>
      </c>
      <c r="K474" s="110"/>
    </row>
    <row r="475" spans="1:11" hidden="1">
      <c r="A475" s="131" t="str">
        <f t="shared" si="7"/>
        <v>Hérault Habitat_2018-09</v>
      </c>
      <c r="B475" s="14" t="s">
        <v>1711</v>
      </c>
      <c r="C475" s="14" t="s">
        <v>2155</v>
      </c>
      <c r="D475" s="14" t="s">
        <v>535</v>
      </c>
      <c r="E475" s="14" t="s">
        <v>2268</v>
      </c>
      <c r="F475" s="14">
        <v>40</v>
      </c>
      <c r="G475" s="14">
        <v>6</v>
      </c>
      <c r="H475" s="14">
        <v>0.15</v>
      </c>
      <c r="I475" s="14">
        <v>40</v>
      </c>
      <c r="J475" s="14">
        <v>3.6</v>
      </c>
      <c r="K475" s="110"/>
    </row>
    <row r="476" spans="1:11" hidden="1">
      <c r="A476" s="131" t="str">
        <f t="shared" si="7"/>
        <v>Holiday Inn Marne La Vallée_2018-07</v>
      </c>
      <c r="B476" s="14" t="s">
        <v>1680</v>
      </c>
      <c r="C476" s="14" t="s">
        <v>720</v>
      </c>
      <c r="D476" s="14" t="s">
        <v>535</v>
      </c>
      <c r="E476" s="14" t="s">
        <v>2144</v>
      </c>
      <c r="F476" s="14">
        <v>20</v>
      </c>
      <c r="G476" s="14">
        <v>451.47</v>
      </c>
      <c r="H476" s="14">
        <v>22.57</v>
      </c>
      <c r="I476" s="14">
        <v>40</v>
      </c>
      <c r="J476" s="14">
        <v>270.88</v>
      </c>
      <c r="K476" s="110"/>
    </row>
    <row r="477" spans="1:11">
      <c r="A477" s="131" t="str">
        <f t="shared" si="7"/>
        <v>Holiday Inn Marne La Vallée_2018-08</v>
      </c>
      <c r="B477" s="14" t="s">
        <v>1680</v>
      </c>
      <c r="C477" s="14" t="s">
        <v>720</v>
      </c>
      <c r="D477" s="14" t="s">
        <v>535</v>
      </c>
      <c r="E477" s="14" t="s">
        <v>2189</v>
      </c>
      <c r="F477" s="14">
        <v>20</v>
      </c>
      <c r="G477" s="14">
        <v>374.51</v>
      </c>
      <c r="H477" s="14">
        <v>18.73</v>
      </c>
      <c r="I477" s="14">
        <v>40</v>
      </c>
      <c r="J477" s="14">
        <v>224.71</v>
      </c>
      <c r="K477" s="110"/>
    </row>
    <row r="478" spans="1:11" hidden="1">
      <c r="A478" s="131" t="str">
        <f t="shared" si="7"/>
        <v>Holiday Inn Marne La Vallée_2018-09</v>
      </c>
      <c r="B478" s="14" t="s">
        <v>1680</v>
      </c>
      <c r="C478" s="14" t="s">
        <v>720</v>
      </c>
      <c r="D478" s="14" t="s">
        <v>535</v>
      </c>
      <c r="E478" s="14" t="s">
        <v>2268</v>
      </c>
      <c r="F478" s="14">
        <v>20</v>
      </c>
      <c r="G478" s="14">
        <v>508.88</v>
      </c>
      <c r="H478" s="14">
        <v>25.44</v>
      </c>
      <c r="I478" s="14">
        <v>40</v>
      </c>
      <c r="J478" s="14">
        <v>305.33</v>
      </c>
      <c r="K478" s="110"/>
    </row>
    <row r="479" spans="1:11" hidden="1">
      <c r="A479" s="131" t="str">
        <f t="shared" si="7"/>
        <v>Holiday Inn Roissy CDG_2018-07</v>
      </c>
      <c r="B479" s="14" t="s">
        <v>1681</v>
      </c>
      <c r="C479" s="14" t="s">
        <v>1762</v>
      </c>
      <c r="D479" s="14" t="s">
        <v>535</v>
      </c>
      <c r="E479" s="14" t="s">
        <v>2144</v>
      </c>
      <c r="F479" s="14">
        <v>4</v>
      </c>
      <c r="G479" s="14">
        <v>359.5</v>
      </c>
      <c r="H479" s="14">
        <v>89.88</v>
      </c>
      <c r="I479" s="14">
        <v>35</v>
      </c>
      <c r="J479" s="14">
        <v>233.68</v>
      </c>
      <c r="K479" s="110"/>
    </row>
    <row r="480" spans="1:11">
      <c r="A480" s="131" t="str">
        <f t="shared" si="7"/>
        <v>Holiday Inn Roissy CDG_2018-08</v>
      </c>
      <c r="B480" s="14" t="s">
        <v>1681</v>
      </c>
      <c r="C480" s="14" t="s">
        <v>1762</v>
      </c>
      <c r="D480" s="14" t="s">
        <v>535</v>
      </c>
      <c r="E480" s="14" t="s">
        <v>2189</v>
      </c>
      <c r="F480" s="14">
        <v>4</v>
      </c>
      <c r="G480" s="14">
        <v>794.5</v>
      </c>
      <c r="H480" s="14">
        <v>198.63</v>
      </c>
      <c r="I480" s="14">
        <v>35</v>
      </c>
      <c r="J480" s="14">
        <v>516.41999999999996</v>
      </c>
      <c r="K480" s="110"/>
    </row>
    <row r="481" spans="1:11" hidden="1">
      <c r="A481" s="131" t="str">
        <f t="shared" si="7"/>
        <v>Holiday Inn Roissy CDG_2018-09</v>
      </c>
      <c r="B481" s="14" t="s">
        <v>1681</v>
      </c>
      <c r="C481" s="14" t="s">
        <v>1762</v>
      </c>
      <c r="D481" s="14" t="s">
        <v>535</v>
      </c>
      <c r="E481" s="14" t="s">
        <v>2268</v>
      </c>
      <c r="F481" s="14">
        <v>15</v>
      </c>
      <c r="G481" s="14">
        <v>1378.87</v>
      </c>
      <c r="H481" s="14">
        <v>91.92</v>
      </c>
      <c r="I481" s="14">
        <v>35</v>
      </c>
      <c r="J481" s="14">
        <v>896.27</v>
      </c>
      <c r="K481" s="110"/>
    </row>
    <row r="482" spans="1:11" hidden="1">
      <c r="A482" s="131" t="str">
        <f t="shared" si="7"/>
        <v>Holiday Inn Vélizy_2018-07</v>
      </c>
      <c r="B482" s="14" t="s">
        <v>1763</v>
      </c>
      <c r="C482" s="14" t="s">
        <v>1046</v>
      </c>
      <c r="D482" s="14" t="s">
        <v>535</v>
      </c>
      <c r="E482" s="14" t="s">
        <v>2144</v>
      </c>
      <c r="F482" s="14">
        <v>15</v>
      </c>
      <c r="G482" s="14">
        <v>299</v>
      </c>
      <c r="H482" s="14">
        <v>19.93</v>
      </c>
      <c r="I482" s="14">
        <v>50</v>
      </c>
      <c r="J482" s="14">
        <v>149.5</v>
      </c>
      <c r="K482" s="110"/>
    </row>
    <row r="483" spans="1:11">
      <c r="A483" s="131" t="str">
        <f t="shared" si="7"/>
        <v>Holiday Inn Vélizy_2018-08</v>
      </c>
      <c r="B483" s="14" t="s">
        <v>1763</v>
      </c>
      <c r="C483" s="14" t="s">
        <v>1046</v>
      </c>
      <c r="D483" s="14" t="s">
        <v>535</v>
      </c>
      <c r="E483" s="14" t="s">
        <v>2189</v>
      </c>
      <c r="F483" s="14">
        <v>15</v>
      </c>
      <c r="G483" s="14">
        <v>300</v>
      </c>
      <c r="H483" s="14">
        <v>20</v>
      </c>
      <c r="I483" s="14">
        <v>50</v>
      </c>
      <c r="J483" s="14">
        <v>150</v>
      </c>
      <c r="K483" s="110"/>
    </row>
    <row r="484" spans="1:11" hidden="1">
      <c r="A484" s="131" t="str">
        <f t="shared" si="7"/>
        <v>Holiday Inn Vélizy_2018-09</v>
      </c>
      <c r="B484" s="14" t="s">
        <v>1763</v>
      </c>
      <c r="C484" s="14" t="s">
        <v>1046</v>
      </c>
      <c r="D484" s="14" t="s">
        <v>535</v>
      </c>
      <c r="E484" s="14" t="s">
        <v>2268</v>
      </c>
      <c r="F484" s="14">
        <v>15</v>
      </c>
      <c r="G484" s="14">
        <v>300</v>
      </c>
      <c r="H484" s="14">
        <v>20</v>
      </c>
      <c r="I484" s="14">
        <v>50</v>
      </c>
      <c r="J484" s="14">
        <v>150</v>
      </c>
      <c r="K484" s="110"/>
    </row>
    <row r="485" spans="1:11" hidden="1">
      <c r="A485" s="131" t="str">
        <f t="shared" si="7"/>
        <v>Hôtel Ariana_2018-07</v>
      </c>
      <c r="B485" s="14" t="s">
        <v>1682</v>
      </c>
      <c r="C485" s="14" t="s">
        <v>1404</v>
      </c>
      <c r="D485" s="14" t="s">
        <v>535</v>
      </c>
      <c r="E485" s="14" t="s">
        <v>2144</v>
      </c>
      <c r="F485" s="14">
        <v>10</v>
      </c>
      <c r="G485" s="14">
        <v>543.80999999999995</v>
      </c>
      <c r="H485" s="14">
        <v>54.38</v>
      </c>
      <c r="I485" s="14">
        <v>40</v>
      </c>
      <c r="J485" s="14">
        <v>326.29000000000002</v>
      </c>
      <c r="K485" s="110"/>
    </row>
    <row r="486" spans="1:11">
      <c r="A486" s="131" t="str">
        <f t="shared" si="7"/>
        <v>Hôtel Ariana_2018-08</v>
      </c>
      <c r="B486" s="14" t="s">
        <v>1682</v>
      </c>
      <c r="C486" s="14" t="s">
        <v>1404</v>
      </c>
      <c r="D486" s="14" t="s">
        <v>535</v>
      </c>
      <c r="E486" s="14" t="s">
        <v>2189</v>
      </c>
      <c r="F486" s="14">
        <v>10</v>
      </c>
      <c r="G486" s="14">
        <v>414.24</v>
      </c>
      <c r="H486" s="14">
        <v>41.42</v>
      </c>
      <c r="I486" s="14">
        <v>40</v>
      </c>
      <c r="J486" s="14">
        <v>248.54</v>
      </c>
      <c r="K486" s="110"/>
    </row>
    <row r="487" spans="1:11" hidden="1">
      <c r="A487" s="131" t="str">
        <f t="shared" si="7"/>
        <v>Hôtel Ariana_2018-09</v>
      </c>
      <c r="B487" s="14" t="s">
        <v>1682</v>
      </c>
      <c r="C487" s="14" t="s">
        <v>1404</v>
      </c>
      <c r="D487" s="14" t="s">
        <v>535</v>
      </c>
      <c r="E487" s="14" t="s">
        <v>2268</v>
      </c>
      <c r="F487" s="14">
        <v>10</v>
      </c>
      <c r="G487" s="14">
        <v>448.02</v>
      </c>
      <c r="H487" s="14">
        <v>44.8</v>
      </c>
      <c r="I487" s="14">
        <v>40</v>
      </c>
      <c r="J487" s="14">
        <v>268.81</v>
      </c>
      <c r="K487" s="110"/>
    </row>
    <row r="488" spans="1:11" hidden="1">
      <c r="A488" s="131" t="str">
        <f t="shared" ref="A488:A551" si="8">CONCATENATE(B488,"_",E488)</f>
        <v>Hôtel de Brienne_2018-07</v>
      </c>
      <c r="B488" s="14" t="s">
        <v>1720</v>
      </c>
      <c r="C488" s="14" t="s">
        <v>1611</v>
      </c>
      <c r="D488" s="14" t="s">
        <v>535</v>
      </c>
      <c r="E488" s="14" t="s">
        <v>2144</v>
      </c>
      <c r="F488" s="14">
        <v>5</v>
      </c>
      <c r="G488" s="14">
        <v>321.45</v>
      </c>
      <c r="H488" s="14">
        <v>64.290000000000006</v>
      </c>
      <c r="I488" s="14">
        <v>30</v>
      </c>
      <c r="J488" s="14">
        <v>225.01</v>
      </c>
      <c r="K488" s="110"/>
    </row>
    <row r="489" spans="1:11">
      <c r="A489" s="131" t="str">
        <f t="shared" si="8"/>
        <v>Hôtel de Brienne_2018-08</v>
      </c>
      <c r="B489" s="14" t="s">
        <v>1720</v>
      </c>
      <c r="C489" s="14" t="s">
        <v>1611</v>
      </c>
      <c r="D489" s="14" t="s">
        <v>535</v>
      </c>
      <c r="E489" s="14" t="s">
        <v>2189</v>
      </c>
      <c r="F489" s="14">
        <v>5</v>
      </c>
      <c r="G489" s="14">
        <v>307.87</v>
      </c>
      <c r="H489" s="14">
        <v>61.57</v>
      </c>
      <c r="I489" s="14">
        <v>30</v>
      </c>
      <c r="J489" s="14">
        <v>215.51</v>
      </c>
      <c r="K489" s="110"/>
    </row>
    <row r="490" spans="1:11" hidden="1">
      <c r="A490" s="131" t="str">
        <f t="shared" si="8"/>
        <v>Hôtel de Brienne_2018-09</v>
      </c>
      <c r="B490" s="14" t="s">
        <v>1720</v>
      </c>
      <c r="C490" s="14" t="s">
        <v>1611</v>
      </c>
      <c r="D490" s="14" t="s">
        <v>535</v>
      </c>
      <c r="E490" s="14" t="s">
        <v>2268</v>
      </c>
      <c r="F490" s="14">
        <v>5</v>
      </c>
      <c r="G490" s="14">
        <v>396.4</v>
      </c>
      <c r="H490" s="14">
        <v>79.28</v>
      </c>
      <c r="I490" s="14">
        <v>30</v>
      </c>
      <c r="J490" s="14">
        <v>277.48</v>
      </c>
      <c r="K490" s="110"/>
    </row>
    <row r="491" spans="1:11" hidden="1">
      <c r="A491" s="131" t="str">
        <f t="shared" si="8"/>
        <v>Hôtel Elysée Serris_2018-07</v>
      </c>
      <c r="B491" s="14" t="s">
        <v>2081</v>
      </c>
      <c r="C491" s="14" t="s">
        <v>721</v>
      </c>
      <c r="D491" s="14" t="s">
        <v>535</v>
      </c>
      <c r="E491" s="14" t="s">
        <v>2144</v>
      </c>
      <c r="F491" s="14">
        <v>10</v>
      </c>
      <c r="G491" s="14">
        <v>731.21</v>
      </c>
      <c r="H491" s="14">
        <v>73.12</v>
      </c>
      <c r="I491" s="14">
        <v>40</v>
      </c>
      <c r="J491" s="14">
        <v>438.73</v>
      </c>
      <c r="K491" s="110"/>
    </row>
    <row r="492" spans="1:11">
      <c r="A492" s="131" t="str">
        <f t="shared" si="8"/>
        <v>Hôtel Elysée Serris_2018-08</v>
      </c>
      <c r="B492" s="14" t="s">
        <v>2081</v>
      </c>
      <c r="C492" s="14" t="s">
        <v>721</v>
      </c>
      <c r="D492" s="14" t="s">
        <v>535</v>
      </c>
      <c r="E492" s="14" t="s">
        <v>2189</v>
      </c>
      <c r="F492" s="14">
        <v>10</v>
      </c>
      <c r="G492" s="14">
        <v>655.01</v>
      </c>
      <c r="H492" s="14">
        <v>65.5</v>
      </c>
      <c r="I492" s="14">
        <v>40</v>
      </c>
      <c r="J492" s="14">
        <v>393.01</v>
      </c>
      <c r="K492" s="110"/>
    </row>
    <row r="493" spans="1:11" hidden="1">
      <c r="A493" s="131" t="str">
        <f t="shared" si="8"/>
        <v>Hôtel Elysée Serris_2018-09</v>
      </c>
      <c r="B493" s="14" t="s">
        <v>2081</v>
      </c>
      <c r="C493" s="14" t="s">
        <v>721</v>
      </c>
      <c r="D493" s="14" t="s">
        <v>535</v>
      </c>
      <c r="E493" s="14" t="s">
        <v>2268</v>
      </c>
      <c r="F493" s="14">
        <v>10</v>
      </c>
      <c r="G493" s="14">
        <v>494.07</v>
      </c>
      <c r="H493" s="14">
        <v>49.41</v>
      </c>
      <c r="I493" s="14">
        <v>40</v>
      </c>
      <c r="J493" s="14">
        <v>296.44</v>
      </c>
      <c r="K493" s="110"/>
    </row>
    <row r="494" spans="1:11" hidden="1">
      <c r="A494" s="131" t="str">
        <f t="shared" si="8"/>
        <v>Hotel Prince de Liege_2018-07</v>
      </c>
      <c r="B494" s="14" t="s">
        <v>1978</v>
      </c>
      <c r="C494" s="14" t="s">
        <v>1277</v>
      </c>
      <c r="D494" s="14" t="s">
        <v>535</v>
      </c>
      <c r="E494" s="14" t="s">
        <v>2144</v>
      </c>
      <c r="F494" s="14">
        <v>2</v>
      </c>
      <c r="G494" s="14">
        <v>114</v>
      </c>
      <c r="H494" s="14">
        <v>57</v>
      </c>
      <c r="I494" s="14">
        <v>50</v>
      </c>
      <c r="J494" s="14">
        <v>57</v>
      </c>
      <c r="K494" s="110"/>
    </row>
    <row r="495" spans="1:11">
      <c r="A495" s="131" t="str">
        <f t="shared" si="8"/>
        <v>Hotel Prince de Liege_2018-08</v>
      </c>
      <c r="B495" s="14" t="s">
        <v>1978</v>
      </c>
      <c r="C495" s="14" t="s">
        <v>1277</v>
      </c>
      <c r="D495" s="14" t="s">
        <v>535</v>
      </c>
      <c r="E495" s="14" t="s">
        <v>2189</v>
      </c>
      <c r="F495" s="14">
        <v>2</v>
      </c>
      <c r="G495" s="14">
        <v>114</v>
      </c>
      <c r="H495" s="14">
        <v>57</v>
      </c>
      <c r="I495" s="14">
        <v>50</v>
      </c>
      <c r="J495" s="14">
        <v>57</v>
      </c>
      <c r="K495" s="110"/>
    </row>
    <row r="496" spans="1:11" hidden="1">
      <c r="A496" s="131" t="str">
        <f t="shared" si="8"/>
        <v>Hotel Prince de Liege_2018-09</v>
      </c>
      <c r="B496" s="14" t="s">
        <v>1978</v>
      </c>
      <c r="C496" s="14" t="s">
        <v>1277</v>
      </c>
      <c r="D496" s="14" t="s">
        <v>535</v>
      </c>
      <c r="E496" s="14" t="s">
        <v>2268</v>
      </c>
      <c r="F496" s="14">
        <v>2</v>
      </c>
      <c r="G496" s="14">
        <v>26.5</v>
      </c>
      <c r="H496" s="14">
        <v>13.25</v>
      </c>
      <c r="I496" s="14">
        <v>50</v>
      </c>
      <c r="J496" s="14">
        <v>13.25</v>
      </c>
      <c r="K496" s="110"/>
    </row>
    <row r="497" spans="1:11" hidden="1">
      <c r="A497" s="131" t="str">
        <f t="shared" si="8"/>
        <v>Ibis Budget Aubervilliers_2018-07</v>
      </c>
      <c r="B497" s="14" t="s">
        <v>2086</v>
      </c>
      <c r="C497" s="14" t="s">
        <v>1405</v>
      </c>
      <c r="D497" s="14" t="s">
        <v>535</v>
      </c>
      <c r="E497" s="14" t="s">
        <v>2144</v>
      </c>
      <c r="F497" s="14">
        <v>10</v>
      </c>
      <c r="G497" s="14">
        <v>557.29999999999995</v>
      </c>
      <c r="H497" s="14">
        <v>55.73</v>
      </c>
      <c r="I497" s="14">
        <v>30</v>
      </c>
      <c r="J497" s="14">
        <v>390.11</v>
      </c>
      <c r="K497" s="110"/>
    </row>
    <row r="498" spans="1:11">
      <c r="A498" s="131" t="str">
        <f t="shared" si="8"/>
        <v>Ibis Budget Aubervilliers_2018-08</v>
      </c>
      <c r="B498" s="14" t="s">
        <v>2086</v>
      </c>
      <c r="C498" s="14" t="s">
        <v>1405</v>
      </c>
      <c r="D498" s="14" t="s">
        <v>535</v>
      </c>
      <c r="E498" s="14" t="s">
        <v>2189</v>
      </c>
      <c r="F498" s="14">
        <v>10</v>
      </c>
      <c r="G498" s="14">
        <v>422.78</v>
      </c>
      <c r="H498" s="14">
        <v>42.28</v>
      </c>
      <c r="I498" s="14">
        <v>30</v>
      </c>
      <c r="J498" s="14">
        <v>295.95</v>
      </c>
      <c r="K498" s="110"/>
    </row>
    <row r="499" spans="1:11" hidden="1">
      <c r="A499" s="131" t="str">
        <f t="shared" si="8"/>
        <v>Ibis Budget Aubervilliers_2018-09</v>
      </c>
      <c r="B499" s="14" t="s">
        <v>2086</v>
      </c>
      <c r="C499" s="14" t="s">
        <v>1405</v>
      </c>
      <c r="D499" s="14" t="s">
        <v>535</v>
      </c>
      <c r="E499" s="14" t="s">
        <v>2268</v>
      </c>
      <c r="F499" s="14">
        <v>10</v>
      </c>
      <c r="G499" s="14">
        <v>491.79</v>
      </c>
      <c r="H499" s="14">
        <v>49.18</v>
      </c>
      <c r="I499" s="14">
        <v>30</v>
      </c>
      <c r="J499" s="14">
        <v>344.25</v>
      </c>
      <c r="K499" s="110"/>
    </row>
    <row r="500" spans="1:11" hidden="1">
      <c r="A500" s="131" t="str">
        <f t="shared" si="8"/>
        <v>Ibis Budget Bry sur Marne_2018-07</v>
      </c>
      <c r="B500" s="14" t="s">
        <v>2084</v>
      </c>
      <c r="C500" s="14" t="s">
        <v>2320</v>
      </c>
      <c r="D500" s="14" t="s">
        <v>535</v>
      </c>
      <c r="E500" s="14" t="s">
        <v>2144</v>
      </c>
      <c r="F500" s="14">
        <v>10</v>
      </c>
      <c r="G500" s="14">
        <v>1.2</v>
      </c>
      <c r="H500" s="14">
        <v>0.12</v>
      </c>
      <c r="I500" s="14">
        <v>30</v>
      </c>
      <c r="J500" s="14">
        <v>0.84</v>
      </c>
      <c r="K500" s="110"/>
    </row>
    <row r="501" spans="1:11" hidden="1">
      <c r="A501" s="131" t="str">
        <f t="shared" si="8"/>
        <v>Ibis Budget Nanterre_2018-07</v>
      </c>
      <c r="B501" s="14" t="s">
        <v>2085</v>
      </c>
      <c r="C501" s="14" t="s">
        <v>1806</v>
      </c>
      <c r="D501" s="14" t="s">
        <v>535</v>
      </c>
      <c r="E501" s="14" t="s">
        <v>2144</v>
      </c>
      <c r="F501" s="14">
        <v>5</v>
      </c>
      <c r="G501" s="14">
        <v>91.33</v>
      </c>
      <c r="H501" s="14">
        <v>18.27</v>
      </c>
      <c r="I501" s="14">
        <v>30</v>
      </c>
      <c r="J501" s="14">
        <v>63.93</v>
      </c>
      <c r="K501" s="110"/>
    </row>
    <row r="502" spans="1:11">
      <c r="A502" s="131" t="str">
        <f t="shared" si="8"/>
        <v>Ibis Budget Nanterre_2018-08</v>
      </c>
      <c r="B502" s="14" t="s">
        <v>2085</v>
      </c>
      <c r="C502" s="14" t="s">
        <v>1806</v>
      </c>
      <c r="D502" s="14" t="s">
        <v>535</v>
      </c>
      <c r="E502" s="14" t="s">
        <v>2189</v>
      </c>
      <c r="F502" s="14">
        <v>5</v>
      </c>
      <c r="G502" s="14">
        <v>58.74</v>
      </c>
      <c r="H502" s="14">
        <v>11.75</v>
      </c>
      <c r="I502" s="14">
        <v>30</v>
      </c>
      <c r="J502" s="14">
        <v>41.12</v>
      </c>
      <c r="K502" s="110"/>
    </row>
    <row r="503" spans="1:11" hidden="1">
      <c r="A503" s="131" t="str">
        <f t="shared" si="8"/>
        <v>Ibis Budget Nanterre_2018-09</v>
      </c>
      <c r="B503" s="14" t="s">
        <v>2085</v>
      </c>
      <c r="C503" s="14" t="s">
        <v>1806</v>
      </c>
      <c r="D503" s="14" t="s">
        <v>535</v>
      </c>
      <c r="E503" s="14" t="s">
        <v>2268</v>
      </c>
      <c r="F503" s="14">
        <v>5</v>
      </c>
      <c r="G503" s="14">
        <v>50.08</v>
      </c>
      <c r="H503" s="14">
        <v>10.02</v>
      </c>
      <c r="I503" s="14">
        <v>30</v>
      </c>
      <c r="J503" s="14">
        <v>35.06</v>
      </c>
      <c r="K503" s="110"/>
    </row>
    <row r="504" spans="1:11" hidden="1">
      <c r="A504" s="131" t="str">
        <f t="shared" si="8"/>
        <v>Ibis Budget Porte de Montmartre_2018-07</v>
      </c>
      <c r="B504" s="14" t="s">
        <v>2089</v>
      </c>
      <c r="C504" s="14" t="s">
        <v>1365</v>
      </c>
      <c r="D504" s="14" t="s">
        <v>535</v>
      </c>
      <c r="E504" s="14" t="s">
        <v>2144</v>
      </c>
      <c r="F504" s="14">
        <v>50</v>
      </c>
      <c r="G504" s="14">
        <v>2909.83</v>
      </c>
      <c r="H504" s="14">
        <v>58.2</v>
      </c>
      <c r="I504" s="14">
        <v>30</v>
      </c>
      <c r="J504" s="14">
        <v>2036.88</v>
      </c>
      <c r="K504" s="110"/>
    </row>
    <row r="505" spans="1:11">
      <c r="A505" s="131" t="str">
        <f t="shared" si="8"/>
        <v>Ibis Budget Porte de Montmartre_2018-08</v>
      </c>
      <c r="B505" s="14" t="s">
        <v>2089</v>
      </c>
      <c r="C505" s="14" t="s">
        <v>1365</v>
      </c>
      <c r="D505" s="14" t="s">
        <v>535</v>
      </c>
      <c r="E505" s="14" t="s">
        <v>2189</v>
      </c>
      <c r="F505" s="14">
        <v>50</v>
      </c>
      <c r="G505" s="14">
        <v>3134.61</v>
      </c>
      <c r="H505" s="14">
        <v>62.69</v>
      </c>
      <c r="I505" s="14">
        <v>30</v>
      </c>
      <c r="J505" s="14">
        <v>2194.23</v>
      </c>
      <c r="K505" s="110"/>
    </row>
    <row r="506" spans="1:11" hidden="1">
      <c r="A506" s="131" t="str">
        <f t="shared" si="8"/>
        <v>Ibis Budget Porte de Montmartre_2018-09</v>
      </c>
      <c r="B506" s="14" t="s">
        <v>2089</v>
      </c>
      <c r="C506" s="14" t="s">
        <v>1365</v>
      </c>
      <c r="D506" s="14" t="s">
        <v>535</v>
      </c>
      <c r="E506" s="14" t="s">
        <v>2268</v>
      </c>
      <c r="F506" s="14">
        <v>31.33</v>
      </c>
      <c r="G506" s="14">
        <v>2908.28</v>
      </c>
      <c r="H506" s="14">
        <v>92.83</v>
      </c>
      <c r="I506" s="14">
        <v>30</v>
      </c>
      <c r="J506" s="14">
        <v>2035.8</v>
      </c>
      <c r="K506" s="110"/>
    </row>
    <row r="507" spans="1:11" hidden="1">
      <c r="A507" s="131" t="str">
        <f t="shared" si="8"/>
        <v>Ibis Budget Porte de Vanves_2018-07</v>
      </c>
      <c r="B507" s="14" t="s">
        <v>2091</v>
      </c>
      <c r="C507" s="14" t="s">
        <v>1406</v>
      </c>
      <c r="D507" s="14" t="s">
        <v>535</v>
      </c>
      <c r="E507" s="14" t="s">
        <v>2144</v>
      </c>
      <c r="F507" s="14">
        <v>15</v>
      </c>
      <c r="G507" s="14">
        <v>1373.47</v>
      </c>
      <c r="H507" s="14">
        <v>91.56</v>
      </c>
      <c r="I507" s="14">
        <v>30</v>
      </c>
      <c r="J507" s="14">
        <v>961.43</v>
      </c>
      <c r="K507" s="110"/>
    </row>
    <row r="508" spans="1:11">
      <c r="A508" s="131" t="str">
        <f t="shared" si="8"/>
        <v>Ibis Budget Porte de Vanves_2018-08</v>
      </c>
      <c r="B508" s="14" t="s">
        <v>2091</v>
      </c>
      <c r="C508" s="14" t="s">
        <v>1406</v>
      </c>
      <c r="D508" s="14" t="s">
        <v>535</v>
      </c>
      <c r="E508" s="14" t="s">
        <v>2189</v>
      </c>
      <c r="F508" s="14">
        <v>15</v>
      </c>
      <c r="G508" s="14">
        <v>1369.48</v>
      </c>
      <c r="H508" s="14">
        <v>91.3</v>
      </c>
      <c r="I508" s="14">
        <v>30</v>
      </c>
      <c r="J508" s="14">
        <v>958.64</v>
      </c>
      <c r="K508" s="110"/>
    </row>
    <row r="509" spans="1:11" hidden="1">
      <c r="A509" s="131" t="str">
        <f t="shared" si="8"/>
        <v>Ibis Budget Porte de Vanves_2018-09</v>
      </c>
      <c r="B509" s="14" t="s">
        <v>2091</v>
      </c>
      <c r="C509" s="14" t="s">
        <v>1406</v>
      </c>
      <c r="D509" s="14" t="s">
        <v>535</v>
      </c>
      <c r="E509" s="14" t="s">
        <v>2268</v>
      </c>
      <c r="F509" s="14">
        <v>15</v>
      </c>
      <c r="G509" s="14">
        <v>1909.36</v>
      </c>
      <c r="H509" s="14">
        <v>127.29</v>
      </c>
      <c r="I509" s="14">
        <v>30</v>
      </c>
      <c r="J509" s="14">
        <v>1336.55</v>
      </c>
      <c r="K509" s="110"/>
    </row>
    <row r="510" spans="1:11" hidden="1">
      <c r="A510" s="131" t="str">
        <f t="shared" si="8"/>
        <v>Ibis Budget Porte d'Italie Est_2018-07</v>
      </c>
      <c r="B510" s="14" t="s">
        <v>2087</v>
      </c>
      <c r="C510" s="14" t="s">
        <v>1816</v>
      </c>
      <c r="D510" s="14" t="s">
        <v>535</v>
      </c>
      <c r="E510" s="14" t="s">
        <v>2144</v>
      </c>
      <c r="F510" s="14">
        <v>4.42</v>
      </c>
      <c r="G510" s="14">
        <v>408.27</v>
      </c>
      <c r="H510" s="14">
        <v>92.37</v>
      </c>
      <c r="I510" s="14">
        <v>30</v>
      </c>
      <c r="J510" s="14">
        <v>285.79000000000002</v>
      </c>
      <c r="K510" s="110"/>
    </row>
    <row r="511" spans="1:11">
      <c r="A511" s="131" t="str">
        <f t="shared" si="8"/>
        <v>Ibis Budget Porte d'Italie Est_2018-08</v>
      </c>
      <c r="B511" s="14" t="s">
        <v>2087</v>
      </c>
      <c r="C511" s="14" t="s">
        <v>1816</v>
      </c>
      <c r="D511" s="14" t="s">
        <v>535</v>
      </c>
      <c r="E511" s="14" t="s">
        <v>2189</v>
      </c>
      <c r="F511" s="14">
        <v>5</v>
      </c>
      <c r="G511" s="14">
        <v>391.63</v>
      </c>
      <c r="H511" s="14">
        <v>78.33</v>
      </c>
      <c r="I511" s="14">
        <v>30</v>
      </c>
      <c r="J511" s="14">
        <v>274.14</v>
      </c>
      <c r="K511" s="110"/>
    </row>
    <row r="512" spans="1:11" hidden="1">
      <c r="A512" s="131" t="str">
        <f t="shared" si="8"/>
        <v>Ibis Budget Porte d'Italie Est_2018-09</v>
      </c>
      <c r="B512" s="14" t="s">
        <v>2087</v>
      </c>
      <c r="C512" s="14" t="s">
        <v>1816</v>
      </c>
      <c r="D512" s="14" t="s">
        <v>535</v>
      </c>
      <c r="E512" s="14" t="s">
        <v>2268</v>
      </c>
      <c r="F512" s="14">
        <v>5</v>
      </c>
      <c r="G512" s="14">
        <v>312.94</v>
      </c>
      <c r="H512" s="14">
        <v>62.59</v>
      </c>
      <c r="I512" s="14">
        <v>30</v>
      </c>
      <c r="J512" s="14">
        <v>219.06</v>
      </c>
      <c r="K512" s="110"/>
    </row>
    <row r="513" spans="1:11" hidden="1">
      <c r="A513" s="131" t="str">
        <f t="shared" si="8"/>
        <v>Ibis Budget Porte d'Italie Ouest_2018-07</v>
      </c>
      <c r="B513" s="14" t="s">
        <v>2088</v>
      </c>
      <c r="C513" s="14" t="s">
        <v>1901</v>
      </c>
      <c r="D513" s="14" t="s">
        <v>535</v>
      </c>
      <c r="E513" s="14" t="s">
        <v>2144</v>
      </c>
      <c r="F513" s="14">
        <v>5</v>
      </c>
      <c r="G513" s="14">
        <v>329.45</v>
      </c>
      <c r="H513" s="14">
        <v>65.89</v>
      </c>
      <c r="I513" s="14">
        <v>30</v>
      </c>
      <c r="J513" s="14">
        <v>230.62</v>
      </c>
      <c r="K513" s="110"/>
    </row>
    <row r="514" spans="1:11">
      <c r="A514" s="131" t="str">
        <f t="shared" si="8"/>
        <v>Ibis Budget Porte d'Italie Ouest_2018-08</v>
      </c>
      <c r="B514" s="14" t="s">
        <v>2088</v>
      </c>
      <c r="C514" s="14" t="s">
        <v>1901</v>
      </c>
      <c r="D514" s="14" t="s">
        <v>535</v>
      </c>
      <c r="E514" s="14" t="s">
        <v>2189</v>
      </c>
      <c r="F514" s="14">
        <v>5</v>
      </c>
      <c r="G514" s="14">
        <v>247.35</v>
      </c>
      <c r="H514" s="14">
        <v>49.47</v>
      </c>
      <c r="I514" s="14">
        <v>30</v>
      </c>
      <c r="J514" s="14">
        <v>173.15</v>
      </c>
      <c r="K514" s="110"/>
    </row>
    <row r="515" spans="1:11" hidden="1">
      <c r="A515" s="131" t="str">
        <f t="shared" si="8"/>
        <v>Ibis Budget Porte d'Italie Ouest_2018-09</v>
      </c>
      <c r="B515" s="14" t="s">
        <v>2088</v>
      </c>
      <c r="C515" s="14" t="s">
        <v>1901</v>
      </c>
      <c r="D515" s="14" t="s">
        <v>535</v>
      </c>
      <c r="E515" s="14" t="s">
        <v>2268</v>
      </c>
      <c r="F515" s="14">
        <v>5</v>
      </c>
      <c r="G515" s="14">
        <v>540.12</v>
      </c>
      <c r="H515" s="14">
        <v>108.02</v>
      </c>
      <c r="I515" s="14">
        <v>30</v>
      </c>
      <c r="J515" s="14">
        <v>378.08</v>
      </c>
      <c r="K515" s="110"/>
    </row>
    <row r="516" spans="1:11" hidden="1">
      <c r="A516" s="131" t="str">
        <f t="shared" si="8"/>
        <v>Ibis Marseille Calanques_2018-07</v>
      </c>
      <c r="B516" s="14" t="s">
        <v>2092</v>
      </c>
      <c r="C516" s="14" t="s">
        <v>1765</v>
      </c>
      <c r="D516" s="14" t="s">
        <v>535</v>
      </c>
      <c r="E516" s="14" t="s">
        <v>2144</v>
      </c>
      <c r="F516" s="14">
        <v>3</v>
      </c>
      <c r="G516" s="14">
        <v>96.72</v>
      </c>
      <c r="H516" s="14">
        <v>32.24</v>
      </c>
      <c r="I516" s="14">
        <v>30</v>
      </c>
      <c r="J516" s="14">
        <v>67.7</v>
      </c>
      <c r="K516" s="110"/>
    </row>
    <row r="517" spans="1:11">
      <c r="A517" s="131" t="str">
        <f t="shared" si="8"/>
        <v>Ibis Marseille Calanques_2018-08</v>
      </c>
      <c r="B517" s="14" t="s">
        <v>2092</v>
      </c>
      <c r="C517" s="14" t="s">
        <v>1765</v>
      </c>
      <c r="D517" s="14" t="s">
        <v>535</v>
      </c>
      <c r="E517" s="14" t="s">
        <v>2189</v>
      </c>
      <c r="F517" s="14">
        <v>3</v>
      </c>
      <c r="G517" s="14">
        <v>124.6</v>
      </c>
      <c r="H517" s="14">
        <v>41.53</v>
      </c>
      <c r="I517" s="14">
        <v>30</v>
      </c>
      <c r="J517" s="14">
        <v>87.22</v>
      </c>
      <c r="K517" s="110"/>
    </row>
    <row r="518" spans="1:11" hidden="1">
      <c r="A518" s="131" t="str">
        <f t="shared" si="8"/>
        <v>Ibis Marseille Calanques_2018-09</v>
      </c>
      <c r="B518" s="14" t="s">
        <v>2092</v>
      </c>
      <c r="C518" s="14" t="s">
        <v>1765</v>
      </c>
      <c r="D518" s="14" t="s">
        <v>535</v>
      </c>
      <c r="E518" s="14" t="s">
        <v>2268</v>
      </c>
      <c r="F518" s="14">
        <v>3</v>
      </c>
      <c r="G518" s="14">
        <v>56.43</v>
      </c>
      <c r="H518" s="14">
        <v>18.809999999999999</v>
      </c>
      <c r="I518" s="14">
        <v>30</v>
      </c>
      <c r="J518" s="14">
        <v>39.5</v>
      </c>
      <c r="K518" s="110"/>
    </row>
    <row r="519" spans="1:11" hidden="1">
      <c r="A519" s="131" t="str">
        <f t="shared" si="8"/>
        <v>Ibis Saint Quentin en Yvelines_2018-07</v>
      </c>
      <c r="B519" s="14" t="s">
        <v>1208</v>
      </c>
      <c r="C519" s="14" t="s">
        <v>1260</v>
      </c>
      <c r="D519" s="14" t="s">
        <v>535</v>
      </c>
      <c r="E519" s="14" t="s">
        <v>2144</v>
      </c>
      <c r="F519" s="14">
        <v>20</v>
      </c>
      <c r="G519" s="14">
        <v>197.21</v>
      </c>
      <c r="H519" s="14">
        <v>9.86</v>
      </c>
      <c r="I519" s="14">
        <v>30</v>
      </c>
      <c r="J519" s="14">
        <v>138.05000000000001</v>
      </c>
      <c r="K519" s="110"/>
    </row>
    <row r="520" spans="1:11">
      <c r="A520" s="131" t="str">
        <f t="shared" si="8"/>
        <v>Ibis Saint Quentin en Yvelines_2018-08</v>
      </c>
      <c r="B520" s="14" t="s">
        <v>1208</v>
      </c>
      <c r="C520" s="14" t="s">
        <v>1260</v>
      </c>
      <c r="D520" s="14" t="s">
        <v>535</v>
      </c>
      <c r="E520" s="14" t="s">
        <v>2189</v>
      </c>
      <c r="F520" s="14">
        <v>20</v>
      </c>
      <c r="G520" s="14">
        <v>302.16000000000003</v>
      </c>
      <c r="H520" s="14">
        <v>15.11</v>
      </c>
      <c r="I520" s="14">
        <v>30</v>
      </c>
      <c r="J520" s="14">
        <v>211.51</v>
      </c>
      <c r="K520" s="110"/>
    </row>
    <row r="521" spans="1:11" hidden="1">
      <c r="A521" s="131" t="str">
        <f t="shared" si="8"/>
        <v>Ibis Saint Quentin en Yvelines_2018-09</v>
      </c>
      <c r="B521" s="14" t="s">
        <v>1208</v>
      </c>
      <c r="C521" s="14" t="s">
        <v>1260</v>
      </c>
      <c r="D521" s="14" t="s">
        <v>535</v>
      </c>
      <c r="E521" s="14" t="s">
        <v>2268</v>
      </c>
      <c r="F521" s="14">
        <v>20</v>
      </c>
      <c r="G521" s="14">
        <v>321.92</v>
      </c>
      <c r="H521" s="14">
        <v>16.100000000000001</v>
      </c>
      <c r="I521" s="14">
        <v>30</v>
      </c>
      <c r="J521" s="14">
        <v>225.34</v>
      </c>
      <c r="K521" s="110"/>
    </row>
    <row r="522" spans="1:11" hidden="1">
      <c r="A522" s="131" t="str">
        <f t="shared" si="8"/>
        <v>Ibis Styles Brussels Louise_2018-07</v>
      </c>
      <c r="B522" s="14" t="s">
        <v>1348</v>
      </c>
      <c r="C522" s="14" t="s">
        <v>1366</v>
      </c>
      <c r="D522" s="14" t="s">
        <v>535</v>
      </c>
      <c r="E522" s="14" t="s">
        <v>2144</v>
      </c>
      <c r="F522" s="14">
        <v>10</v>
      </c>
      <c r="G522" s="14">
        <v>416.48</v>
      </c>
      <c r="H522" s="14">
        <v>41.65</v>
      </c>
      <c r="I522" s="14">
        <v>30</v>
      </c>
      <c r="J522" s="14">
        <v>291.54000000000002</v>
      </c>
      <c r="K522" s="110"/>
    </row>
    <row r="523" spans="1:11">
      <c r="A523" s="131" t="str">
        <f t="shared" si="8"/>
        <v>Ibis Styles Brussels Louise_2018-08</v>
      </c>
      <c r="B523" s="14" t="s">
        <v>1348</v>
      </c>
      <c r="C523" s="14" t="s">
        <v>1366</v>
      </c>
      <c r="D523" s="14" t="s">
        <v>535</v>
      </c>
      <c r="E523" s="14" t="s">
        <v>2189</v>
      </c>
      <c r="F523" s="14">
        <v>10</v>
      </c>
      <c r="G523" s="14">
        <v>417.71</v>
      </c>
      <c r="H523" s="14">
        <v>41.77</v>
      </c>
      <c r="I523" s="14">
        <v>30</v>
      </c>
      <c r="J523" s="14">
        <v>292.39999999999998</v>
      </c>
      <c r="K523" s="110"/>
    </row>
    <row r="524" spans="1:11" hidden="1">
      <c r="A524" s="131" t="str">
        <f t="shared" si="8"/>
        <v>Ibis Styles Brussels Louise_2018-09</v>
      </c>
      <c r="B524" s="14" t="s">
        <v>1348</v>
      </c>
      <c r="C524" s="14" t="s">
        <v>1366</v>
      </c>
      <c r="D524" s="14" t="s">
        <v>535</v>
      </c>
      <c r="E524" s="14" t="s">
        <v>2268</v>
      </c>
      <c r="F524" s="14">
        <v>10</v>
      </c>
      <c r="G524" s="14">
        <v>487.78</v>
      </c>
      <c r="H524" s="14">
        <v>48.78</v>
      </c>
      <c r="I524" s="14">
        <v>30</v>
      </c>
      <c r="J524" s="14">
        <v>341.45</v>
      </c>
      <c r="K524" s="110"/>
    </row>
    <row r="525" spans="1:11" hidden="1">
      <c r="A525" s="131" t="str">
        <f t="shared" si="8"/>
        <v>Ibis Styles Brussels Stephanie_2018-07</v>
      </c>
      <c r="B525" s="14" t="s">
        <v>1684</v>
      </c>
      <c r="C525" s="14" t="s">
        <v>1525</v>
      </c>
      <c r="D525" s="14" t="s">
        <v>535</v>
      </c>
      <c r="E525" s="14" t="s">
        <v>2144</v>
      </c>
      <c r="F525" s="14">
        <v>5</v>
      </c>
      <c r="G525" s="14">
        <v>217.31</v>
      </c>
      <c r="H525" s="14">
        <v>43.46</v>
      </c>
      <c r="I525" s="14">
        <v>30</v>
      </c>
      <c r="J525" s="14">
        <v>152.12</v>
      </c>
      <c r="K525" s="110"/>
    </row>
    <row r="526" spans="1:11">
      <c r="A526" s="131" t="str">
        <f t="shared" si="8"/>
        <v>Ibis Styles Brussels Stephanie_2018-08</v>
      </c>
      <c r="B526" s="14" t="s">
        <v>1684</v>
      </c>
      <c r="C526" s="14" t="s">
        <v>1525</v>
      </c>
      <c r="D526" s="14" t="s">
        <v>535</v>
      </c>
      <c r="E526" s="14" t="s">
        <v>2189</v>
      </c>
      <c r="F526" s="14">
        <v>5</v>
      </c>
      <c r="G526" s="14">
        <v>491.77</v>
      </c>
      <c r="H526" s="14">
        <v>98.35</v>
      </c>
      <c r="I526" s="14">
        <v>30</v>
      </c>
      <c r="J526" s="14">
        <v>344.24</v>
      </c>
      <c r="K526" s="110"/>
    </row>
    <row r="527" spans="1:11" hidden="1">
      <c r="A527" s="131" t="str">
        <f t="shared" si="8"/>
        <v>Ibis Styles Brussels Stephanie_2018-09</v>
      </c>
      <c r="B527" s="14" t="s">
        <v>1684</v>
      </c>
      <c r="C527" s="14" t="s">
        <v>1525</v>
      </c>
      <c r="D527" s="14" t="s">
        <v>535</v>
      </c>
      <c r="E527" s="14" t="s">
        <v>2268</v>
      </c>
      <c r="F527" s="14">
        <v>5</v>
      </c>
      <c r="G527" s="14">
        <v>110.72</v>
      </c>
      <c r="H527" s="14">
        <v>22.14</v>
      </c>
      <c r="I527" s="14">
        <v>30</v>
      </c>
      <c r="J527" s="14">
        <v>77.5</v>
      </c>
      <c r="K527" s="110"/>
    </row>
    <row r="528" spans="1:11" hidden="1">
      <c r="A528" s="131" t="str">
        <f t="shared" si="8"/>
        <v>Ibis Styles Porte d'Orléans_2018-07</v>
      </c>
      <c r="B528" s="14" t="s">
        <v>2093</v>
      </c>
      <c r="C528" s="14" t="s">
        <v>1407</v>
      </c>
      <c r="D528" s="14" t="s">
        <v>535</v>
      </c>
      <c r="E528" s="14" t="s">
        <v>2144</v>
      </c>
      <c r="F528" s="14">
        <v>9</v>
      </c>
      <c r="G528" s="14">
        <v>1137.92</v>
      </c>
      <c r="H528" s="14">
        <v>126.44</v>
      </c>
      <c r="I528" s="14">
        <v>30</v>
      </c>
      <c r="J528" s="14">
        <v>796.54</v>
      </c>
      <c r="K528" s="110"/>
    </row>
    <row r="529" spans="1:11">
      <c r="A529" s="131" t="str">
        <f t="shared" si="8"/>
        <v>Ibis Styles Porte d'Orléans_2018-08</v>
      </c>
      <c r="B529" s="14" t="s">
        <v>2093</v>
      </c>
      <c r="C529" s="14" t="s">
        <v>1407</v>
      </c>
      <c r="D529" s="14" t="s">
        <v>535</v>
      </c>
      <c r="E529" s="14" t="s">
        <v>2189</v>
      </c>
      <c r="F529" s="14">
        <v>9</v>
      </c>
      <c r="G529" s="14">
        <v>1061.8900000000001</v>
      </c>
      <c r="H529" s="14">
        <v>117.99</v>
      </c>
      <c r="I529" s="14">
        <v>30</v>
      </c>
      <c r="J529" s="14">
        <v>743.32</v>
      </c>
      <c r="K529" s="110"/>
    </row>
    <row r="530" spans="1:11" hidden="1">
      <c r="A530" s="131" t="str">
        <f t="shared" si="8"/>
        <v>Ibis Styles Porte d'Orléans_2018-09</v>
      </c>
      <c r="B530" s="14" t="s">
        <v>2093</v>
      </c>
      <c r="C530" s="14" t="s">
        <v>1407</v>
      </c>
      <c r="D530" s="14" t="s">
        <v>535</v>
      </c>
      <c r="E530" s="14" t="s">
        <v>2268</v>
      </c>
      <c r="F530" s="14">
        <v>9</v>
      </c>
      <c r="G530" s="14">
        <v>954.24</v>
      </c>
      <c r="H530" s="14">
        <v>106.03</v>
      </c>
      <c r="I530" s="14">
        <v>30</v>
      </c>
      <c r="J530" s="14">
        <v>667.97</v>
      </c>
      <c r="K530" s="110"/>
    </row>
    <row r="531" spans="1:11" hidden="1">
      <c r="A531" s="131" t="str">
        <f t="shared" si="8"/>
        <v>Ibis Styles Roissy CDG_2018-07</v>
      </c>
      <c r="B531" s="14" t="s">
        <v>1685</v>
      </c>
      <c r="C531" s="14" t="s">
        <v>1766</v>
      </c>
      <c r="D531" s="14" t="s">
        <v>535</v>
      </c>
      <c r="E531" s="14" t="s">
        <v>2144</v>
      </c>
      <c r="F531" s="14">
        <v>127</v>
      </c>
      <c r="G531" s="14">
        <v>9343.9</v>
      </c>
      <c r="H531" s="14">
        <v>73.569999999999993</v>
      </c>
      <c r="I531" s="14">
        <v>30</v>
      </c>
      <c r="J531" s="14">
        <v>6540.73</v>
      </c>
      <c r="K531" s="110"/>
    </row>
    <row r="532" spans="1:11">
      <c r="A532" s="131" t="str">
        <f t="shared" si="8"/>
        <v>Ibis Styles Roissy CDG_2018-08</v>
      </c>
      <c r="B532" s="14" t="s">
        <v>1685</v>
      </c>
      <c r="C532" s="14" t="s">
        <v>1766</v>
      </c>
      <c r="D532" s="14" t="s">
        <v>535</v>
      </c>
      <c r="E532" s="14" t="s">
        <v>2189</v>
      </c>
      <c r="F532" s="14">
        <v>127</v>
      </c>
      <c r="G532" s="14">
        <v>8199.7999999999993</v>
      </c>
      <c r="H532" s="14">
        <v>64.569999999999993</v>
      </c>
      <c r="I532" s="14">
        <v>30</v>
      </c>
      <c r="J532" s="14">
        <v>5739.86</v>
      </c>
      <c r="K532" s="110"/>
    </row>
    <row r="533" spans="1:11" hidden="1">
      <c r="A533" s="131" t="str">
        <f t="shared" si="8"/>
        <v>Ibis Styles Roissy CDG_2018-09</v>
      </c>
      <c r="B533" s="14" t="s">
        <v>1685</v>
      </c>
      <c r="C533" s="14" t="s">
        <v>1766</v>
      </c>
      <c r="D533" s="14" t="s">
        <v>535</v>
      </c>
      <c r="E533" s="14" t="s">
        <v>2268</v>
      </c>
      <c r="F533" s="14">
        <v>127</v>
      </c>
      <c r="G533" s="14">
        <v>9317</v>
      </c>
      <c r="H533" s="14">
        <v>73.36</v>
      </c>
      <c r="I533" s="14">
        <v>30</v>
      </c>
      <c r="J533" s="14">
        <v>6521.9</v>
      </c>
      <c r="K533" s="110"/>
    </row>
    <row r="534" spans="1:11" hidden="1">
      <c r="A534" s="131" t="str">
        <f t="shared" si="8"/>
        <v>Ibis Styles Saint-Malo Port_2018-07</v>
      </c>
      <c r="B534" s="14" t="s">
        <v>1686</v>
      </c>
      <c r="C534" s="14" t="s">
        <v>1767</v>
      </c>
      <c r="D534" s="14" t="s">
        <v>1768</v>
      </c>
      <c r="E534" s="14" t="s">
        <v>2144</v>
      </c>
      <c r="F534" s="14">
        <v>0</v>
      </c>
      <c r="G534" s="14">
        <v>0.3</v>
      </c>
      <c r="H534" s="14" t="s">
        <v>535</v>
      </c>
      <c r="I534" s="14">
        <v>25</v>
      </c>
      <c r="J534" s="14">
        <v>0.23</v>
      </c>
      <c r="K534" s="110"/>
    </row>
    <row r="535" spans="1:11">
      <c r="A535" s="131" t="str">
        <f t="shared" si="8"/>
        <v>Ibis Styles Saint-Malo Port_2018-08</v>
      </c>
      <c r="B535" s="14" t="s">
        <v>1686</v>
      </c>
      <c r="C535" s="14" t="s">
        <v>1767</v>
      </c>
      <c r="D535" s="14" t="s">
        <v>1768</v>
      </c>
      <c r="E535" s="14" t="s">
        <v>2189</v>
      </c>
      <c r="F535" s="14">
        <v>0</v>
      </c>
      <c r="G535" s="14">
        <v>50</v>
      </c>
      <c r="H535" s="14" t="s">
        <v>535</v>
      </c>
      <c r="I535" s="14">
        <v>25</v>
      </c>
      <c r="J535" s="14">
        <v>37.5</v>
      </c>
      <c r="K535" s="110"/>
    </row>
    <row r="536" spans="1:11" hidden="1">
      <c r="A536" s="131" t="str">
        <f t="shared" si="8"/>
        <v>Ibis Styles Saint-Malo Port_2018-09</v>
      </c>
      <c r="B536" s="14" t="s">
        <v>1686</v>
      </c>
      <c r="C536" s="14" t="s">
        <v>1767</v>
      </c>
      <c r="D536" s="14" t="s">
        <v>1768</v>
      </c>
      <c r="E536" s="14" t="s">
        <v>2268</v>
      </c>
      <c r="F536" s="14">
        <v>9</v>
      </c>
      <c r="G536" s="14">
        <v>228.72</v>
      </c>
      <c r="H536" s="14">
        <v>25.41</v>
      </c>
      <c r="I536" s="14">
        <v>25</v>
      </c>
      <c r="J536" s="14">
        <v>171.54</v>
      </c>
      <c r="K536" s="110"/>
    </row>
    <row r="537" spans="1:11" hidden="1">
      <c r="A537" s="131" t="str">
        <f t="shared" si="8"/>
        <v>Icade_2018-07</v>
      </c>
      <c r="B537" s="14" t="s">
        <v>888</v>
      </c>
      <c r="C537" s="14" t="s">
        <v>667</v>
      </c>
      <c r="D537" s="14" t="s">
        <v>535</v>
      </c>
      <c r="E537" s="14" t="s">
        <v>2144</v>
      </c>
      <c r="F537" s="14">
        <v>20</v>
      </c>
      <c r="G537" s="14">
        <v>134.69</v>
      </c>
      <c r="H537" s="14">
        <v>6.73</v>
      </c>
      <c r="I537" s="14">
        <v>50</v>
      </c>
      <c r="J537" s="14">
        <v>67.34</v>
      </c>
      <c r="K537" s="110"/>
    </row>
    <row r="538" spans="1:11">
      <c r="A538" s="131" t="str">
        <f t="shared" si="8"/>
        <v>Icade_2018-08</v>
      </c>
      <c r="B538" s="14" t="s">
        <v>888</v>
      </c>
      <c r="C538" s="14" t="s">
        <v>667</v>
      </c>
      <c r="D538" s="14" t="s">
        <v>535</v>
      </c>
      <c r="E538" s="14" t="s">
        <v>2189</v>
      </c>
      <c r="F538" s="14">
        <v>20</v>
      </c>
      <c r="G538" s="14">
        <v>127.87</v>
      </c>
      <c r="H538" s="14">
        <v>6.39</v>
      </c>
      <c r="I538" s="14">
        <v>50</v>
      </c>
      <c r="J538" s="14">
        <v>63.94</v>
      </c>
      <c r="K538" s="110"/>
    </row>
    <row r="539" spans="1:11" hidden="1">
      <c r="A539" s="131" t="str">
        <f t="shared" si="8"/>
        <v>Icade_2018-09</v>
      </c>
      <c r="B539" s="14" t="s">
        <v>888</v>
      </c>
      <c r="C539" s="14" t="s">
        <v>667</v>
      </c>
      <c r="D539" s="14" t="s">
        <v>535</v>
      </c>
      <c r="E539" s="14" t="s">
        <v>2268</v>
      </c>
      <c r="F539" s="14">
        <v>20</v>
      </c>
      <c r="G539" s="14">
        <v>153.82</v>
      </c>
      <c r="H539" s="14">
        <v>7.69</v>
      </c>
      <c r="I539" s="14">
        <v>50</v>
      </c>
      <c r="J539" s="14">
        <v>76.91</v>
      </c>
      <c r="K539" s="110"/>
    </row>
    <row r="540" spans="1:11" hidden="1">
      <c r="A540" s="131" t="str">
        <f t="shared" si="8"/>
        <v>ICF Habitat La Sablière_2018-07</v>
      </c>
      <c r="B540" s="14" t="s">
        <v>12</v>
      </c>
      <c r="C540" s="14" t="s">
        <v>944</v>
      </c>
      <c r="D540" s="14" t="s">
        <v>945</v>
      </c>
      <c r="E540" s="14" t="s">
        <v>2144</v>
      </c>
      <c r="F540" s="14">
        <v>5</v>
      </c>
      <c r="G540" s="14">
        <v>331.99</v>
      </c>
      <c r="H540" s="14">
        <v>66.400000000000006</v>
      </c>
      <c r="I540" s="14">
        <v>40</v>
      </c>
      <c r="J540" s="14">
        <v>199.19</v>
      </c>
      <c r="K540" s="110"/>
    </row>
    <row r="541" spans="1:11">
      <c r="A541" s="131" t="str">
        <f t="shared" si="8"/>
        <v>ICF Habitat La Sablière_2018-08</v>
      </c>
      <c r="B541" s="14" t="s">
        <v>12</v>
      </c>
      <c r="C541" s="14" t="s">
        <v>944</v>
      </c>
      <c r="D541" s="14" t="s">
        <v>945</v>
      </c>
      <c r="E541" s="14" t="s">
        <v>2189</v>
      </c>
      <c r="F541" s="14">
        <v>5</v>
      </c>
      <c r="G541" s="14">
        <v>352.37</v>
      </c>
      <c r="H541" s="14">
        <v>70.47</v>
      </c>
      <c r="I541" s="14">
        <v>40</v>
      </c>
      <c r="J541" s="14">
        <v>211.42</v>
      </c>
      <c r="K541" s="110"/>
    </row>
    <row r="542" spans="1:11" hidden="1">
      <c r="A542" s="131" t="str">
        <f t="shared" si="8"/>
        <v>ICF Habitat La Sablière_2018-09</v>
      </c>
      <c r="B542" s="14" t="s">
        <v>12</v>
      </c>
      <c r="C542" s="14" t="s">
        <v>944</v>
      </c>
      <c r="D542" s="14" t="s">
        <v>945</v>
      </c>
      <c r="E542" s="14" t="s">
        <v>2268</v>
      </c>
      <c r="F542" s="14">
        <v>5</v>
      </c>
      <c r="G542" s="14">
        <v>351.8</v>
      </c>
      <c r="H542" s="14">
        <v>70.36</v>
      </c>
      <c r="I542" s="14">
        <v>40</v>
      </c>
      <c r="J542" s="14">
        <v>211.08</v>
      </c>
      <c r="K542" s="110"/>
    </row>
    <row r="543" spans="1:11" hidden="1">
      <c r="A543" s="131" t="str">
        <f t="shared" si="8"/>
        <v>ICF Habitat La Sablière_2018-07</v>
      </c>
      <c r="B543" s="14" t="s">
        <v>12</v>
      </c>
      <c r="C543" s="14" t="s">
        <v>1182</v>
      </c>
      <c r="D543" s="14" t="s">
        <v>1183</v>
      </c>
      <c r="E543" s="14" t="s">
        <v>2144</v>
      </c>
      <c r="F543" s="14">
        <v>9</v>
      </c>
      <c r="G543" s="14">
        <v>241.09</v>
      </c>
      <c r="H543" s="14">
        <v>26.79</v>
      </c>
      <c r="I543" s="14">
        <v>40</v>
      </c>
      <c r="J543" s="14">
        <v>144.65</v>
      </c>
      <c r="K543" s="110"/>
    </row>
    <row r="544" spans="1:11">
      <c r="A544" s="131" t="str">
        <f t="shared" si="8"/>
        <v>ICF Habitat La Sablière_2018-08</v>
      </c>
      <c r="B544" s="14" t="s">
        <v>12</v>
      </c>
      <c r="C544" s="14" t="s">
        <v>1182</v>
      </c>
      <c r="D544" s="14" t="s">
        <v>1183</v>
      </c>
      <c r="E544" s="14" t="s">
        <v>2189</v>
      </c>
      <c r="F544" s="14">
        <v>9</v>
      </c>
      <c r="G544" s="14">
        <v>215.53</v>
      </c>
      <c r="H544" s="14">
        <v>23.95</v>
      </c>
      <c r="I544" s="14">
        <v>40</v>
      </c>
      <c r="J544" s="14">
        <v>129.32</v>
      </c>
      <c r="K544" s="110"/>
    </row>
    <row r="545" spans="1:11" hidden="1">
      <c r="A545" s="131" t="str">
        <f t="shared" si="8"/>
        <v>ICF Habitat La Sablière_2018-09</v>
      </c>
      <c r="B545" s="14" t="s">
        <v>12</v>
      </c>
      <c r="C545" s="14" t="s">
        <v>1182</v>
      </c>
      <c r="D545" s="14" t="s">
        <v>1183</v>
      </c>
      <c r="E545" s="14" t="s">
        <v>2268</v>
      </c>
      <c r="F545" s="14">
        <v>9</v>
      </c>
      <c r="G545" s="14">
        <v>155.37</v>
      </c>
      <c r="H545" s="14">
        <v>17.260000000000002</v>
      </c>
      <c r="I545" s="14">
        <v>40</v>
      </c>
      <c r="J545" s="14">
        <v>93.22</v>
      </c>
      <c r="K545" s="110"/>
    </row>
    <row r="546" spans="1:11" hidden="1">
      <c r="A546" s="131" t="str">
        <f t="shared" si="8"/>
        <v>ICF Habitat La Sablière_2018-07</v>
      </c>
      <c r="B546" s="14" t="s">
        <v>12</v>
      </c>
      <c r="C546" s="14" t="s">
        <v>1261</v>
      </c>
      <c r="D546" s="14" t="s">
        <v>1262</v>
      </c>
      <c r="E546" s="14" t="s">
        <v>2144</v>
      </c>
      <c r="F546" s="14">
        <v>10</v>
      </c>
      <c r="G546" s="14">
        <v>122.55</v>
      </c>
      <c r="H546" s="14">
        <v>12.25</v>
      </c>
      <c r="I546" s="14">
        <v>40</v>
      </c>
      <c r="J546" s="14">
        <v>73.53</v>
      </c>
      <c r="K546" s="110"/>
    </row>
    <row r="547" spans="1:11">
      <c r="A547" s="131" t="str">
        <f t="shared" si="8"/>
        <v>ICF Habitat La Sablière_2018-08</v>
      </c>
      <c r="B547" s="14" t="s">
        <v>12</v>
      </c>
      <c r="C547" s="14" t="s">
        <v>1261</v>
      </c>
      <c r="D547" s="14" t="s">
        <v>1262</v>
      </c>
      <c r="E547" s="14" t="s">
        <v>2189</v>
      </c>
      <c r="F547" s="14">
        <v>10</v>
      </c>
      <c r="G547" s="14">
        <v>146</v>
      </c>
      <c r="H547" s="14">
        <v>14.6</v>
      </c>
      <c r="I547" s="14">
        <v>40</v>
      </c>
      <c r="J547" s="14">
        <v>87.6</v>
      </c>
      <c r="K547" s="110"/>
    </row>
    <row r="548" spans="1:11" hidden="1">
      <c r="A548" s="131" t="str">
        <f t="shared" si="8"/>
        <v>ICF Habitat La Sablière_2018-09</v>
      </c>
      <c r="B548" s="14" t="s">
        <v>12</v>
      </c>
      <c r="C548" s="14" t="s">
        <v>1261</v>
      </c>
      <c r="D548" s="14" t="s">
        <v>1262</v>
      </c>
      <c r="E548" s="14" t="s">
        <v>2268</v>
      </c>
      <c r="F548" s="14">
        <v>10</v>
      </c>
      <c r="G548" s="14">
        <v>139</v>
      </c>
      <c r="H548" s="14">
        <v>13.9</v>
      </c>
      <c r="I548" s="14">
        <v>40</v>
      </c>
      <c r="J548" s="14">
        <v>83.4</v>
      </c>
      <c r="K548" s="110"/>
    </row>
    <row r="549" spans="1:11" hidden="1">
      <c r="A549" s="131" t="str">
        <f t="shared" si="8"/>
        <v>ICF Habitat La Sablière_2018-07</v>
      </c>
      <c r="B549" s="14" t="s">
        <v>12</v>
      </c>
      <c r="C549" s="14" t="s">
        <v>722</v>
      </c>
      <c r="D549" s="14" t="s">
        <v>723</v>
      </c>
      <c r="E549" s="14" t="s">
        <v>2144</v>
      </c>
      <c r="F549" s="14">
        <v>9.61</v>
      </c>
      <c r="G549" s="14">
        <v>1430.54</v>
      </c>
      <c r="H549" s="14">
        <v>148.86000000000001</v>
      </c>
      <c r="I549" s="14">
        <v>40</v>
      </c>
      <c r="J549" s="14">
        <v>858.32</v>
      </c>
      <c r="K549" s="110"/>
    </row>
    <row r="550" spans="1:11">
      <c r="A550" s="131" t="str">
        <f t="shared" si="8"/>
        <v>ICF Habitat La Sablière_2018-08</v>
      </c>
      <c r="B550" s="14" t="s">
        <v>12</v>
      </c>
      <c r="C550" s="14" t="s">
        <v>722</v>
      </c>
      <c r="D550" s="14" t="s">
        <v>723</v>
      </c>
      <c r="E550" s="14" t="s">
        <v>2189</v>
      </c>
      <c r="F550" s="14">
        <v>8.65</v>
      </c>
      <c r="G550" s="14">
        <v>836.54</v>
      </c>
      <c r="H550" s="14">
        <v>96.71</v>
      </c>
      <c r="I550" s="14">
        <v>40</v>
      </c>
      <c r="J550" s="14">
        <v>501.92</v>
      </c>
      <c r="K550" s="110"/>
    </row>
    <row r="551" spans="1:11" hidden="1">
      <c r="A551" s="131" t="str">
        <f t="shared" si="8"/>
        <v>ICF Habitat La Sablière_2018-09</v>
      </c>
      <c r="B551" s="14" t="s">
        <v>12</v>
      </c>
      <c r="C551" s="14" t="s">
        <v>722</v>
      </c>
      <c r="D551" s="14" t="s">
        <v>723</v>
      </c>
      <c r="E551" s="14" t="s">
        <v>2268</v>
      </c>
      <c r="F551" s="14">
        <v>10</v>
      </c>
      <c r="G551" s="14">
        <v>1362.5</v>
      </c>
      <c r="H551" s="14">
        <v>136.25</v>
      </c>
      <c r="I551" s="14">
        <v>40</v>
      </c>
      <c r="J551" s="14">
        <v>817.5</v>
      </c>
      <c r="K551" s="110"/>
    </row>
    <row r="552" spans="1:11" hidden="1">
      <c r="A552" s="131" t="str">
        <f t="shared" ref="A552:A615" si="9">CONCATENATE(B552,"_",E552)</f>
        <v>ICF Habitat La Sablière_2018-07</v>
      </c>
      <c r="B552" s="14" t="s">
        <v>12</v>
      </c>
      <c r="C552" s="14" t="s">
        <v>724</v>
      </c>
      <c r="D552" s="14" t="s">
        <v>725</v>
      </c>
      <c r="E552" s="14" t="s">
        <v>2144</v>
      </c>
      <c r="F552" s="14">
        <v>10</v>
      </c>
      <c r="G552" s="14">
        <v>889.24</v>
      </c>
      <c r="H552" s="14">
        <v>88.92</v>
      </c>
      <c r="I552" s="14">
        <v>40</v>
      </c>
      <c r="J552" s="14">
        <v>533.54</v>
      </c>
      <c r="K552" s="110"/>
    </row>
    <row r="553" spans="1:11">
      <c r="A553" s="131" t="str">
        <f t="shared" si="9"/>
        <v>ICF Habitat La Sablière_2018-08</v>
      </c>
      <c r="B553" s="14" t="s">
        <v>12</v>
      </c>
      <c r="C553" s="14" t="s">
        <v>724</v>
      </c>
      <c r="D553" s="14" t="s">
        <v>725</v>
      </c>
      <c r="E553" s="14" t="s">
        <v>2189</v>
      </c>
      <c r="F553" s="14">
        <v>10</v>
      </c>
      <c r="G553" s="14">
        <v>1397.78</v>
      </c>
      <c r="H553" s="14">
        <v>139.78</v>
      </c>
      <c r="I553" s="14">
        <v>40</v>
      </c>
      <c r="J553" s="14">
        <v>838.67</v>
      </c>
      <c r="K553" s="110"/>
    </row>
    <row r="554" spans="1:11" hidden="1">
      <c r="A554" s="131" t="str">
        <f t="shared" si="9"/>
        <v>ICF Habitat La Sablière_2018-09</v>
      </c>
      <c r="B554" s="14" t="s">
        <v>12</v>
      </c>
      <c r="C554" s="14" t="s">
        <v>724</v>
      </c>
      <c r="D554" s="14" t="s">
        <v>725</v>
      </c>
      <c r="E554" s="14" t="s">
        <v>2268</v>
      </c>
      <c r="F554" s="14">
        <v>10</v>
      </c>
      <c r="G554" s="14">
        <v>960.81</v>
      </c>
      <c r="H554" s="14">
        <v>96.08</v>
      </c>
      <c r="I554" s="14">
        <v>40</v>
      </c>
      <c r="J554" s="14">
        <v>576.49</v>
      </c>
      <c r="K554" s="110"/>
    </row>
    <row r="555" spans="1:11" hidden="1">
      <c r="A555" s="131" t="str">
        <f t="shared" si="9"/>
        <v>ICF Habitat La Sablière_2018-07</v>
      </c>
      <c r="B555" s="14" t="s">
        <v>12</v>
      </c>
      <c r="C555" s="14" t="s">
        <v>726</v>
      </c>
      <c r="D555" s="14" t="s">
        <v>727</v>
      </c>
      <c r="E555" s="14" t="s">
        <v>2144</v>
      </c>
      <c r="F555" s="14">
        <v>10</v>
      </c>
      <c r="G555" s="14">
        <v>1352.06</v>
      </c>
      <c r="H555" s="14">
        <v>135.21</v>
      </c>
      <c r="I555" s="14">
        <v>40</v>
      </c>
      <c r="J555" s="14">
        <v>811.24</v>
      </c>
      <c r="K555" s="110"/>
    </row>
    <row r="556" spans="1:11">
      <c r="A556" s="131" t="str">
        <f t="shared" si="9"/>
        <v>ICF Habitat La Sablière_2018-08</v>
      </c>
      <c r="B556" s="14" t="s">
        <v>12</v>
      </c>
      <c r="C556" s="14" t="s">
        <v>726</v>
      </c>
      <c r="D556" s="14" t="s">
        <v>727</v>
      </c>
      <c r="E556" s="14" t="s">
        <v>2189</v>
      </c>
      <c r="F556" s="14">
        <v>10</v>
      </c>
      <c r="G556" s="14">
        <v>1445.91</v>
      </c>
      <c r="H556" s="14">
        <v>144.59</v>
      </c>
      <c r="I556" s="14">
        <v>40</v>
      </c>
      <c r="J556" s="14">
        <v>867.55</v>
      </c>
      <c r="K556" s="110"/>
    </row>
    <row r="557" spans="1:11" hidden="1">
      <c r="A557" s="131" t="str">
        <f t="shared" si="9"/>
        <v>ICF Habitat La Sablière_2018-09</v>
      </c>
      <c r="B557" s="14" t="s">
        <v>12</v>
      </c>
      <c r="C557" s="14" t="s">
        <v>726</v>
      </c>
      <c r="D557" s="14" t="s">
        <v>727</v>
      </c>
      <c r="E557" s="14" t="s">
        <v>2268</v>
      </c>
      <c r="F557" s="14">
        <v>10</v>
      </c>
      <c r="G557" s="14">
        <v>1115.99</v>
      </c>
      <c r="H557" s="14">
        <v>111.6</v>
      </c>
      <c r="I557" s="14">
        <v>40</v>
      </c>
      <c r="J557" s="14">
        <v>669.59</v>
      </c>
      <c r="K557" s="110"/>
    </row>
    <row r="558" spans="1:11" hidden="1">
      <c r="A558" s="131" t="str">
        <f t="shared" si="9"/>
        <v>ICF Habitat La Sablière_2018-07</v>
      </c>
      <c r="B558" s="14" t="s">
        <v>12</v>
      </c>
      <c r="C558" s="14" t="s">
        <v>728</v>
      </c>
      <c r="D558" s="14" t="s">
        <v>729</v>
      </c>
      <c r="E558" s="14" t="s">
        <v>2144</v>
      </c>
      <c r="F558" s="14">
        <v>10</v>
      </c>
      <c r="G558" s="14">
        <v>949.35</v>
      </c>
      <c r="H558" s="14">
        <v>94.94</v>
      </c>
      <c r="I558" s="14">
        <v>40</v>
      </c>
      <c r="J558" s="14">
        <v>569.61</v>
      </c>
      <c r="K558" s="110"/>
    </row>
    <row r="559" spans="1:11">
      <c r="A559" s="131" t="str">
        <f t="shared" si="9"/>
        <v>ICF Habitat La Sablière_2018-08</v>
      </c>
      <c r="B559" s="14" t="s">
        <v>12</v>
      </c>
      <c r="C559" s="14" t="s">
        <v>728</v>
      </c>
      <c r="D559" s="14" t="s">
        <v>729</v>
      </c>
      <c r="E559" s="14" t="s">
        <v>2189</v>
      </c>
      <c r="F559" s="14">
        <v>10</v>
      </c>
      <c r="G559" s="14">
        <v>950.55</v>
      </c>
      <c r="H559" s="14">
        <v>95.05</v>
      </c>
      <c r="I559" s="14">
        <v>40</v>
      </c>
      <c r="J559" s="14">
        <v>570.33000000000004</v>
      </c>
      <c r="K559" s="110"/>
    </row>
    <row r="560" spans="1:11" hidden="1">
      <c r="A560" s="131" t="str">
        <f t="shared" si="9"/>
        <v>ICF Habitat La Sablière_2018-09</v>
      </c>
      <c r="B560" s="14" t="s">
        <v>12</v>
      </c>
      <c r="C560" s="14" t="s">
        <v>728</v>
      </c>
      <c r="D560" s="14" t="s">
        <v>729</v>
      </c>
      <c r="E560" s="14" t="s">
        <v>2268</v>
      </c>
      <c r="F560" s="14">
        <v>10</v>
      </c>
      <c r="G560" s="14">
        <v>904.83</v>
      </c>
      <c r="H560" s="14">
        <v>90.48</v>
      </c>
      <c r="I560" s="14">
        <v>40</v>
      </c>
      <c r="J560" s="14">
        <v>542.9</v>
      </c>
      <c r="K560" s="110"/>
    </row>
    <row r="561" spans="1:11" hidden="1">
      <c r="A561" s="131" t="str">
        <f t="shared" si="9"/>
        <v>ICF Habitat La Sablière_2018-07</v>
      </c>
      <c r="B561" s="14" t="s">
        <v>12</v>
      </c>
      <c r="C561" s="14" t="s">
        <v>974</v>
      </c>
      <c r="D561" s="14" t="s">
        <v>975</v>
      </c>
      <c r="E561" s="14" t="s">
        <v>2144</v>
      </c>
      <c r="F561" s="14">
        <v>10</v>
      </c>
      <c r="G561" s="14">
        <v>480</v>
      </c>
      <c r="H561" s="14">
        <v>48</v>
      </c>
      <c r="I561" s="14">
        <v>40</v>
      </c>
      <c r="J561" s="14">
        <v>288</v>
      </c>
      <c r="K561" s="110"/>
    </row>
    <row r="562" spans="1:11">
      <c r="A562" s="131" t="str">
        <f t="shared" si="9"/>
        <v>ICF Habitat La Sablière_2018-08</v>
      </c>
      <c r="B562" s="14" t="s">
        <v>12</v>
      </c>
      <c r="C562" s="14" t="s">
        <v>974</v>
      </c>
      <c r="D562" s="14" t="s">
        <v>975</v>
      </c>
      <c r="E562" s="14" t="s">
        <v>2189</v>
      </c>
      <c r="F562" s="14">
        <v>10</v>
      </c>
      <c r="G562" s="14">
        <v>480</v>
      </c>
      <c r="H562" s="14">
        <v>48</v>
      </c>
      <c r="I562" s="14">
        <v>40</v>
      </c>
      <c r="J562" s="14">
        <v>288</v>
      </c>
      <c r="K562" s="110"/>
    </row>
    <row r="563" spans="1:11" hidden="1">
      <c r="A563" s="131" t="str">
        <f t="shared" si="9"/>
        <v>ICF Habitat La Sablière_2018-09</v>
      </c>
      <c r="B563" s="14" t="s">
        <v>12</v>
      </c>
      <c r="C563" s="14" t="s">
        <v>974</v>
      </c>
      <c r="D563" s="14" t="s">
        <v>975</v>
      </c>
      <c r="E563" s="14" t="s">
        <v>2268</v>
      </c>
      <c r="F563" s="14">
        <v>10</v>
      </c>
      <c r="G563" s="14">
        <v>480</v>
      </c>
      <c r="H563" s="14">
        <v>48</v>
      </c>
      <c r="I563" s="14">
        <v>40</v>
      </c>
      <c r="J563" s="14">
        <v>288</v>
      </c>
      <c r="K563" s="110"/>
    </row>
    <row r="564" spans="1:11" hidden="1">
      <c r="A564" s="131" t="str">
        <f t="shared" si="9"/>
        <v>ICF Habitat Nord-Est_2018-07</v>
      </c>
      <c r="B564" s="14" t="s">
        <v>1902</v>
      </c>
      <c r="C564" s="14" t="s">
        <v>730</v>
      </c>
      <c r="D564" s="14" t="s">
        <v>731</v>
      </c>
      <c r="E564" s="14" t="s">
        <v>2144</v>
      </c>
      <c r="F564" s="14">
        <v>9</v>
      </c>
      <c r="G564" s="14">
        <v>314.47000000000003</v>
      </c>
      <c r="H564" s="14">
        <v>34.94</v>
      </c>
      <c r="I564" s="14">
        <v>40</v>
      </c>
      <c r="J564" s="14">
        <v>188.68</v>
      </c>
      <c r="K564" s="110"/>
    </row>
    <row r="565" spans="1:11">
      <c r="A565" s="131" t="str">
        <f t="shared" si="9"/>
        <v>ICF Habitat Nord-Est_2018-08</v>
      </c>
      <c r="B565" s="14" t="s">
        <v>1902</v>
      </c>
      <c r="C565" s="14" t="s">
        <v>730</v>
      </c>
      <c r="D565" s="14" t="s">
        <v>731</v>
      </c>
      <c r="E565" s="14" t="s">
        <v>2189</v>
      </c>
      <c r="F565" s="14">
        <v>9</v>
      </c>
      <c r="G565" s="14">
        <v>250.75</v>
      </c>
      <c r="H565" s="14">
        <v>27.86</v>
      </c>
      <c r="I565" s="14">
        <v>40</v>
      </c>
      <c r="J565" s="14">
        <v>150.44999999999999</v>
      </c>
      <c r="K565" s="110"/>
    </row>
    <row r="566" spans="1:11" hidden="1">
      <c r="A566" s="131" t="str">
        <f t="shared" si="9"/>
        <v>ICF Habitat Nord-Est_2018-09</v>
      </c>
      <c r="B566" s="14" t="s">
        <v>1902</v>
      </c>
      <c r="C566" s="14" t="s">
        <v>730</v>
      </c>
      <c r="D566" s="14" t="s">
        <v>731</v>
      </c>
      <c r="E566" s="14" t="s">
        <v>2268</v>
      </c>
      <c r="F566" s="14">
        <v>8.5299999999999994</v>
      </c>
      <c r="G566" s="14">
        <v>328.08</v>
      </c>
      <c r="H566" s="14">
        <v>38.46</v>
      </c>
      <c r="I566" s="14">
        <v>40</v>
      </c>
      <c r="J566" s="14">
        <v>196.85</v>
      </c>
      <c r="K566" s="110"/>
    </row>
    <row r="567" spans="1:11" hidden="1">
      <c r="A567" s="131" t="str">
        <f t="shared" si="9"/>
        <v>ICF Habitat Nord-Est_2018-07</v>
      </c>
      <c r="B567" s="14" t="s">
        <v>1902</v>
      </c>
      <c r="C567" s="14" t="s">
        <v>732</v>
      </c>
      <c r="D567" s="14" t="s">
        <v>733</v>
      </c>
      <c r="E567" s="14" t="s">
        <v>2144</v>
      </c>
      <c r="F567" s="14">
        <v>10</v>
      </c>
      <c r="G567" s="14">
        <v>184</v>
      </c>
      <c r="H567" s="14">
        <v>18.399999999999999</v>
      </c>
      <c r="I567" s="14">
        <v>40</v>
      </c>
      <c r="J567" s="14">
        <v>110.4</v>
      </c>
      <c r="K567" s="110"/>
    </row>
    <row r="568" spans="1:11">
      <c r="A568" s="131" t="str">
        <f t="shared" si="9"/>
        <v>ICF Habitat Nord-Est_2018-08</v>
      </c>
      <c r="B568" s="14" t="s">
        <v>1902</v>
      </c>
      <c r="C568" s="14" t="s">
        <v>732</v>
      </c>
      <c r="D568" s="14" t="s">
        <v>733</v>
      </c>
      <c r="E568" s="14" t="s">
        <v>2189</v>
      </c>
      <c r="F568" s="14">
        <v>10</v>
      </c>
      <c r="G568" s="14">
        <v>184</v>
      </c>
      <c r="H568" s="14">
        <v>18.399999999999999</v>
      </c>
      <c r="I568" s="14">
        <v>40</v>
      </c>
      <c r="J568" s="14">
        <v>110.4</v>
      </c>
      <c r="K568" s="110"/>
    </row>
    <row r="569" spans="1:11" hidden="1">
      <c r="A569" s="131" t="str">
        <f t="shared" si="9"/>
        <v>ICF Habitat Nord-Est_2018-09</v>
      </c>
      <c r="B569" s="14" t="s">
        <v>1902</v>
      </c>
      <c r="C569" s="14" t="s">
        <v>732</v>
      </c>
      <c r="D569" s="14" t="s">
        <v>733</v>
      </c>
      <c r="E569" s="14" t="s">
        <v>2268</v>
      </c>
      <c r="F569" s="14">
        <v>10</v>
      </c>
      <c r="G569" s="14">
        <v>184</v>
      </c>
      <c r="H569" s="14">
        <v>18.399999999999999</v>
      </c>
      <c r="I569" s="14">
        <v>40</v>
      </c>
      <c r="J569" s="14">
        <v>110.4</v>
      </c>
      <c r="K569" s="110"/>
    </row>
    <row r="570" spans="1:11" hidden="1">
      <c r="A570" s="131" t="str">
        <f t="shared" si="9"/>
        <v>ICF Habitat Nord-Est_2018-07</v>
      </c>
      <c r="B570" s="14" t="s">
        <v>1902</v>
      </c>
      <c r="C570" s="14" t="s">
        <v>734</v>
      </c>
      <c r="D570" s="14" t="s">
        <v>735</v>
      </c>
      <c r="E570" s="14" t="s">
        <v>2144</v>
      </c>
      <c r="F570" s="14">
        <v>5</v>
      </c>
      <c r="G570" s="14">
        <v>242.62</v>
      </c>
      <c r="H570" s="14">
        <v>48.52</v>
      </c>
      <c r="I570" s="14">
        <v>40</v>
      </c>
      <c r="J570" s="14">
        <v>145.57</v>
      </c>
      <c r="K570" s="110"/>
    </row>
    <row r="571" spans="1:11">
      <c r="A571" s="131" t="str">
        <f t="shared" si="9"/>
        <v>ICF Habitat Nord-Est_2018-08</v>
      </c>
      <c r="B571" s="14" t="s">
        <v>1902</v>
      </c>
      <c r="C571" s="14" t="s">
        <v>734</v>
      </c>
      <c r="D571" s="14" t="s">
        <v>735</v>
      </c>
      <c r="E571" s="14" t="s">
        <v>2189</v>
      </c>
      <c r="F571" s="14">
        <v>5</v>
      </c>
      <c r="G571" s="14">
        <v>316.88</v>
      </c>
      <c r="H571" s="14">
        <v>63.38</v>
      </c>
      <c r="I571" s="14">
        <v>40</v>
      </c>
      <c r="J571" s="14">
        <v>190.13</v>
      </c>
      <c r="K571" s="110"/>
    </row>
    <row r="572" spans="1:11" hidden="1">
      <c r="A572" s="131" t="str">
        <f t="shared" si="9"/>
        <v>ICF Habitat Nord-Est_2018-09</v>
      </c>
      <c r="B572" s="14" t="s">
        <v>1902</v>
      </c>
      <c r="C572" s="14" t="s">
        <v>734</v>
      </c>
      <c r="D572" s="14" t="s">
        <v>735</v>
      </c>
      <c r="E572" s="14" t="s">
        <v>2268</v>
      </c>
      <c r="F572" s="14">
        <v>5</v>
      </c>
      <c r="G572" s="14">
        <v>151.75</v>
      </c>
      <c r="H572" s="14">
        <v>30.35</v>
      </c>
      <c r="I572" s="14">
        <v>40</v>
      </c>
      <c r="J572" s="14">
        <v>91.05</v>
      </c>
      <c r="K572" s="110"/>
    </row>
    <row r="573" spans="1:11" hidden="1">
      <c r="A573" s="131" t="str">
        <f t="shared" si="9"/>
        <v>ICF NOVEDIS_2018-07</v>
      </c>
      <c r="B573" s="14" t="s">
        <v>736</v>
      </c>
      <c r="C573" s="14" t="s">
        <v>737</v>
      </c>
      <c r="D573" s="14" t="s">
        <v>738</v>
      </c>
      <c r="E573" s="14" t="s">
        <v>2144</v>
      </c>
      <c r="F573" s="14">
        <v>5</v>
      </c>
      <c r="G573" s="14">
        <v>927.08</v>
      </c>
      <c r="H573" s="14">
        <v>185.42</v>
      </c>
      <c r="I573" s="14">
        <v>40</v>
      </c>
      <c r="J573" s="14">
        <v>556.25</v>
      </c>
      <c r="K573" s="110"/>
    </row>
    <row r="574" spans="1:11">
      <c r="A574" s="131" t="str">
        <f t="shared" si="9"/>
        <v>ICF NOVEDIS_2018-08</v>
      </c>
      <c r="B574" s="14" t="s">
        <v>736</v>
      </c>
      <c r="C574" s="14" t="s">
        <v>737</v>
      </c>
      <c r="D574" s="14" t="s">
        <v>738</v>
      </c>
      <c r="E574" s="14" t="s">
        <v>2189</v>
      </c>
      <c r="F574" s="14">
        <v>5</v>
      </c>
      <c r="G574" s="14">
        <v>862.81</v>
      </c>
      <c r="H574" s="14">
        <v>172.56</v>
      </c>
      <c r="I574" s="14">
        <v>40</v>
      </c>
      <c r="J574" s="14">
        <v>517.69000000000005</v>
      </c>
      <c r="K574" s="110"/>
    </row>
    <row r="575" spans="1:11" hidden="1">
      <c r="A575" s="131" t="str">
        <f t="shared" si="9"/>
        <v>ICF NOVEDIS_2018-09</v>
      </c>
      <c r="B575" s="14" t="s">
        <v>736</v>
      </c>
      <c r="C575" s="14" t="s">
        <v>737</v>
      </c>
      <c r="D575" s="14" t="s">
        <v>738</v>
      </c>
      <c r="E575" s="14" t="s">
        <v>2268</v>
      </c>
      <c r="F575" s="14">
        <v>5</v>
      </c>
      <c r="G575" s="14">
        <v>711.05</v>
      </c>
      <c r="H575" s="14">
        <v>142.21</v>
      </c>
      <c r="I575" s="14">
        <v>40</v>
      </c>
      <c r="J575" s="14">
        <v>426.63</v>
      </c>
      <c r="K575" s="110"/>
    </row>
    <row r="576" spans="1:11" hidden="1">
      <c r="A576" s="131" t="str">
        <f t="shared" si="9"/>
        <v>Immobilière 3F_2018-07</v>
      </c>
      <c r="B576" s="14" t="s">
        <v>142</v>
      </c>
      <c r="C576" s="14" t="s">
        <v>551</v>
      </c>
      <c r="D576" s="14" t="s">
        <v>552</v>
      </c>
      <c r="E576" s="14" t="s">
        <v>2144</v>
      </c>
      <c r="F576" s="14">
        <v>18</v>
      </c>
      <c r="G576" s="14">
        <v>2217.48</v>
      </c>
      <c r="H576" s="14">
        <v>123.19</v>
      </c>
      <c r="I576" s="14">
        <v>30</v>
      </c>
      <c r="J576" s="14">
        <v>1552.24</v>
      </c>
      <c r="K576" s="110"/>
    </row>
    <row r="577" spans="1:11">
      <c r="A577" s="131" t="str">
        <f t="shared" si="9"/>
        <v>Immobilière 3F_2018-08</v>
      </c>
      <c r="B577" s="14" t="s">
        <v>142</v>
      </c>
      <c r="C577" s="14" t="s">
        <v>551</v>
      </c>
      <c r="D577" s="14" t="s">
        <v>552</v>
      </c>
      <c r="E577" s="14" t="s">
        <v>2189</v>
      </c>
      <c r="F577" s="14">
        <v>18</v>
      </c>
      <c r="G577" s="14">
        <v>1462.43</v>
      </c>
      <c r="H577" s="14">
        <v>81.25</v>
      </c>
      <c r="I577" s="14">
        <v>30</v>
      </c>
      <c r="J577" s="14">
        <v>1023.7</v>
      </c>
      <c r="K577" s="110"/>
    </row>
    <row r="578" spans="1:11" hidden="1">
      <c r="A578" s="131" t="str">
        <f t="shared" si="9"/>
        <v>Immobilière 3F_2018-09</v>
      </c>
      <c r="B578" s="14" t="s">
        <v>142</v>
      </c>
      <c r="C578" s="14" t="s">
        <v>551</v>
      </c>
      <c r="D578" s="14" t="s">
        <v>552</v>
      </c>
      <c r="E578" s="14" t="s">
        <v>2268</v>
      </c>
      <c r="F578" s="14">
        <v>18</v>
      </c>
      <c r="G578" s="14">
        <v>2161.0100000000002</v>
      </c>
      <c r="H578" s="14">
        <v>120.06</v>
      </c>
      <c r="I578" s="14">
        <v>30</v>
      </c>
      <c r="J578" s="14">
        <v>1512.71</v>
      </c>
      <c r="K578" s="110"/>
    </row>
    <row r="579" spans="1:11" hidden="1">
      <c r="A579" s="131" t="str">
        <f t="shared" si="9"/>
        <v>Immobilière 3F_2018-07</v>
      </c>
      <c r="B579" s="14" t="s">
        <v>142</v>
      </c>
      <c r="C579" s="14" t="s">
        <v>553</v>
      </c>
      <c r="D579" s="14" t="s">
        <v>554</v>
      </c>
      <c r="E579" s="14" t="s">
        <v>2144</v>
      </c>
      <c r="F579" s="14">
        <v>28</v>
      </c>
      <c r="G579" s="14">
        <v>2780</v>
      </c>
      <c r="H579" s="14">
        <v>99.29</v>
      </c>
      <c r="I579" s="14">
        <v>30</v>
      </c>
      <c r="J579" s="14">
        <v>1946</v>
      </c>
      <c r="K579" s="110"/>
    </row>
    <row r="580" spans="1:11">
      <c r="A580" s="131" t="str">
        <f t="shared" si="9"/>
        <v>Immobilière 3F_2018-08</v>
      </c>
      <c r="B580" s="14" t="s">
        <v>142</v>
      </c>
      <c r="C580" s="14" t="s">
        <v>553</v>
      </c>
      <c r="D580" s="14" t="s">
        <v>554</v>
      </c>
      <c r="E580" s="14" t="s">
        <v>2189</v>
      </c>
      <c r="F580" s="14">
        <v>28</v>
      </c>
      <c r="G580" s="14">
        <v>2267.73</v>
      </c>
      <c r="H580" s="14">
        <v>80.989999999999995</v>
      </c>
      <c r="I580" s="14">
        <v>30</v>
      </c>
      <c r="J580" s="14">
        <v>1587.41</v>
      </c>
      <c r="K580" s="110"/>
    </row>
    <row r="581" spans="1:11" hidden="1">
      <c r="A581" s="131" t="str">
        <f t="shared" si="9"/>
        <v>Immobilière 3F_2018-09</v>
      </c>
      <c r="B581" s="14" t="s">
        <v>142</v>
      </c>
      <c r="C581" s="14" t="s">
        <v>553</v>
      </c>
      <c r="D581" s="14" t="s">
        <v>554</v>
      </c>
      <c r="E581" s="14" t="s">
        <v>2268</v>
      </c>
      <c r="F581" s="14">
        <v>28</v>
      </c>
      <c r="G581" s="14">
        <v>3058.54</v>
      </c>
      <c r="H581" s="14">
        <v>109.23</v>
      </c>
      <c r="I581" s="14">
        <v>30</v>
      </c>
      <c r="J581" s="14">
        <v>2140.98</v>
      </c>
      <c r="K581" s="110"/>
    </row>
    <row r="582" spans="1:11" hidden="1">
      <c r="A582" s="131" t="str">
        <f t="shared" si="9"/>
        <v>Immobilière 3F_2018-07</v>
      </c>
      <c r="B582" s="14" t="s">
        <v>142</v>
      </c>
      <c r="C582" s="14" t="s">
        <v>1263</v>
      </c>
      <c r="D582" s="14" t="s">
        <v>1264</v>
      </c>
      <c r="E582" s="14" t="s">
        <v>2144</v>
      </c>
      <c r="F582" s="14">
        <v>10</v>
      </c>
      <c r="G582" s="14">
        <v>253.78</v>
      </c>
      <c r="H582" s="14">
        <v>25.38</v>
      </c>
      <c r="I582" s="14">
        <v>40</v>
      </c>
      <c r="J582" s="14">
        <v>152.27000000000001</v>
      </c>
      <c r="K582" s="110"/>
    </row>
    <row r="583" spans="1:11">
      <c r="A583" s="131" t="str">
        <f t="shared" si="9"/>
        <v>Immobilière 3F_2018-08</v>
      </c>
      <c r="B583" s="14" t="s">
        <v>142</v>
      </c>
      <c r="C583" s="14" t="s">
        <v>1263</v>
      </c>
      <c r="D583" s="14" t="s">
        <v>1264</v>
      </c>
      <c r="E583" s="14" t="s">
        <v>2189</v>
      </c>
      <c r="F583" s="14">
        <v>7.68</v>
      </c>
      <c r="G583" s="14">
        <v>307.75</v>
      </c>
      <c r="H583" s="14">
        <v>40.07</v>
      </c>
      <c r="I583" s="14">
        <v>40</v>
      </c>
      <c r="J583" s="14">
        <v>184.65</v>
      </c>
      <c r="K583" s="110"/>
    </row>
    <row r="584" spans="1:11" hidden="1">
      <c r="A584" s="131" t="str">
        <f t="shared" si="9"/>
        <v>Immobilière 3F_2018-09</v>
      </c>
      <c r="B584" s="14" t="s">
        <v>142</v>
      </c>
      <c r="C584" s="14" t="s">
        <v>1263</v>
      </c>
      <c r="D584" s="14" t="s">
        <v>1264</v>
      </c>
      <c r="E584" s="14" t="s">
        <v>2268</v>
      </c>
      <c r="F584" s="14">
        <v>7</v>
      </c>
      <c r="G584" s="14">
        <v>175.08</v>
      </c>
      <c r="H584" s="14">
        <v>25.01</v>
      </c>
      <c r="I584" s="14">
        <v>40</v>
      </c>
      <c r="J584" s="14">
        <v>105.05</v>
      </c>
      <c r="K584" s="110"/>
    </row>
    <row r="585" spans="1:11" hidden="1">
      <c r="A585" s="131" t="str">
        <f t="shared" si="9"/>
        <v>Immobilière 3F_2018-07</v>
      </c>
      <c r="B585" s="14" t="s">
        <v>142</v>
      </c>
      <c r="C585" s="14" t="s">
        <v>555</v>
      </c>
      <c r="D585" s="14" t="s">
        <v>556</v>
      </c>
      <c r="E585" s="14" t="s">
        <v>2144</v>
      </c>
      <c r="F585" s="14">
        <v>46</v>
      </c>
      <c r="G585" s="14">
        <v>2137.46</v>
      </c>
      <c r="H585" s="14">
        <v>46.47</v>
      </c>
      <c r="I585" s="14">
        <v>30</v>
      </c>
      <c r="J585" s="14">
        <v>1496.22</v>
      </c>
      <c r="K585" s="110"/>
    </row>
    <row r="586" spans="1:11">
      <c r="A586" s="131" t="str">
        <f t="shared" si="9"/>
        <v>Immobilière 3F_2018-08</v>
      </c>
      <c r="B586" s="14" t="s">
        <v>142</v>
      </c>
      <c r="C586" s="14" t="s">
        <v>555</v>
      </c>
      <c r="D586" s="14" t="s">
        <v>556</v>
      </c>
      <c r="E586" s="14" t="s">
        <v>2189</v>
      </c>
      <c r="F586" s="14">
        <v>46</v>
      </c>
      <c r="G586" s="14">
        <v>2265.71</v>
      </c>
      <c r="H586" s="14">
        <v>49.25</v>
      </c>
      <c r="I586" s="14">
        <v>30</v>
      </c>
      <c r="J586" s="14">
        <v>1586</v>
      </c>
      <c r="K586" s="110"/>
    </row>
    <row r="587" spans="1:11" hidden="1">
      <c r="A587" s="131" t="str">
        <f t="shared" si="9"/>
        <v>Immobilière 3F_2018-09</v>
      </c>
      <c r="B587" s="14" t="s">
        <v>142</v>
      </c>
      <c r="C587" s="14" t="s">
        <v>555</v>
      </c>
      <c r="D587" s="14" t="s">
        <v>556</v>
      </c>
      <c r="E587" s="14" t="s">
        <v>2268</v>
      </c>
      <c r="F587" s="14">
        <v>46</v>
      </c>
      <c r="G587" s="14">
        <v>2067.2399999999998</v>
      </c>
      <c r="H587" s="14">
        <v>44.94</v>
      </c>
      <c r="I587" s="14">
        <v>30</v>
      </c>
      <c r="J587" s="14">
        <v>1447.07</v>
      </c>
      <c r="K587" s="110"/>
    </row>
    <row r="588" spans="1:11" hidden="1">
      <c r="A588" s="131" t="str">
        <f t="shared" si="9"/>
        <v>Immobilière 3F_2018-07</v>
      </c>
      <c r="B588" s="14" t="s">
        <v>142</v>
      </c>
      <c r="C588" s="14" t="s">
        <v>557</v>
      </c>
      <c r="D588" s="14" t="s">
        <v>1367</v>
      </c>
      <c r="E588" s="14" t="s">
        <v>2144</v>
      </c>
      <c r="F588" s="14">
        <v>38</v>
      </c>
      <c r="G588" s="14">
        <v>1554.68</v>
      </c>
      <c r="H588" s="14">
        <v>40.909999999999997</v>
      </c>
      <c r="I588" s="14">
        <v>30</v>
      </c>
      <c r="J588" s="14">
        <v>1088.28</v>
      </c>
      <c r="K588" s="110"/>
    </row>
    <row r="589" spans="1:11">
      <c r="A589" s="131" t="str">
        <f t="shared" si="9"/>
        <v>Immobilière 3F_2018-08</v>
      </c>
      <c r="B589" s="14" t="s">
        <v>142</v>
      </c>
      <c r="C589" s="14" t="s">
        <v>557</v>
      </c>
      <c r="D589" s="14" t="s">
        <v>1367</v>
      </c>
      <c r="E589" s="14" t="s">
        <v>2189</v>
      </c>
      <c r="F589" s="14">
        <v>38</v>
      </c>
      <c r="G589" s="14">
        <v>1538.1</v>
      </c>
      <c r="H589" s="14">
        <v>40.479999999999997</v>
      </c>
      <c r="I589" s="14">
        <v>30</v>
      </c>
      <c r="J589" s="14">
        <v>1076.67</v>
      </c>
      <c r="K589" s="110"/>
    </row>
    <row r="590" spans="1:11" hidden="1">
      <c r="A590" s="131" t="str">
        <f t="shared" si="9"/>
        <v>Immobilière 3F_2018-09</v>
      </c>
      <c r="B590" s="14" t="s">
        <v>142</v>
      </c>
      <c r="C590" s="14" t="s">
        <v>557</v>
      </c>
      <c r="D590" s="14" t="s">
        <v>1367</v>
      </c>
      <c r="E590" s="14" t="s">
        <v>2268</v>
      </c>
      <c r="F590" s="14">
        <v>38</v>
      </c>
      <c r="G590" s="14">
        <v>1272.29</v>
      </c>
      <c r="H590" s="14">
        <v>33.479999999999997</v>
      </c>
      <c r="I590" s="14">
        <v>30</v>
      </c>
      <c r="J590" s="14">
        <v>890.6</v>
      </c>
      <c r="K590" s="110"/>
    </row>
    <row r="591" spans="1:11" hidden="1">
      <c r="A591" s="131" t="str">
        <f t="shared" si="9"/>
        <v>Immobilière 3F_2018-07</v>
      </c>
      <c r="B591" s="14" t="s">
        <v>142</v>
      </c>
      <c r="C591" s="14" t="s">
        <v>628</v>
      </c>
      <c r="D591" s="14" t="s">
        <v>1368</v>
      </c>
      <c r="E591" s="14" t="s">
        <v>2144</v>
      </c>
      <c r="F591" s="14">
        <v>3</v>
      </c>
      <c r="G591" s="14">
        <v>169</v>
      </c>
      <c r="H591" s="14">
        <v>56.33</v>
      </c>
      <c r="I591" s="14">
        <v>30</v>
      </c>
      <c r="J591" s="14">
        <v>118.3</v>
      </c>
      <c r="K591" s="110"/>
    </row>
    <row r="592" spans="1:11">
      <c r="A592" s="131" t="str">
        <f t="shared" si="9"/>
        <v>Immobilière 3F_2018-08</v>
      </c>
      <c r="B592" s="14" t="s">
        <v>142</v>
      </c>
      <c r="C592" s="14" t="s">
        <v>628</v>
      </c>
      <c r="D592" s="14" t="s">
        <v>1368</v>
      </c>
      <c r="E592" s="14" t="s">
        <v>2189</v>
      </c>
      <c r="F592" s="14">
        <v>3</v>
      </c>
      <c r="G592" s="14">
        <v>169</v>
      </c>
      <c r="H592" s="14">
        <v>56.33</v>
      </c>
      <c r="I592" s="14">
        <v>30</v>
      </c>
      <c r="J592" s="14">
        <v>118.3</v>
      </c>
      <c r="K592" s="110"/>
    </row>
    <row r="593" spans="1:11" hidden="1">
      <c r="A593" s="131" t="str">
        <f t="shared" si="9"/>
        <v>Immobilière 3F_2018-09</v>
      </c>
      <c r="B593" s="14" t="s">
        <v>142</v>
      </c>
      <c r="C593" s="14" t="s">
        <v>628</v>
      </c>
      <c r="D593" s="14" t="s">
        <v>1368</v>
      </c>
      <c r="E593" s="14" t="s">
        <v>2268</v>
      </c>
      <c r="F593" s="14">
        <v>3</v>
      </c>
      <c r="G593" s="14">
        <v>169</v>
      </c>
      <c r="H593" s="14">
        <v>56.33</v>
      </c>
      <c r="I593" s="14">
        <v>30</v>
      </c>
      <c r="J593" s="14">
        <v>118.3</v>
      </c>
      <c r="K593" s="110"/>
    </row>
    <row r="594" spans="1:11" hidden="1">
      <c r="A594" s="131" t="str">
        <f t="shared" si="9"/>
        <v>Immobilière 3F_2018-07</v>
      </c>
      <c r="B594" s="14" t="s">
        <v>142</v>
      </c>
      <c r="C594" s="14" t="s">
        <v>1769</v>
      </c>
      <c r="D594" s="14" t="s">
        <v>1770</v>
      </c>
      <c r="E594" s="14" t="s">
        <v>2144</v>
      </c>
      <c r="F594" s="14">
        <v>10</v>
      </c>
      <c r="G594" s="14">
        <v>120</v>
      </c>
      <c r="H594" s="14">
        <v>12</v>
      </c>
      <c r="I594" s="14">
        <v>40</v>
      </c>
      <c r="J594" s="14">
        <v>72</v>
      </c>
      <c r="K594" s="110"/>
    </row>
    <row r="595" spans="1:11">
      <c r="A595" s="131" t="str">
        <f t="shared" si="9"/>
        <v>Immobilière 3F_2018-08</v>
      </c>
      <c r="B595" s="14" t="s">
        <v>142</v>
      </c>
      <c r="C595" s="14" t="s">
        <v>1769</v>
      </c>
      <c r="D595" s="14" t="s">
        <v>1770</v>
      </c>
      <c r="E595" s="14" t="s">
        <v>2189</v>
      </c>
      <c r="F595" s="14">
        <v>10</v>
      </c>
      <c r="G595" s="14">
        <v>131.61000000000001</v>
      </c>
      <c r="H595" s="14">
        <v>13.16</v>
      </c>
      <c r="I595" s="14">
        <v>40</v>
      </c>
      <c r="J595" s="14">
        <v>78.97</v>
      </c>
      <c r="K595" s="110"/>
    </row>
    <row r="596" spans="1:11" hidden="1">
      <c r="A596" s="131" t="str">
        <f t="shared" si="9"/>
        <v>Immobilière 3F_2018-09</v>
      </c>
      <c r="B596" s="14" t="s">
        <v>142</v>
      </c>
      <c r="C596" s="14" t="s">
        <v>1769</v>
      </c>
      <c r="D596" s="14" t="s">
        <v>1770</v>
      </c>
      <c r="E596" s="14" t="s">
        <v>2268</v>
      </c>
      <c r="F596" s="14">
        <v>10</v>
      </c>
      <c r="G596" s="14">
        <v>160</v>
      </c>
      <c r="H596" s="14">
        <v>16</v>
      </c>
      <c r="I596" s="14">
        <v>40</v>
      </c>
      <c r="J596" s="14">
        <v>96</v>
      </c>
      <c r="K596" s="110"/>
    </row>
    <row r="597" spans="1:11" hidden="1">
      <c r="A597" s="131" t="str">
        <f t="shared" si="9"/>
        <v>Immobilière 3F_2018-07</v>
      </c>
      <c r="B597" s="14" t="s">
        <v>142</v>
      </c>
      <c r="C597" s="14" t="s">
        <v>1408</v>
      </c>
      <c r="D597" s="14" t="s">
        <v>1409</v>
      </c>
      <c r="E597" s="14" t="s">
        <v>2144</v>
      </c>
      <c r="F597" s="14">
        <v>7</v>
      </c>
      <c r="G597" s="14">
        <v>609.77</v>
      </c>
      <c r="H597" s="14">
        <v>87.11</v>
      </c>
      <c r="I597" s="14">
        <v>40</v>
      </c>
      <c r="J597" s="14">
        <v>365.86</v>
      </c>
      <c r="K597" s="110"/>
    </row>
    <row r="598" spans="1:11">
      <c r="A598" s="131" t="str">
        <f t="shared" si="9"/>
        <v>Immobilière 3F_2018-08</v>
      </c>
      <c r="B598" s="14" t="s">
        <v>142</v>
      </c>
      <c r="C598" s="14" t="s">
        <v>1408</v>
      </c>
      <c r="D598" s="14" t="s">
        <v>1409</v>
      </c>
      <c r="E598" s="14" t="s">
        <v>2189</v>
      </c>
      <c r="F598" s="14">
        <v>6.16</v>
      </c>
      <c r="G598" s="14">
        <v>506.8</v>
      </c>
      <c r="H598" s="14">
        <v>82.27</v>
      </c>
      <c r="I598" s="14">
        <v>40</v>
      </c>
      <c r="J598" s="14">
        <v>304.08</v>
      </c>
      <c r="K598" s="110"/>
    </row>
    <row r="599" spans="1:11" hidden="1">
      <c r="A599" s="131" t="str">
        <f t="shared" si="9"/>
        <v>Immobilière 3F_2018-09</v>
      </c>
      <c r="B599" s="14" t="s">
        <v>142</v>
      </c>
      <c r="C599" s="14" t="s">
        <v>1408</v>
      </c>
      <c r="D599" s="14" t="s">
        <v>1409</v>
      </c>
      <c r="E599" s="14" t="s">
        <v>2268</v>
      </c>
      <c r="F599" s="14">
        <v>4</v>
      </c>
      <c r="G599" s="14">
        <v>311.3</v>
      </c>
      <c r="H599" s="14">
        <v>77.83</v>
      </c>
      <c r="I599" s="14">
        <v>40</v>
      </c>
      <c r="J599" s="14">
        <v>186.78</v>
      </c>
      <c r="K599" s="110"/>
    </row>
    <row r="600" spans="1:11" hidden="1">
      <c r="A600" s="131" t="str">
        <f t="shared" si="9"/>
        <v>Immobilière 3F_2018-07</v>
      </c>
      <c r="B600" s="14" t="s">
        <v>142</v>
      </c>
      <c r="C600" s="14" t="s">
        <v>1265</v>
      </c>
      <c r="D600" s="14" t="s">
        <v>1369</v>
      </c>
      <c r="E600" s="14" t="s">
        <v>2144</v>
      </c>
      <c r="F600" s="14">
        <v>5</v>
      </c>
      <c r="G600" s="14">
        <v>265</v>
      </c>
      <c r="H600" s="14">
        <v>53</v>
      </c>
      <c r="I600" s="14">
        <v>40</v>
      </c>
      <c r="J600" s="14">
        <v>159</v>
      </c>
      <c r="K600" s="110"/>
    </row>
    <row r="601" spans="1:11">
      <c r="A601" s="131" t="str">
        <f t="shared" si="9"/>
        <v>Immobilière 3F_2018-08</v>
      </c>
      <c r="B601" s="14" t="s">
        <v>142</v>
      </c>
      <c r="C601" s="14" t="s">
        <v>1265</v>
      </c>
      <c r="D601" s="14" t="s">
        <v>1369</v>
      </c>
      <c r="E601" s="14" t="s">
        <v>2189</v>
      </c>
      <c r="F601" s="14">
        <v>5</v>
      </c>
      <c r="G601" s="14">
        <v>265</v>
      </c>
      <c r="H601" s="14">
        <v>53</v>
      </c>
      <c r="I601" s="14">
        <v>40</v>
      </c>
      <c r="J601" s="14">
        <v>159</v>
      </c>
      <c r="K601" s="110"/>
    </row>
    <row r="602" spans="1:11" hidden="1">
      <c r="A602" s="131" t="str">
        <f t="shared" si="9"/>
        <v>Immobilière 3F_2018-09</v>
      </c>
      <c r="B602" s="14" t="s">
        <v>142</v>
      </c>
      <c r="C602" s="14" t="s">
        <v>1265</v>
      </c>
      <c r="D602" s="14" t="s">
        <v>1369</v>
      </c>
      <c r="E602" s="14" t="s">
        <v>2268</v>
      </c>
      <c r="F602" s="14">
        <v>5</v>
      </c>
      <c r="G602" s="14">
        <v>265</v>
      </c>
      <c r="H602" s="14">
        <v>53</v>
      </c>
      <c r="I602" s="14">
        <v>40</v>
      </c>
      <c r="J602" s="14">
        <v>159</v>
      </c>
      <c r="K602" s="110"/>
    </row>
    <row r="603" spans="1:11">
      <c r="A603" s="131" t="str">
        <f t="shared" si="9"/>
        <v>Immobilière 3F_2018-08</v>
      </c>
      <c r="B603" s="14" t="s">
        <v>142</v>
      </c>
      <c r="C603" s="14" t="s">
        <v>2204</v>
      </c>
      <c r="D603" s="14" t="s">
        <v>2205</v>
      </c>
      <c r="E603" s="14" t="s">
        <v>2189</v>
      </c>
      <c r="F603" s="14">
        <v>10</v>
      </c>
      <c r="G603" s="14">
        <v>7</v>
      </c>
      <c r="H603" s="14">
        <v>0.7</v>
      </c>
      <c r="I603" s="14">
        <v>40</v>
      </c>
      <c r="J603" s="14">
        <v>4.2</v>
      </c>
      <c r="K603" s="110"/>
    </row>
    <row r="604" spans="1:11" hidden="1">
      <c r="A604" s="131" t="str">
        <f t="shared" si="9"/>
        <v>Immobilière 3F_2018-09</v>
      </c>
      <c r="B604" s="14" t="s">
        <v>142</v>
      </c>
      <c r="C604" s="14" t="s">
        <v>2204</v>
      </c>
      <c r="D604" s="14" t="s">
        <v>2205</v>
      </c>
      <c r="E604" s="14" t="s">
        <v>2268</v>
      </c>
      <c r="F604" s="14">
        <v>10</v>
      </c>
      <c r="G604" s="14">
        <v>94.71</v>
      </c>
      <c r="H604" s="14">
        <v>9.4700000000000006</v>
      </c>
      <c r="I604" s="14">
        <v>40</v>
      </c>
      <c r="J604" s="14">
        <v>56.83</v>
      </c>
      <c r="K604" s="110"/>
    </row>
    <row r="605" spans="1:11">
      <c r="A605" s="131" t="str">
        <f t="shared" si="9"/>
        <v>Immobilière 3F_2018-08</v>
      </c>
      <c r="B605" s="14" t="s">
        <v>142</v>
      </c>
      <c r="C605" s="14" t="s">
        <v>2206</v>
      </c>
      <c r="D605" s="14" t="s">
        <v>2207</v>
      </c>
      <c r="E605" s="14" t="s">
        <v>2189</v>
      </c>
      <c r="F605" s="14">
        <v>10</v>
      </c>
      <c r="G605" s="14">
        <v>21</v>
      </c>
      <c r="H605" s="14">
        <v>2.1</v>
      </c>
      <c r="I605" s="14">
        <v>40</v>
      </c>
      <c r="J605" s="14">
        <v>12.6</v>
      </c>
      <c r="K605" s="110"/>
    </row>
    <row r="606" spans="1:11" hidden="1">
      <c r="A606" s="131" t="str">
        <f t="shared" si="9"/>
        <v>Immobilière 3F_2018-07</v>
      </c>
      <c r="B606" s="14" t="s">
        <v>142</v>
      </c>
      <c r="C606" s="14" t="s">
        <v>1979</v>
      </c>
      <c r="D606" s="14" t="s">
        <v>1980</v>
      </c>
      <c r="E606" s="14" t="s">
        <v>2144</v>
      </c>
      <c r="F606" s="14">
        <v>10</v>
      </c>
      <c r="G606" s="14">
        <v>50</v>
      </c>
      <c r="H606" s="14">
        <v>5</v>
      </c>
      <c r="I606" s="14">
        <v>40</v>
      </c>
      <c r="J606" s="14">
        <v>30</v>
      </c>
      <c r="K606" s="110"/>
    </row>
    <row r="607" spans="1:11">
      <c r="A607" s="131" t="str">
        <f t="shared" si="9"/>
        <v>Immobilière 3F_2018-08</v>
      </c>
      <c r="B607" s="14" t="s">
        <v>142</v>
      </c>
      <c r="C607" s="14" t="s">
        <v>1979</v>
      </c>
      <c r="D607" s="14" t="s">
        <v>1980</v>
      </c>
      <c r="E607" s="14" t="s">
        <v>2189</v>
      </c>
      <c r="F607" s="14">
        <v>10</v>
      </c>
      <c r="G607" s="14">
        <v>35.479999999999997</v>
      </c>
      <c r="H607" s="14">
        <v>3.55</v>
      </c>
      <c r="I607" s="14">
        <v>40</v>
      </c>
      <c r="J607" s="14">
        <v>21.29</v>
      </c>
      <c r="K607" s="110"/>
    </row>
    <row r="608" spans="1:11" hidden="1">
      <c r="A608" s="131" t="str">
        <f t="shared" si="9"/>
        <v>Immobilière 3F_2018-09</v>
      </c>
      <c r="B608" s="14" t="s">
        <v>142</v>
      </c>
      <c r="C608" s="14" t="s">
        <v>1979</v>
      </c>
      <c r="D608" s="14" t="s">
        <v>1980</v>
      </c>
      <c r="E608" s="14" t="s">
        <v>2268</v>
      </c>
      <c r="F608" s="14">
        <v>10</v>
      </c>
      <c r="G608" s="14">
        <v>50</v>
      </c>
      <c r="H608" s="14">
        <v>5</v>
      </c>
      <c r="I608" s="14">
        <v>40</v>
      </c>
      <c r="J608" s="14">
        <v>30</v>
      </c>
      <c r="K608" s="110"/>
    </row>
    <row r="609" spans="1:22" hidden="1">
      <c r="A609" s="131" t="str">
        <f t="shared" si="9"/>
        <v>Immobilière 3F_2018-07</v>
      </c>
      <c r="B609" s="14" t="s">
        <v>142</v>
      </c>
      <c r="C609" s="14" t="s">
        <v>1526</v>
      </c>
      <c r="D609" s="14" t="s">
        <v>1527</v>
      </c>
      <c r="E609" s="14" t="s">
        <v>2144</v>
      </c>
      <c r="F609" s="14">
        <v>29</v>
      </c>
      <c r="G609" s="14">
        <v>250.6</v>
      </c>
      <c r="H609" s="14">
        <v>8.64</v>
      </c>
      <c r="I609" s="14">
        <v>40</v>
      </c>
      <c r="J609" s="14">
        <v>150.36000000000001</v>
      </c>
      <c r="K609" s="110"/>
    </row>
    <row r="610" spans="1:22">
      <c r="A610" s="131" t="str">
        <f t="shared" si="9"/>
        <v>Immobilière 3F_2018-08</v>
      </c>
      <c r="B610" s="14" t="s">
        <v>142</v>
      </c>
      <c r="C610" s="14" t="s">
        <v>1526</v>
      </c>
      <c r="D610" s="14" t="s">
        <v>1527</v>
      </c>
      <c r="E610" s="14" t="s">
        <v>2189</v>
      </c>
      <c r="F610" s="14">
        <v>29</v>
      </c>
      <c r="G610" s="14">
        <v>133.69999999999999</v>
      </c>
      <c r="H610" s="14">
        <v>4.6100000000000003</v>
      </c>
      <c r="I610" s="14">
        <v>40</v>
      </c>
      <c r="J610" s="14">
        <v>80.22</v>
      </c>
      <c r="K610" s="110"/>
    </row>
    <row r="611" spans="1:22" hidden="1">
      <c r="A611" s="131" t="str">
        <f t="shared" si="9"/>
        <v>Immobilière 3F_2018-09</v>
      </c>
      <c r="B611" s="14" t="s">
        <v>142</v>
      </c>
      <c r="C611" s="14" t="s">
        <v>1526</v>
      </c>
      <c r="D611" s="14" t="s">
        <v>1527</v>
      </c>
      <c r="E611" s="14" t="s">
        <v>2268</v>
      </c>
      <c r="F611" s="14">
        <v>29</v>
      </c>
      <c r="G611" s="14">
        <v>148.91</v>
      </c>
      <c r="H611" s="14">
        <v>5.13</v>
      </c>
      <c r="I611" s="14">
        <v>40</v>
      </c>
      <c r="J611" s="14">
        <v>89.35</v>
      </c>
      <c r="K611" s="110"/>
    </row>
    <row r="612" spans="1:22" hidden="1">
      <c r="A612" s="131" t="str">
        <f t="shared" si="9"/>
        <v>Immobilière 3F_2018-07</v>
      </c>
      <c r="B612" s="14" t="s">
        <v>142</v>
      </c>
      <c r="C612" s="14" t="s">
        <v>1817</v>
      </c>
      <c r="D612" s="14" t="s">
        <v>1818</v>
      </c>
      <c r="E612" s="14" t="s">
        <v>2144</v>
      </c>
      <c r="F612" s="14">
        <v>4</v>
      </c>
      <c r="G612" s="14">
        <v>36.01</v>
      </c>
      <c r="H612" s="14">
        <v>9</v>
      </c>
      <c r="I612" s="14">
        <v>40</v>
      </c>
      <c r="J612" s="14">
        <v>21.61</v>
      </c>
      <c r="K612" s="110"/>
    </row>
    <row r="613" spans="1:22">
      <c r="A613" s="131" t="str">
        <f t="shared" si="9"/>
        <v>Immobilière 3F_2018-08</v>
      </c>
      <c r="B613" s="14" t="s">
        <v>142</v>
      </c>
      <c r="C613" s="14" t="s">
        <v>1817</v>
      </c>
      <c r="D613" s="14" t="s">
        <v>1818</v>
      </c>
      <c r="E613" s="14" t="s">
        <v>2189</v>
      </c>
      <c r="F613" s="14">
        <v>4</v>
      </c>
      <c r="G613" s="14">
        <v>-21</v>
      </c>
      <c r="H613" s="14">
        <v>-5.25</v>
      </c>
      <c r="I613" s="14">
        <v>40</v>
      </c>
      <c r="J613" s="14">
        <v>-12.6</v>
      </c>
      <c r="K613" s="110"/>
    </row>
    <row r="614" spans="1:22" hidden="1">
      <c r="A614" s="131" t="str">
        <f t="shared" si="9"/>
        <v>Immobilière 3F_2018-09</v>
      </c>
      <c r="B614" s="14" t="s">
        <v>142</v>
      </c>
      <c r="C614" s="14" t="s">
        <v>1817</v>
      </c>
      <c r="D614" s="14" t="s">
        <v>1818</v>
      </c>
      <c r="E614" s="14" t="s">
        <v>2268</v>
      </c>
      <c r="F614" s="14">
        <v>4</v>
      </c>
      <c r="G614" s="14">
        <v>50</v>
      </c>
      <c r="H614" s="14">
        <v>12.5</v>
      </c>
      <c r="I614" s="14">
        <v>40</v>
      </c>
      <c r="J614" s="14">
        <v>30</v>
      </c>
      <c r="K614" s="110"/>
    </row>
    <row r="615" spans="1:22" hidden="1">
      <c r="A615" s="131" t="str">
        <f t="shared" si="9"/>
        <v>Immobilière 3F_2018-07</v>
      </c>
      <c r="B615" s="14" t="s">
        <v>142</v>
      </c>
      <c r="C615" s="14" t="s">
        <v>1370</v>
      </c>
      <c r="D615" s="14" t="s">
        <v>1371</v>
      </c>
      <c r="E615" s="14" t="s">
        <v>2144</v>
      </c>
      <c r="F615" s="14">
        <v>5</v>
      </c>
      <c r="G615" s="14">
        <v>251</v>
      </c>
      <c r="H615" s="14">
        <v>50.2</v>
      </c>
      <c r="I615" s="14">
        <v>40</v>
      </c>
      <c r="J615" s="14">
        <v>150.6</v>
      </c>
      <c r="K615" s="110"/>
    </row>
    <row r="616" spans="1:22">
      <c r="A616" s="131" t="str">
        <f>CONCATENATE(B616,"_",E616)</f>
        <v>Immobilière 3F_2018-08</v>
      </c>
      <c r="B616" s="14" t="s">
        <v>142</v>
      </c>
      <c r="C616" s="14" t="s">
        <v>1370</v>
      </c>
      <c r="D616" s="14" t="s">
        <v>1371</v>
      </c>
      <c r="E616" s="14" t="s">
        <v>2189</v>
      </c>
      <c r="F616" s="14">
        <v>5</v>
      </c>
      <c r="G616" s="14">
        <v>251</v>
      </c>
      <c r="H616" s="14">
        <v>50.2</v>
      </c>
      <c r="I616" s="14">
        <v>40</v>
      </c>
      <c r="J616" s="14">
        <v>150.6</v>
      </c>
      <c r="K616" s="110"/>
    </row>
    <row r="617" spans="1:22" hidden="1">
      <c r="A617" s="131" t="str">
        <f>CONCATENATE(B617,"_",E617)</f>
        <v>Immobilière 3F_2018-09</v>
      </c>
      <c r="B617" s="14" t="s">
        <v>142</v>
      </c>
      <c r="C617" s="14" t="s">
        <v>1370</v>
      </c>
      <c r="D617" s="14" t="s">
        <v>1371</v>
      </c>
      <c r="E617" s="14" t="s">
        <v>2268</v>
      </c>
      <c r="F617" s="14">
        <v>5</v>
      </c>
      <c r="G617" s="14">
        <v>251</v>
      </c>
      <c r="H617" s="14">
        <v>50.2</v>
      </c>
      <c r="I617" s="14">
        <v>40</v>
      </c>
      <c r="J617" s="14">
        <v>150.6</v>
      </c>
      <c r="K617" s="110"/>
    </row>
    <row r="618" spans="1:22" hidden="1">
      <c r="A618" s="131" t="str">
        <f>CONCATENATE(B618,"_",E618)</f>
        <v>Immobilière 3F_2018-07</v>
      </c>
      <c r="B618" s="14" t="s">
        <v>142</v>
      </c>
      <c r="C618" s="14" t="s">
        <v>1981</v>
      </c>
      <c r="D618" s="14" t="s">
        <v>1982</v>
      </c>
      <c r="E618" s="14" t="s">
        <v>2144</v>
      </c>
      <c r="F618" s="14">
        <v>14.35</v>
      </c>
      <c r="G618" s="14">
        <v>56.87</v>
      </c>
      <c r="H618" s="14">
        <v>3.96</v>
      </c>
      <c r="I618" s="14">
        <v>40</v>
      </c>
      <c r="J618" s="14">
        <v>34.119999999999997</v>
      </c>
      <c r="K618" s="110"/>
    </row>
    <row r="619" spans="1:22">
      <c r="A619" s="131" t="str">
        <f t="shared" ref="A619:A682" si="10">CONCATENATE(B619,"_",E619)</f>
        <v>Immobilière 3F_2018-08</v>
      </c>
      <c r="B619" s="14" t="s">
        <v>142</v>
      </c>
      <c r="C619" s="14" t="s">
        <v>1981</v>
      </c>
      <c r="D619" s="14" t="s">
        <v>1982</v>
      </c>
      <c r="E619" s="14" t="s">
        <v>2189</v>
      </c>
      <c r="F619" s="14">
        <v>15</v>
      </c>
      <c r="G619" s="14">
        <v>1.3</v>
      </c>
      <c r="H619" s="14">
        <v>0.09</v>
      </c>
      <c r="I619" s="14">
        <v>40</v>
      </c>
      <c r="J619" s="14">
        <v>0.78</v>
      </c>
    </row>
    <row r="620" spans="1:22" hidden="1">
      <c r="A620" s="131" t="str">
        <f t="shared" si="10"/>
        <v>Immobilière 3F_2018-09</v>
      </c>
      <c r="B620" s="14" t="s">
        <v>142</v>
      </c>
      <c r="C620" s="14" t="s">
        <v>1981</v>
      </c>
      <c r="D620" s="14" t="s">
        <v>1982</v>
      </c>
      <c r="E620" s="14" t="s">
        <v>2268</v>
      </c>
      <c r="F620" s="14">
        <v>15</v>
      </c>
      <c r="G620" s="14">
        <v>11</v>
      </c>
      <c r="H620" s="14">
        <v>0.73</v>
      </c>
      <c r="I620" s="14">
        <v>40</v>
      </c>
      <c r="J620" s="14">
        <v>6.6</v>
      </c>
      <c r="N620" s="14"/>
      <c r="O620" s="14"/>
      <c r="P620" s="14"/>
      <c r="Q620" s="14"/>
      <c r="R620" s="14"/>
      <c r="S620" s="14"/>
      <c r="T620" s="14"/>
      <c r="U620" s="14"/>
      <c r="V620" s="14"/>
    </row>
    <row r="621" spans="1:22" hidden="1">
      <c r="A621" s="131" t="str">
        <f t="shared" si="10"/>
        <v>Immobilière 3F_2018-07</v>
      </c>
      <c r="B621" s="14" t="s">
        <v>142</v>
      </c>
      <c r="C621" s="14" t="s">
        <v>2156</v>
      </c>
      <c r="D621" s="14" t="s">
        <v>2157</v>
      </c>
      <c r="E621" s="14" t="s">
        <v>2144</v>
      </c>
      <c r="F621" s="14">
        <v>7</v>
      </c>
      <c r="G621" s="14">
        <v>1.61</v>
      </c>
      <c r="H621" s="14">
        <v>0.23</v>
      </c>
      <c r="I621" s="14">
        <v>40</v>
      </c>
      <c r="J621" s="14">
        <v>0.97</v>
      </c>
      <c r="N621" s="14"/>
      <c r="O621" s="14"/>
      <c r="P621" s="14"/>
      <c r="Q621" s="14"/>
      <c r="R621" s="14"/>
      <c r="S621" s="14"/>
      <c r="T621" s="14"/>
      <c r="U621" s="14"/>
      <c r="V621" s="14"/>
    </row>
    <row r="622" spans="1:22">
      <c r="A622" s="131" t="str">
        <f t="shared" si="10"/>
        <v>Immobilière 3F_2018-08</v>
      </c>
      <c r="B622" s="14" t="s">
        <v>142</v>
      </c>
      <c r="C622" s="14" t="s">
        <v>2156</v>
      </c>
      <c r="D622" s="14" t="s">
        <v>2157</v>
      </c>
      <c r="E622" s="14" t="s">
        <v>2189</v>
      </c>
      <c r="F622" s="14">
        <v>7</v>
      </c>
      <c r="G622" s="14">
        <v>21.77</v>
      </c>
      <c r="H622" s="14">
        <v>3.11</v>
      </c>
      <c r="I622" s="14">
        <v>40</v>
      </c>
      <c r="J622" s="14">
        <v>13.06</v>
      </c>
      <c r="N622" s="14"/>
      <c r="O622" s="14"/>
      <c r="P622" s="14"/>
      <c r="Q622" s="14"/>
      <c r="R622" s="14"/>
      <c r="S622" s="14"/>
      <c r="T622" s="14"/>
      <c r="U622" s="14"/>
      <c r="V622" s="14"/>
    </row>
    <row r="623" spans="1:22" hidden="1">
      <c r="A623" s="131" t="str">
        <f t="shared" si="10"/>
        <v>Immobilière 3F_2018-07</v>
      </c>
      <c r="B623" s="14" t="s">
        <v>142</v>
      </c>
      <c r="C623" s="14" t="s">
        <v>665</v>
      </c>
      <c r="D623" s="14" t="s">
        <v>558</v>
      </c>
      <c r="E623" s="14" t="s">
        <v>2144</v>
      </c>
      <c r="F623" s="14">
        <v>9</v>
      </c>
      <c r="G623" s="14">
        <v>1223.83</v>
      </c>
      <c r="H623" s="14">
        <v>135.97999999999999</v>
      </c>
      <c r="I623" s="14">
        <v>30</v>
      </c>
      <c r="J623" s="14">
        <v>856.68</v>
      </c>
      <c r="N623" s="14"/>
      <c r="O623" s="14"/>
      <c r="P623" s="14"/>
      <c r="Q623" s="14"/>
      <c r="R623" s="14"/>
      <c r="S623" s="14"/>
      <c r="T623" s="14"/>
      <c r="U623" s="14"/>
      <c r="V623" s="14"/>
    </row>
    <row r="624" spans="1:22">
      <c r="A624" s="131" t="str">
        <f t="shared" si="10"/>
        <v>Immobilière 3F_2018-08</v>
      </c>
      <c r="B624" s="14" t="s">
        <v>142</v>
      </c>
      <c r="C624" s="14" t="s">
        <v>665</v>
      </c>
      <c r="D624" s="14" t="s">
        <v>558</v>
      </c>
      <c r="E624" s="14" t="s">
        <v>2189</v>
      </c>
      <c r="F624" s="14">
        <v>9</v>
      </c>
      <c r="G624" s="14">
        <v>407.97</v>
      </c>
      <c r="H624" s="14">
        <v>45.33</v>
      </c>
      <c r="I624" s="14">
        <v>30</v>
      </c>
      <c r="J624" s="14">
        <v>285.58</v>
      </c>
    </row>
    <row r="625" spans="1:22" hidden="1">
      <c r="A625" s="131" t="str">
        <f t="shared" si="10"/>
        <v>Immobilière 3F_2018-09</v>
      </c>
      <c r="B625" s="14" t="s">
        <v>142</v>
      </c>
      <c r="C625" s="14" t="s">
        <v>665</v>
      </c>
      <c r="D625" s="14" t="s">
        <v>558</v>
      </c>
      <c r="E625" s="14" t="s">
        <v>2268</v>
      </c>
      <c r="F625" s="14">
        <v>9</v>
      </c>
      <c r="G625" s="14">
        <v>824.42</v>
      </c>
      <c r="H625" s="14">
        <v>91.6</v>
      </c>
      <c r="I625" s="14">
        <v>30</v>
      </c>
      <c r="J625" s="14">
        <v>577.09</v>
      </c>
    </row>
    <row r="626" spans="1:22">
      <c r="A626" s="131" t="str">
        <f t="shared" si="10"/>
        <v>Immobilière 3F_2018-08</v>
      </c>
      <c r="B626" s="14" t="s">
        <v>142</v>
      </c>
      <c r="C626" s="14" t="s">
        <v>2208</v>
      </c>
      <c r="D626" s="14" t="s">
        <v>2209</v>
      </c>
      <c r="E626" s="14" t="s">
        <v>2189</v>
      </c>
      <c r="F626" s="14">
        <v>1</v>
      </c>
      <c r="G626" s="14">
        <v>73.900000000000006</v>
      </c>
      <c r="H626" s="14">
        <v>73.900000000000006</v>
      </c>
      <c r="I626" s="14">
        <v>40</v>
      </c>
      <c r="J626" s="14">
        <v>44.34</v>
      </c>
      <c r="N626" s="14"/>
      <c r="O626" s="14"/>
      <c r="P626" s="14"/>
      <c r="Q626" s="14"/>
      <c r="R626" s="14"/>
      <c r="S626" s="14"/>
      <c r="T626" s="14"/>
      <c r="U626" s="14"/>
      <c r="V626" s="14"/>
    </row>
    <row r="627" spans="1:22" hidden="1">
      <c r="A627" s="131" t="str">
        <f t="shared" si="10"/>
        <v>Immobilière 3F_2018-09</v>
      </c>
      <c r="B627" s="14" t="s">
        <v>142</v>
      </c>
      <c r="C627" s="14" t="s">
        <v>2208</v>
      </c>
      <c r="D627" s="14" t="s">
        <v>2209</v>
      </c>
      <c r="E627" s="14" t="s">
        <v>2268</v>
      </c>
      <c r="F627" s="14">
        <v>1</v>
      </c>
      <c r="G627" s="14">
        <v>79</v>
      </c>
      <c r="H627" s="14">
        <v>79</v>
      </c>
      <c r="I627" s="14">
        <v>40</v>
      </c>
      <c r="J627" s="14">
        <v>47.4</v>
      </c>
      <c r="N627" s="14"/>
      <c r="O627" s="14"/>
      <c r="P627" s="14"/>
      <c r="Q627" s="14"/>
      <c r="R627" s="14"/>
      <c r="S627" s="14"/>
      <c r="T627" s="14"/>
      <c r="U627" s="14"/>
      <c r="V627" s="14"/>
    </row>
    <row r="628" spans="1:22" hidden="1">
      <c r="A628" s="131" t="str">
        <f t="shared" si="10"/>
        <v>Immobilière 3F_2018-07</v>
      </c>
      <c r="B628" s="14" t="s">
        <v>142</v>
      </c>
      <c r="C628" s="14" t="s">
        <v>559</v>
      </c>
      <c r="D628" s="14" t="s">
        <v>560</v>
      </c>
      <c r="E628" s="14" t="s">
        <v>2144</v>
      </c>
      <c r="F628" s="14">
        <v>5</v>
      </c>
      <c r="G628" s="14">
        <v>276</v>
      </c>
      <c r="H628" s="14">
        <v>55.2</v>
      </c>
      <c r="I628" s="14">
        <v>30</v>
      </c>
      <c r="J628" s="14">
        <v>193.2</v>
      </c>
      <c r="N628" s="14"/>
      <c r="O628" s="14"/>
      <c r="P628" s="14"/>
      <c r="Q628" s="14"/>
      <c r="R628" s="14"/>
      <c r="S628" s="14"/>
      <c r="T628" s="14"/>
      <c r="U628" s="14"/>
      <c r="V628" s="14"/>
    </row>
    <row r="629" spans="1:22">
      <c r="A629" s="131" t="str">
        <f t="shared" si="10"/>
        <v>Immobilière 3F_2018-08</v>
      </c>
      <c r="B629" s="14" t="s">
        <v>142</v>
      </c>
      <c r="C629" s="14" t="s">
        <v>559</v>
      </c>
      <c r="D629" s="14" t="s">
        <v>560</v>
      </c>
      <c r="E629" s="14" t="s">
        <v>2189</v>
      </c>
      <c r="F629" s="14">
        <v>5</v>
      </c>
      <c r="G629" s="14">
        <v>276</v>
      </c>
      <c r="H629" s="14">
        <v>55.2</v>
      </c>
      <c r="I629" s="14">
        <v>30</v>
      </c>
      <c r="J629" s="14">
        <v>193.2</v>
      </c>
      <c r="N629" s="14"/>
      <c r="O629" s="14"/>
      <c r="P629" s="14"/>
      <c r="Q629" s="14"/>
      <c r="R629" s="14"/>
      <c r="S629" s="14"/>
      <c r="T629" s="14"/>
      <c r="U629" s="14"/>
      <c r="V629" s="14"/>
    </row>
    <row r="630" spans="1:22" hidden="1">
      <c r="A630" s="131" t="str">
        <f t="shared" si="10"/>
        <v>Immobilière 3F_2018-09</v>
      </c>
      <c r="B630" s="14" t="s">
        <v>142</v>
      </c>
      <c r="C630" s="14" t="s">
        <v>559</v>
      </c>
      <c r="D630" s="14" t="s">
        <v>560</v>
      </c>
      <c r="E630" s="14" t="s">
        <v>2268</v>
      </c>
      <c r="F630" s="14">
        <v>5</v>
      </c>
      <c r="G630" s="14">
        <v>308.2</v>
      </c>
      <c r="H630" s="14">
        <v>61.64</v>
      </c>
      <c r="I630" s="14">
        <v>30</v>
      </c>
      <c r="J630" s="14">
        <v>215.74</v>
      </c>
      <c r="N630" s="14"/>
      <c r="O630" s="14"/>
      <c r="P630" s="14"/>
      <c r="Q630" s="14"/>
      <c r="R630" s="14"/>
      <c r="S630" s="14"/>
      <c r="T630" s="14"/>
      <c r="U630" s="14"/>
      <c r="V630" s="14"/>
    </row>
    <row r="631" spans="1:22" hidden="1">
      <c r="A631" s="131" t="str">
        <f t="shared" si="10"/>
        <v>Immobilière 3F_2018-07</v>
      </c>
      <c r="B631" s="14" t="s">
        <v>142</v>
      </c>
      <c r="C631" s="14" t="s">
        <v>1266</v>
      </c>
      <c r="D631" s="14" t="s">
        <v>1372</v>
      </c>
      <c r="E631" s="14" t="s">
        <v>2144</v>
      </c>
      <c r="F631" s="14">
        <v>2</v>
      </c>
      <c r="G631" s="14">
        <v>50</v>
      </c>
      <c r="H631" s="14">
        <v>25</v>
      </c>
      <c r="I631" s="14">
        <v>40</v>
      </c>
      <c r="J631" s="14">
        <v>30</v>
      </c>
      <c r="N631" s="14"/>
      <c r="O631" s="14"/>
      <c r="P631" s="14"/>
      <c r="Q631" s="14"/>
      <c r="R631" s="14"/>
      <c r="S631" s="14"/>
      <c r="T631" s="14"/>
      <c r="U631" s="14"/>
      <c r="V631" s="14"/>
    </row>
    <row r="632" spans="1:22">
      <c r="A632" s="131" t="str">
        <f t="shared" si="10"/>
        <v>Immobilière 3F_2018-08</v>
      </c>
      <c r="B632" s="14" t="s">
        <v>142</v>
      </c>
      <c r="C632" s="14" t="s">
        <v>1266</v>
      </c>
      <c r="D632" s="14" t="s">
        <v>1372</v>
      </c>
      <c r="E632" s="14" t="s">
        <v>2189</v>
      </c>
      <c r="F632" s="14">
        <v>2</v>
      </c>
      <c r="G632" s="14">
        <v>50</v>
      </c>
      <c r="H632" s="14">
        <v>25</v>
      </c>
      <c r="I632" s="14">
        <v>40</v>
      </c>
      <c r="J632" s="14">
        <v>30</v>
      </c>
      <c r="N632" s="14"/>
      <c r="O632" s="14"/>
      <c r="P632" s="14"/>
      <c r="Q632" s="14"/>
      <c r="R632" s="14"/>
      <c r="S632" s="14"/>
      <c r="T632" s="14"/>
      <c r="U632" s="14"/>
      <c r="V632" s="14"/>
    </row>
    <row r="633" spans="1:22" hidden="1">
      <c r="A633" s="131" t="str">
        <f t="shared" si="10"/>
        <v>Immobilière 3F_2018-09</v>
      </c>
      <c r="B633" s="14" t="s">
        <v>142</v>
      </c>
      <c r="C633" s="14" t="s">
        <v>1266</v>
      </c>
      <c r="D633" s="14" t="s">
        <v>1372</v>
      </c>
      <c r="E633" s="14" t="s">
        <v>2268</v>
      </c>
      <c r="F633" s="14">
        <v>2</v>
      </c>
      <c r="G633" s="14">
        <v>50</v>
      </c>
      <c r="H633" s="14">
        <v>25</v>
      </c>
      <c r="I633" s="14">
        <v>40</v>
      </c>
      <c r="J633" s="14">
        <v>30</v>
      </c>
    </row>
    <row r="634" spans="1:22" hidden="1">
      <c r="A634" s="131" t="str">
        <f t="shared" si="10"/>
        <v>Immobilière 3F_2018-07</v>
      </c>
      <c r="B634" s="14" t="s">
        <v>142</v>
      </c>
      <c r="C634" s="14" t="s">
        <v>561</v>
      </c>
      <c r="D634" s="14" t="s">
        <v>562</v>
      </c>
      <c r="E634" s="14" t="s">
        <v>2144</v>
      </c>
      <c r="F634" s="14">
        <v>10</v>
      </c>
      <c r="G634" s="14">
        <v>645.29</v>
      </c>
      <c r="H634" s="14">
        <v>64.53</v>
      </c>
      <c r="I634" s="14">
        <v>30</v>
      </c>
      <c r="J634" s="14">
        <v>451.7</v>
      </c>
    </row>
    <row r="635" spans="1:22">
      <c r="A635" s="131" t="str">
        <f t="shared" si="10"/>
        <v>Immobilière 3F_2018-08</v>
      </c>
      <c r="B635" s="14" t="s">
        <v>142</v>
      </c>
      <c r="C635" s="14" t="s">
        <v>561</v>
      </c>
      <c r="D635" s="14" t="s">
        <v>562</v>
      </c>
      <c r="E635" s="14" t="s">
        <v>2189</v>
      </c>
      <c r="F635" s="14">
        <v>10</v>
      </c>
      <c r="G635" s="14">
        <v>604.77</v>
      </c>
      <c r="H635" s="14">
        <v>60.48</v>
      </c>
      <c r="I635" s="14">
        <v>30</v>
      </c>
      <c r="J635" s="14">
        <v>423.34</v>
      </c>
    </row>
    <row r="636" spans="1:22" hidden="1">
      <c r="A636" s="131" t="str">
        <f t="shared" si="10"/>
        <v>Immobilière 3F_2018-09</v>
      </c>
      <c r="B636" s="14" t="s">
        <v>142</v>
      </c>
      <c r="C636" s="14" t="s">
        <v>561</v>
      </c>
      <c r="D636" s="14" t="s">
        <v>562</v>
      </c>
      <c r="E636" s="14" t="s">
        <v>2268</v>
      </c>
      <c r="F636" s="14">
        <v>10</v>
      </c>
      <c r="G636" s="14">
        <v>563.16999999999996</v>
      </c>
      <c r="H636" s="14">
        <v>56.32</v>
      </c>
      <c r="I636" s="14">
        <v>30</v>
      </c>
      <c r="J636" s="14">
        <v>394.22</v>
      </c>
    </row>
    <row r="637" spans="1:22" hidden="1">
      <c r="A637" s="131" t="str">
        <f t="shared" si="10"/>
        <v>Immobilière 3F_2018-07</v>
      </c>
      <c r="B637" s="14" t="s">
        <v>142</v>
      </c>
      <c r="C637" s="14" t="s">
        <v>1528</v>
      </c>
      <c r="D637" s="14" t="s">
        <v>1529</v>
      </c>
      <c r="E637" s="14" t="s">
        <v>2144</v>
      </c>
      <c r="F637" s="14">
        <v>7</v>
      </c>
      <c r="G637" s="14">
        <v>407.52</v>
      </c>
      <c r="H637" s="14">
        <v>58.22</v>
      </c>
      <c r="I637" s="14">
        <v>40</v>
      </c>
      <c r="J637" s="14">
        <v>244.51</v>
      </c>
    </row>
    <row r="638" spans="1:22">
      <c r="A638" s="131" t="str">
        <f t="shared" si="10"/>
        <v>Immobilière 3F_2018-08</v>
      </c>
      <c r="B638" s="14" t="s">
        <v>142</v>
      </c>
      <c r="C638" s="14" t="s">
        <v>1528</v>
      </c>
      <c r="D638" s="14" t="s">
        <v>1529</v>
      </c>
      <c r="E638" s="14" t="s">
        <v>2189</v>
      </c>
      <c r="F638" s="14">
        <v>7</v>
      </c>
      <c r="G638" s="14">
        <v>555.75</v>
      </c>
      <c r="H638" s="14">
        <v>79.39</v>
      </c>
      <c r="I638" s="14">
        <v>40</v>
      </c>
      <c r="J638" s="14">
        <v>333.45</v>
      </c>
    </row>
    <row r="639" spans="1:22" hidden="1">
      <c r="A639" s="131" t="str">
        <f t="shared" si="10"/>
        <v>Immobilière 3F_2018-09</v>
      </c>
      <c r="B639" s="14" t="s">
        <v>142</v>
      </c>
      <c r="C639" s="14" t="s">
        <v>1528</v>
      </c>
      <c r="D639" s="14" t="s">
        <v>1529</v>
      </c>
      <c r="E639" s="14" t="s">
        <v>2268</v>
      </c>
      <c r="F639" s="14">
        <v>7</v>
      </c>
      <c r="G639" s="14">
        <v>454.71</v>
      </c>
      <c r="H639" s="14">
        <v>64.959999999999994</v>
      </c>
      <c r="I639" s="14">
        <v>40</v>
      </c>
      <c r="J639" s="14">
        <v>272.83</v>
      </c>
    </row>
    <row r="640" spans="1:22">
      <c r="A640" s="131" t="str">
        <f t="shared" si="10"/>
        <v>Immobilière 3F_2018-08</v>
      </c>
      <c r="B640" s="14" t="s">
        <v>142</v>
      </c>
      <c r="C640" s="14" t="s">
        <v>2210</v>
      </c>
      <c r="D640" s="14" t="s">
        <v>2211</v>
      </c>
      <c r="E640" s="14" t="s">
        <v>2189</v>
      </c>
      <c r="F640" s="14">
        <v>15</v>
      </c>
      <c r="G640" s="14">
        <v>51.61</v>
      </c>
      <c r="H640" s="14">
        <v>3.44</v>
      </c>
      <c r="I640" s="14">
        <v>40</v>
      </c>
      <c r="J640" s="14">
        <v>30.97</v>
      </c>
    </row>
    <row r="641" spans="1:10" hidden="1">
      <c r="A641" s="131" t="str">
        <f t="shared" si="10"/>
        <v>Immobilière 3F_2018-09</v>
      </c>
      <c r="B641" s="14" t="s">
        <v>142</v>
      </c>
      <c r="C641" s="14" t="s">
        <v>2210</v>
      </c>
      <c r="D641" s="14" t="s">
        <v>2211</v>
      </c>
      <c r="E641" s="14" t="s">
        <v>2268</v>
      </c>
      <c r="F641" s="14">
        <v>15</v>
      </c>
      <c r="G641" s="14">
        <v>33.33</v>
      </c>
      <c r="H641" s="14">
        <v>2.2200000000000002</v>
      </c>
      <c r="I641" s="14">
        <v>40</v>
      </c>
      <c r="J641" s="14">
        <v>20</v>
      </c>
    </row>
    <row r="642" spans="1:10" hidden="1">
      <c r="A642" s="131" t="str">
        <f t="shared" si="10"/>
        <v>Immobilière 3F_2018-07</v>
      </c>
      <c r="B642" s="14" t="s">
        <v>142</v>
      </c>
      <c r="C642" s="14" t="s">
        <v>1373</v>
      </c>
      <c r="D642" s="14" t="s">
        <v>1374</v>
      </c>
      <c r="E642" s="14" t="s">
        <v>2144</v>
      </c>
      <c r="F642" s="14">
        <v>19</v>
      </c>
      <c r="G642" s="14">
        <v>2241.02</v>
      </c>
      <c r="H642" s="14">
        <v>117.95</v>
      </c>
      <c r="I642" s="14">
        <v>30</v>
      </c>
      <c r="J642" s="14">
        <v>1568.71</v>
      </c>
    </row>
    <row r="643" spans="1:10">
      <c r="A643" s="131" t="str">
        <f t="shared" si="10"/>
        <v>Immobilière 3F_2018-08</v>
      </c>
      <c r="B643" s="14" t="s">
        <v>142</v>
      </c>
      <c r="C643" s="14" t="s">
        <v>1373</v>
      </c>
      <c r="D643" s="14" t="s">
        <v>1374</v>
      </c>
      <c r="E643" s="14" t="s">
        <v>2189</v>
      </c>
      <c r="F643" s="14">
        <v>19</v>
      </c>
      <c r="G643" s="14">
        <v>2007.82</v>
      </c>
      <c r="H643" s="14">
        <v>105.67</v>
      </c>
      <c r="I643" s="14">
        <v>30</v>
      </c>
      <c r="J643" s="14">
        <v>1405.47</v>
      </c>
    </row>
    <row r="644" spans="1:10" hidden="1">
      <c r="A644" s="131" t="str">
        <f t="shared" si="10"/>
        <v>Immobilière 3F_2018-09</v>
      </c>
      <c r="B644" s="14" t="s">
        <v>142</v>
      </c>
      <c r="C644" s="14" t="s">
        <v>1373</v>
      </c>
      <c r="D644" s="14" t="s">
        <v>1374</v>
      </c>
      <c r="E644" s="14" t="s">
        <v>2268</v>
      </c>
      <c r="F644" s="14">
        <v>19</v>
      </c>
      <c r="G644" s="14">
        <v>2119.41</v>
      </c>
      <c r="H644" s="14">
        <v>111.55</v>
      </c>
      <c r="I644" s="14">
        <v>30</v>
      </c>
      <c r="J644" s="14">
        <v>1483.59</v>
      </c>
    </row>
    <row r="645" spans="1:10" hidden="1">
      <c r="A645" s="131" t="str">
        <f t="shared" si="10"/>
        <v>Immobilière 3F_2018-07</v>
      </c>
      <c r="B645" s="14" t="s">
        <v>142</v>
      </c>
      <c r="C645" s="14" t="s">
        <v>1184</v>
      </c>
      <c r="D645" s="14" t="s">
        <v>1375</v>
      </c>
      <c r="E645" s="14" t="s">
        <v>2144</v>
      </c>
      <c r="F645" s="14">
        <v>14</v>
      </c>
      <c r="G645" s="14">
        <v>914.37</v>
      </c>
      <c r="H645" s="14">
        <v>65.31</v>
      </c>
      <c r="I645" s="14">
        <v>40</v>
      </c>
      <c r="J645" s="14">
        <v>548.62</v>
      </c>
    </row>
    <row r="646" spans="1:10">
      <c r="A646" s="131" t="str">
        <f t="shared" si="10"/>
        <v>Immobilière 3F_2018-08</v>
      </c>
      <c r="B646" s="14" t="s">
        <v>142</v>
      </c>
      <c r="C646" s="14" t="s">
        <v>1184</v>
      </c>
      <c r="D646" s="14" t="s">
        <v>1375</v>
      </c>
      <c r="E646" s="14" t="s">
        <v>2189</v>
      </c>
      <c r="F646" s="14">
        <v>14</v>
      </c>
      <c r="G646" s="14">
        <v>796.96</v>
      </c>
      <c r="H646" s="14">
        <v>56.93</v>
      </c>
      <c r="I646" s="14">
        <v>40</v>
      </c>
      <c r="J646" s="14">
        <v>478.18</v>
      </c>
    </row>
    <row r="647" spans="1:10" hidden="1">
      <c r="A647" s="131" t="str">
        <f t="shared" si="10"/>
        <v>Immobilière 3F_2018-09</v>
      </c>
      <c r="B647" s="14" t="s">
        <v>142</v>
      </c>
      <c r="C647" s="14" t="s">
        <v>1184</v>
      </c>
      <c r="D647" s="14" t="s">
        <v>1375</v>
      </c>
      <c r="E647" s="14" t="s">
        <v>2268</v>
      </c>
      <c r="F647" s="14">
        <v>14</v>
      </c>
      <c r="G647" s="14">
        <v>1030.7</v>
      </c>
      <c r="H647" s="14">
        <v>73.62</v>
      </c>
      <c r="I647" s="14">
        <v>40</v>
      </c>
      <c r="J647" s="14">
        <v>618.41999999999996</v>
      </c>
    </row>
    <row r="648" spans="1:10" hidden="1">
      <c r="A648" s="131" t="str">
        <f t="shared" si="10"/>
        <v>Immobilière 3F_2018-07</v>
      </c>
      <c r="B648" s="14" t="s">
        <v>142</v>
      </c>
      <c r="C648" s="14" t="s">
        <v>1185</v>
      </c>
      <c r="D648" s="14" t="s">
        <v>1376</v>
      </c>
      <c r="E648" s="14" t="s">
        <v>2144</v>
      </c>
      <c r="F648" s="14">
        <v>10</v>
      </c>
      <c r="G648" s="14">
        <v>1483.68</v>
      </c>
      <c r="H648" s="14">
        <v>148.37</v>
      </c>
      <c r="I648" s="14">
        <v>40</v>
      </c>
      <c r="J648" s="14">
        <v>890.21</v>
      </c>
    </row>
    <row r="649" spans="1:10">
      <c r="A649" s="131" t="str">
        <f t="shared" si="10"/>
        <v>Immobilière 3F_2018-08</v>
      </c>
      <c r="B649" s="14" t="s">
        <v>142</v>
      </c>
      <c r="C649" s="14" t="s">
        <v>1185</v>
      </c>
      <c r="D649" s="14" t="s">
        <v>1376</v>
      </c>
      <c r="E649" s="14" t="s">
        <v>2189</v>
      </c>
      <c r="F649" s="14">
        <v>10</v>
      </c>
      <c r="G649" s="14">
        <v>1577.6</v>
      </c>
      <c r="H649" s="14">
        <v>157.76</v>
      </c>
      <c r="I649" s="14">
        <v>40</v>
      </c>
      <c r="J649" s="14">
        <v>946.56</v>
      </c>
    </row>
    <row r="650" spans="1:10" hidden="1">
      <c r="A650" s="131" t="str">
        <f t="shared" si="10"/>
        <v>Immobilière 3F_2018-09</v>
      </c>
      <c r="B650" s="14" t="s">
        <v>142</v>
      </c>
      <c r="C650" s="14" t="s">
        <v>1185</v>
      </c>
      <c r="D650" s="14" t="s">
        <v>1376</v>
      </c>
      <c r="E650" s="14" t="s">
        <v>2268</v>
      </c>
      <c r="F650" s="14">
        <v>10</v>
      </c>
      <c r="G650" s="14">
        <v>2262.6999999999998</v>
      </c>
      <c r="H650" s="14">
        <v>226.27</v>
      </c>
      <c r="I650" s="14">
        <v>40</v>
      </c>
      <c r="J650" s="14">
        <v>1357.62</v>
      </c>
    </row>
    <row r="651" spans="1:10" hidden="1">
      <c r="A651" s="131" t="str">
        <f t="shared" si="10"/>
        <v>Immobilière 3F_2018-07</v>
      </c>
      <c r="B651" s="14" t="s">
        <v>142</v>
      </c>
      <c r="C651" s="14" t="s">
        <v>1616</v>
      </c>
      <c r="D651" s="14" t="s">
        <v>1617</v>
      </c>
      <c r="E651" s="14" t="s">
        <v>2144</v>
      </c>
      <c r="F651" s="14">
        <v>9</v>
      </c>
      <c r="G651" s="14">
        <v>245.11</v>
      </c>
      <c r="H651" s="14">
        <v>27.23</v>
      </c>
      <c r="I651" s="14">
        <v>40</v>
      </c>
      <c r="J651" s="14">
        <v>147.07</v>
      </c>
    </row>
    <row r="652" spans="1:10">
      <c r="A652" s="131" t="str">
        <f t="shared" si="10"/>
        <v>Immobilière 3F_2018-08</v>
      </c>
      <c r="B652" s="14" t="s">
        <v>142</v>
      </c>
      <c r="C652" s="14" t="s">
        <v>1616</v>
      </c>
      <c r="D652" s="14" t="s">
        <v>1617</v>
      </c>
      <c r="E652" s="14" t="s">
        <v>2189</v>
      </c>
      <c r="F652" s="14">
        <v>9</v>
      </c>
      <c r="G652" s="14">
        <v>226.95</v>
      </c>
      <c r="H652" s="14">
        <v>25.22</v>
      </c>
      <c r="I652" s="14">
        <v>40</v>
      </c>
      <c r="J652" s="14">
        <v>136.16999999999999</v>
      </c>
    </row>
    <row r="653" spans="1:10" hidden="1">
      <c r="A653" s="131" t="str">
        <f t="shared" si="10"/>
        <v>Immobilière 3F_2018-09</v>
      </c>
      <c r="B653" s="14" t="s">
        <v>142</v>
      </c>
      <c r="C653" s="14" t="s">
        <v>1616</v>
      </c>
      <c r="D653" s="14" t="s">
        <v>1617</v>
      </c>
      <c r="E653" s="14" t="s">
        <v>2268</v>
      </c>
      <c r="F653" s="14">
        <v>9</v>
      </c>
      <c r="G653" s="14">
        <v>261.51</v>
      </c>
      <c r="H653" s="14">
        <v>29.06</v>
      </c>
      <c r="I653" s="14">
        <v>40</v>
      </c>
      <c r="J653" s="14">
        <v>156.91</v>
      </c>
    </row>
    <row r="654" spans="1:10" hidden="1">
      <c r="A654" s="131" t="str">
        <f t="shared" si="10"/>
        <v>Immobilière 3F_2018-07</v>
      </c>
      <c r="B654" s="14" t="s">
        <v>142</v>
      </c>
      <c r="C654" s="14" t="s">
        <v>563</v>
      </c>
      <c r="D654" s="14" t="s">
        <v>564</v>
      </c>
      <c r="E654" s="14" t="s">
        <v>2144</v>
      </c>
      <c r="F654" s="14">
        <v>10</v>
      </c>
      <c r="G654" s="14">
        <v>629.24</v>
      </c>
      <c r="H654" s="14">
        <v>62.92</v>
      </c>
      <c r="I654" s="14">
        <v>30</v>
      </c>
      <c r="J654" s="14">
        <v>440.47</v>
      </c>
    </row>
    <row r="655" spans="1:10">
      <c r="A655" s="131" t="str">
        <f t="shared" si="10"/>
        <v>Immobilière 3F_2018-08</v>
      </c>
      <c r="B655" s="14" t="s">
        <v>142</v>
      </c>
      <c r="C655" s="14" t="s">
        <v>563</v>
      </c>
      <c r="D655" s="14" t="s">
        <v>564</v>
      </c>
      <c r="E655" s="14" t="s">
        <v>2189</v>
      </c>
      <c r="F655" s="14">
        <v>10</v>
      </c>
      <c r="G655" s="14">
        <v>1205.45</v>
      </c>
      <c r="H655" s="14">
        <v>120.55</v>
      </c>
      <c r="I655" s="14">
        <v>30</v>
      </c>
      <c r="J655" s="14">
        <v>843.82</v>
      </c>
    </row>
    <row r="656" spans="1:10" hidden="1">
      <c r="A656" s="131" t="str">
        <f t="shared" si="10"/>
        <v>Immobilière 3F_2018-09</v>
      </c>
      <c r="B656" s="14" t="s">
        <v>142</v>
      </c>
      <c r="C656" s="14" t="s">
        <v>563</v>
      </c>
      <c r="D656" s="14" t="s">
        <v>564</v>
      </c>
      <c r="E656" s="14" t="s">
        <v>2268</v>
      </c>
      <c r="F656" s="14">
        <v>10</v>
      </c>
      <c r="G656" s="14">
        <v>1065.1600000000001</v>
      </c>
      <c r="H656" s="14">
        <v>106.52</v>
      </c>
      <c r="I656" s="14">
        <v>30</v>
      </c>
      <c r="J656" s="14">
        <v>745.61</v>
      </c>
    </row>
    <row r="657" spans="1:10" hidden="1">
      <c r="A657" s="131" t="str">
        <f t="shared" si="10"/>
        <v>Immobilière 3F_2018-07</v>
      </c>
      <c r="B657" s="14" t="s">
        <v>142</v>
      </c>
      <c r="C657" s="14" t="s">
        <v>1771</v>
      </c>
      <c r="D657" s="14" t="s">
        <v>1884</v>
      </c>
      <c r="E657" s="14" t="s">
        <v>2144</v>
      </c>
      <c r="F657" s="14">
        <v>4</v>
      </c>
      <c r="G657" s="14">
        <v>304.7</v>
      </c>
      <c r="H657" s="14">
        <v>76.17</v>
      </c>
      <c r="I657" s="14">
        <v>30</v>
      </c>
      <c r="J657" s="14">
        <v>213.29</v>
      </c>
    </row>
    <row r="658" spans="1:10">
      <c r="A658" s="131" t="str">
        <f t="shared" si="10"/>
        <v>Immobilière 3F_2018-08</v>
      </c>
      <c r="B658" s="14" t="s">
        <v>142</v>
      </c>
      <c r="C658" s="14" t="s">
        <v>1771</v>
      </c>
      <c r="D658" s="14" t="s">
        <v>1884</v>
      </c>
      <c r="E658" s="14" t="s">
        <v>2189</v>
      </c>
      <c r="F658" s="14">
        <v>4</v>
      </c>
      <c r="G658" s="14">
        <v>294.05</v>
      </c>
      <c r="H658" s="14">
        <v>73.510000000000005</v>
      </c>
      <c r="I658" s="14">
        <v>30</v>
      </c>
      <c r="J658" s="14">
        <v>205.84</v>
      </c>
    </row>
    <row r="659" spans="1:10" hidden="1">
      <c r="A659" s="131" t="str">
        <f t="shared" si="10"/>
        <v>Immobilière 3F_2018-09</v>
      </c>
      <c r="B659" s="14" t="s">
        <v>142</v>
      </c>
      <c r="C659" s="14" t="s">
        <v>1771</v>
      </c>
      <c r="D659" s="14" t="s">
        <v>1884</v>
      </c>
      <c r="E659" s="14" t="s">
        <v>2268</v>
      </c>
      <c r="F659" s="14">
        <v>4</v>
      </c>
      <c r="G659" s="14">
        <v>297.56</v>
      </c>
      <c r="H659" s="14">
        <v>74.39</v>
      </c>
      <c r="I659" s="14">
        <v>30</v>
      </c>
      <c r="J659" s="14">
        <v>208.29</v>
      </c>
    </row>
    <row r="660" spans="1:10" hidden="1">
      <c r="A660" s="131" t="str">
        <f t="shared" si="10"/>
        <v>Immobilière 3F_2018-07</v>
      </c>
      <c r="B660" s="14" t="s">
        <v>142</v>
      </c>
      <c r="C660" s="14" t="s">
        <v>1772</v>
      </c>
      <c r="D660" s="14" t="s">
        <v>1885</v>
      </c>
      <c r="E660" s="14" t="s">
        <v>2144</v>
      </c>
      <c r="F660" s="14">
        <v>50</v>
      </c>
      <c r="G660" s="14">
        <v>1673.86</v>
      </c>
      <c r="H660" s="14">
        <v>33.479999999999997</v>
      </c>
      <c r="I660" s="14">
        <v>40</v>
      </c>
      <c r="J660" s="14">
        <v>1004.32</v>
      </c>
    </row>
    <row r="661" spans="1:10">
      <c r="A661" s="131" t="str">
        <f t="shared" si="10"/>
        <v>Immobilière 3F_2018-08</v>
      </c>
      <c r="B661" s="14" t="s">
        <v>142</v>
      </c>
      <c r="C661" s="14" t="s">
        <v>1772</v>
      </c>
      <c r="D661" s="14" t="s">
        <v>1885</v>
      </c>
      <c r="E661" s="14" t="s">
        <v>2189</v>
      </c>
      <c r="F661" s="14">
        <v>50</v>
      </c>
      <c r="G661" s="14">
        <v>1347.72</v>
      </c>
      <c r="H661" s="14">
        <v>26.95</v>
      </c>
      <c r="I661" s="14">
        <v>40</v>
      </c>
      <c r="J661" s="14">
        <v>808.63</v>
      </c>
    </row>
    <row r="662" spans="1:10" hidden="1">
      <c r="A662" s="131" t="str">
        <f t="shared" si="10"/>
        <v>Immobilière 3F_2018-09</v>
      </c>
      <c r="B662" s="14" t="s">
        <v>142</v>
      </c>
      <c r="C662" s="14" t="s">
        <v>1772</v>
      </c>
      <c r="D662" s="14" t="s">
        <v>1885</v>
      </c>
      <c r="E662" s="14" t="s">
        <v>2268</v>
      </c>
      <c r="F662" s="14">
        <v>50</v>
      </c>
      <c r="G662" s="14">
        <v>1878.57</v>
      </c>
      <c r="H662" s="14">
        <v>37.57</v>
      </c>
      <c r="I662" s="14">
        <v>40</v>
      </c>
      <c r="J662" s="14">
        <v>1127.1400000000001</v>
      </c>
    </row>
    <row r="663" spans="1:10">
      <c r="A663" s="131" t="str">
        <f t="shared" si="10"/>
        <v>Immobilière 3F_2018-08</v>
      </c>
      <c r="B663" s="14" t="s">
        <v>142</v>
      </c>
      <c r="C663" s="14" t="s">
        <v>2212</v>
      </c>
      <c r="D663" s="14" t="s">
        <v>2213</v>
      </c>
      <c r="E663" s="14" t="s">
        <v>2189</v>
      </c>
      <c r="F663" s="14">
        <v>0.81</v>
      </c>
      <c r="G663" s="14">
        <v>119.8</v>
      </c>
      <c r="H663" s="14">
        <v>147.9</v>
      </c>
      <c r="I663" s="14">
        <v>40</v>
      </c>
      <c r="J663" s="14">
        <v>71.88</v>
      </c>
    </row>
    <row r="664" spans="1:10" hidden="1">
      <c r="A664" s="131" t="str">
        <f t="shared" si="10"/>
        <v>Immobilière 3F_2018-09</v>
      </c>
      <c r="B664" s="14" t="s">
        <v>142</v>
      </c>
      <c r="C664" s="14" t="s">
        <v>2212</v>
      </c>
      <c r="D664" s="14" t="s">
        <v>2213</v>
      </c>
      <c r="E664" s="14" t="s">
        <v>2268</v>
      </c>
      <c r="F664" s="14">
        <v>5</v>
      </c>
      <c r="G664" s="14">
        <v>912.38</v>
      </c>
      <c r="H664" s="14">
        <v>182.48</v>
      </c>
      <c r="I664" s="14">
        <v>40</v>
      </c>
      <c r="J664" s="14">
        <v>547.42999999999995</v>
      </c>
    </row>
    <row r="665" spans="1:10" hidden="1">
      <c r="A665" s="131" t="str">
        <f t="shared" si="10"/>
        <v>Immobilière 3F_2018-07</v>
      </c>
      <c r="B665" s="14" t="s">
        <v>142</v>
      </c>
      <c r="C665" s="14" t="s">
        <v>565</v>
      </c>
      <c r="D665" s="14" t="s">
        <v>566</v>
      </c>
      <c r="E665" s="14" t="s">
        <v>2144</v>
      </c>
      <c r="F665" s="14">
        <v>6</v>
      </c>
      <c r="G665" s="14">
        <v>403.86</v>
      </c>
      <c r="H665" s="14">
        <v>67.31</v>
      </c>
      <c r="I665" s="14">
        <v>30</v>
      </c>
      <c r="J665" s="14">
        <v>282.7</v>
      </c>
    </row>
    <row r="666" spans="1:10">
      <c r="A666" s="131" t="str">
        <f t="shared" si="10"/>
        <v>Immobilière 3F_2018-08</v>
      </c>
      <c r="B666" s="14" t="s">
        <v>142</v>
      </c>
      <c r="C666" s="14" t="s">
        <v>565</v>
      </c>
      <c r="D666" s="14" t="s">
        <v>566</v>
      </c>
      <c r="E666" s="14" t="s">
        <v>2189</v>
      </c>
      <c r="F666" s="14">
        <v>6</v>
      </c>
      <c r="G666" s="14">
        <v>501.43</v>
      </c>
      <c r="H666" s="14">
        <v>83.57</v>
      </c>
      <c r="I666" s="14">
        <v>30</v>
      </c>
      <c r="J666" s="14">
        <v>351</v>
      </c>
    </row>
    <row r="667" spans="1:10" hidden="1">
      <c r="A667" s="131" t="str">
        <f t="shared" si="10"/>
        <v>Immobilière 3F_2018-09</v>
      </c>
      <c r="B667" s="14" t="s">
        <v>142</v>
      </c>
      <c r="C667" s="14" t="s">
        <v>565</v>
      </c>
      <c r="D667" s="14" t="s">
        <v>566</v>
      </c>
      <c r="E667" s="14" t="s">
        <v>2268</v>
      </c>
      <c r="F667" s="14">
        <v>6</v>
      </c>
      <c r="G667" s="14">
        <v>363.25</v>
      </c>
      <c r="H667" s="14">
        <v>60.54</v>
      </c>
      <c r="I667" s="14">
        <v>30</v>
      </c>
      <c r="J667" s="14">
        <v>254.28</v>
      </c>
    </row>
    <row r="668" spans="1:10" hidden="1">
      <c r="A668" s="131" t="str">
        <f t="shared" si="10"/>
        <v>Immobilière 3F_2018-07</v>
      </c>
      <c r="B668" s="14" t="s">
        <v>142</v>
      </c>
      <c r="C668" s="14" t="s">
        <v>1773</v>
      </c>
      <c r="D668" s="14" t="s">
        <v>1774</v>
      </c>
      <c r="E668" s="14" t="s">
        <v>2144</v>
      </c>
      <c r="F668" s="14">
        <v>11</v>
      </c>
      <c r="G668" s="14">
        <v>105.97</v>
      </c>
      <c r="H668" s="14">
        <v>9.6300000000000008</v>
      </c>
      <c r="I668" s="14">
        <v>40</v>
      </c>
      <c r="J668" s="14">
        <v>63.58</v>
      </c>
    </row>
    <row r="669" spans="1:10">
      <c r="A669" s="131" t="str">
        <f t="shared" si="10"/>
        <v>Immobilière 3F_2018-08</v>
      </c>
      <c r="B669" s="14" t="s">
        <v>142</v>
      </c>
      <c r="C669" s="14" t="s">
        <v>1773</v>
      </c>
      <c r="D669" s="14" t="s">
        <v>1774</v>
      </c>
      <c r="E669" s="14" t="s">
        <v>2189</v>
      </c>
      <c r="F669" s="14">
        <v>11</v>
      </c>
      <c r="G669" s="14">
        <v>85</v>
      </c>
      <c r="H669" s="14">
        <v>7.73</v>
      </c>
      <c r="I669" s="14">
        <v>40</v>
      </c>
      <c r="J669" s="14">
        <v>51</v>
      </c>
    </row>
    <row r="670" spans="1:10" hidden="1">
      <c r="A670" s="131" t="str">
        <f t="shared" si="10"/>
        <v>Immobilière 3F_2018-09</v>
      </c>
      <c r="B670" s="14" t="s">
        <v>142</v>
      </c>
      <c r="C670" s="14" t="s">
        <v>1773</v>
      </c>
      <c r="D670" s="14" t="s">
        <v>1774</v>
      </c>
      <c r="E670" s="14" t="s">
        <v>2268</v>
      </c>
      <c r="F670" s="14">
        <v>11</v>
      </c>
      <c r="G670" s="14">
        <v>79.33</v>
      </c>
      <c r="H670" s="14">
        <v>7.21</v>
      </c>
      <c r="I670" s="14">
        <v>40</v>
      </c>
      <c r="J670" s="14">
        <v>47.6</v>
      </c>
    </row>
    <row r="671" spans="1:10" hidden="1">
      <c r="A671" s="131" t="str">
        <f t="shared" si="10"/>
        <v>Immobilière 3F_2018-07</v>
      </c>
      <c r="B671" s="14" t="s">
        <v>142</v>
      </c>
      <c r="C671" s="14" t="s">
        <v>567</v>
      </c>
      <c r="D671" s="14" t="s">
        <v>568</v>
      </c>
      <c r="E671" s="14" t="s">
        <v>2144</v>
      </c>
      <c r="F671" s="14">
        <v>4</v>
      </c>
      <c r="G671" s="14">
        <v>474.93</v>
      </c>
      <c r="H671" s="14">
        <v>118.73</v>
      </c>
      <c r="I671" s="14">
        <v>30</v>
      </c>
      <c r="J671" s="14">
        <v>332.45</v>
      </c>
    </row>
    <row r="672" spans="1:10">
      <c r="A672" s="131" t="str">
        <f t="shared" si="10"/>
        <v>Immobilière 3F_2018-08</v>
      </c>
      <c r="B672" s="14" t="s">
        <v>142</v>
      </c>
      <c r="C672" s="14" t="s">
        <v>567</v>
      </c>
      <c r="D672" s="14" t="s">
        <v>568</v>
      </c>
      <c r="E672" s="14" t="s">
        <v>2189</v>
      </c>
      <c r="F672" s="14">
        <v>4</v>
      </c>
      <c r="G672" s="14">
        <v>484.13</v>
      </c>
      <c r="H672" s="14">
        <v>121.03</v>
      </c>
      <c r="I672" s="14">
        <v>30</v>
      </c>
      <c r="J672" s="14">
        <v>338.89</v>
      </c>
    </row>
    <row r="673" spans="1:10" hidden="1">
      <c r="A673" s="131" t="str">
        <f t="shared" si="10"/>
        <v>Immobilière 3F_2018-09</v>
      </c>
      <c r="B673" s="14" t="s">
        <v>142</v>
      </c>
      <c r="C673" s="14" t="s">
        <v>567</v>
      </c>
      <c r="D673" s="14" t="s">
        <v>568</v>
      </c>
      <c r="E673" s="14" t="s">
        <v>2268</v>
      </c>
      <c r="F673" s="14">
        <v>4</v>
      </c>
      <c r="G673" s="14">
        <v>315.61</v>
      </c>
      <c r="H673" s="14">
        <v>78.900000000000006</v>
      </c>
      <c r="I673" s="14">
        <v>30</v>
      </c>
      <c r="J673" s="14">
        <v>220.93</v>
      </c>
    </row>
    <row r="674" spans="1:10" hidden="1">
      <c r="A674" s="131" t="str">
        <f t="shared" si="10"/>
        <v>Immobilière 3F_2018-07</v>
      </c>
      <c r="B674" s="14" t="s">
        <v>142</v>
      </c>
      <c r="C674" s="14" t="s">
        <v>569</v>
      </c>
      <c r="D674" s="14" t="s">
        <v>570</v>
      </c>
      <c r="E674" s="14" t="s">
        <v>2144</v>
      </c>
      <c r="F674" s="14">
        <v>7</v>
      </c>
      <c r="G674" s="14">
        <v>298.64999999999998</v>
      </c>
      <c r="H674" s="14">
        <v>42.66</v>
      </c>
      <c r="I674" s="14">
        <v>30</v>
      </c>
      <c r="J674" s="14">
        <v>209.06</v>
      </c>
    </row>
    <row r="675" spans="1:10">
      <c r="A675" s="131" t="str">
        <f t="shared" si="10"/>
        <v>Immobilière 3F_2018-08</v>
      </c>
      <c r="B675" s="14" t="s">
        <v>142</v>
      </c>
      <c r="C675" s="14" t="s">
        <v>569</v>
      </c>
      <c r="D675" s="14" t="s">
        <v>570</v>
      </c>
      <c r="E675" s="14" t="s">
        <v>2189</v>
      </c>
      <c r="F675" s="14">
        <v>7</v>
      </c>
      <c r="G675" s="14">
        <v>343.95</v>
      </c>
      <c r="H675" s="14">
        <v>49.14</v>
      </c>
      <c r="I675" s="14">
        <v>30</v>
      </c>
      <c r="J675" s="14">
        <v>240.76</v>
      </c>
    </row>
    <row r="676" spans="1:10" hidden="1">
      <c r="A676" s="131" t="str">
        <f t="shared" si="10"/>
        <v>Immobilière 3F_2018-09</v>
      </c>
      <c r="B676" s="14" t="s">
        <v>142</v>
      </c>
      <c r="C676" s="14" t="s">
        <v>569</v>
      </c>
      <c r="D676" s="14" t="s">
        <v>570</v>
      </c>
      <c r="E676" s="14" t="s">
        <v>2268</v>
      </c>
      <c r="F676" s="14">
        <v>7</v>
      </c>
      <c r="G676" s="14">
        <v>376.73</v>
      </c>
      <c r="H676" s="14">
        <v>53.82</v>
      </c>
      <c r="I676" s="14">
        <v>30</v>
      </c>
      <c r="J676" s="14">
        <v>263.70999999999998</v>
      </c>
    </row>
    <row r="677" spans="1:10" hidden="1">
      <c r="A677" s="131" t="str">
        <f t="shared" si="10"/>
        <v>Immobilière 3F_2018-07</v>
      </c>
      <c r="B677" s="14" t="s">
        <v>142</v>
      </c>
      <c r="C677" s="14" t="s">
        <v>571</v>
      </c>
      <c r="D677" s="14" t="s">
        <v>1886</v>
      </c>
      <c r="E677" s="14" t="s">
        <v>2144</v>
      </c>
      <c r="F677" s="14">
        <v>13</v>
      </c>
      <c r="G677" s="14">
        <v>1003.91</v>
      </c>
      <c r="H677" s="14">
        <v>77.22</v>
      </c>
      <c r="I677" s="14">
        <v>30</v>
      </c>
      <c r="J677" s="14">
        <v>702.74</v>
      </c>
    </row>
    <row r="678" spans="1:10">
      <c r="A678" s="131" t="str">
        <f t="shared" si="10"/>
        <v>Immobilière 3F_2018-08</v>
      </c>
      <c r="B678" s="14" t="s">
        <v>142</v>
      </c>
      <c r="C678" s="14" t="s">
        <v>571</v>
      </c>
      <c r="D678" s="14" t="s">
        <v>1886</v>
      </c>
      <c r="E678" s="14" t="s">
        <v>2189</v>
      </c>
      <c r="F678" s="14">
        <v>13</v>
      </c>
      <c r="G678" s="14">
        <v>1101.21</v>
      </c>
      <c r="H678" s="14">
        <v>84.71</v>
      </c>
      <c r="I678" s="14">
        <v>30</v>
      </c>
      <c r="J678" s="14">
        <v>770.85</v>
      </c>
    </row>
    <row r="679" spans="1:10" hidden="1">
      <c r="A679" s="131" t="str">
        <f t="shared" si="10"/>
        <v>Immobilière 3F_2018-09</v>
      </c>
      <c r="B679" s="14" t="s">
        <v>142</v>
      </c>
      <c r="C679" s="14" t="s">
        <v>571</v>
      </c>
      <c r="D679" s="14" t="s">
        <v>1886</v>
      </c>
      <c r="E679" s="14" t="s">
        <v>2268</v>
      </c>
      <c r="F679" s="14">
        <v>13</v>
      </c>
      <c r="G679" s="14">
        <v>687.72</v>
      </c>
      <c r="H679" s="14">
        <v>52.9</v>
      </c>
      <c r="I679" s="14">
        <v>30</v>
      </c>
      <c r="J679" s="14">
        <v>481.4</v>
      </c>
    </row>
    <row r="680" spans="1:10" hidden="1">
      <c r="A680" s="131" t="str">
        <f t="shared" si="10"/>
        <v>Immobilière 3F_2018-07</v>
      </c>
      <c r="B680" s="14" t="s">
        <v>142</v>
      </c>
      <c r="C680" s="14" t="s">
        <v>572</v>
      </c>
      <c r="D680" s="14" t="s">
        <v>573</v>
      </c>
      <c r="E680" s="14" t="s">
        <v>2144</v>
      </c>
      <c r="F680" s="14">
        <v>40</v>
      </c>
      <c r="G680" s="14">
        <v>3877.29</v>
      </c>
      <c r="H680" s="14">
        <v>96.93</v>
      </c>
      <c r="I680" s="14">
        <v>30</v>
      </c>
      <c r="J680" s="14">
        <v>2714.1</v>
      </c>
    </row>
    <row r="681" spans="1:10">
      <c r="A681" s="131" t="str">
        <f t="shared" si="10"/>
        <v>Immobilière 3F_2018-08</v>
      </c>
      <c r="B681" s="14" t="s">
        <v>142</v>
      </c>
      <c r="C681" s="14" t="s">
        <v>572</v>
      </c>
      <c r="D681" s="14" t="s">
        <v>573</v>
      </c>
      <c r="E681" s="14" t="s">
        <v>2189</v>
      </c>
      <c r="F681" s="14">
        <v>40</v>
      </c>
      <c r="G681" s="14">
        <v>4267.29</v>
      </c>
      <c r="H681" s="14">
        <v>106.68</v>
      </c>
      <c r="I681" s="14">
        <v>30</v>
      </c>
      <c r="J681" s="14">
        <v>2987.1</v>
      </c>
    </row>
    <row r="682" spans="1:10" hidden="1">
      <c r="A682" s="131" t="str">
        <f t="shared" si="10"/>
        <v>Immobilière 3F_2018-09</v>
      </c>
      <c r="B682" s="14" t="s">
        <v>142</v>
      </c>
      <c r="C682" s="14" t="s">
        <v>572</v>
      </c>
      <c r="D682" s="14" t="s">
        <v>573</v>
      </c>
      <c r="E682" s="14" t="s">
        <v>2268</v>
      </c>
      <c r="F682" s="14">
        <v>40</v>
      </c>
      <c r="G682" s="14">
        <v>3836.23</v>
      </c>
      <c r="H682" s="14">
        <v>95.91</v>
      </c>
      <c r="I682" s="14">
        <v>30</v>
      </c>
      <c r="J682" s="14">
        <v>2685.36</v>
      </c>
    </row>
    <row r="683" spans="1:10" hidden="1">
      <c r="A683" s="131" t="str">
        <f t="shared" ref="A683:A746" si="11">CONCATENATE(B683,"_",E683)</f>
        <v>Immobilière 3F_2018-07</v>
      </c>
      <c r="B683" s="14" t="s">
        <v>142</v>
      </c>
      <c r="C683" s="14" t="s">
        <v>2007</v>
      </c>
      <c r="D683" s="14" t="s">
        <v>2008</v>
      </c>
      <c r="E683" s="14" t="s">
        <v>2144</v>
      </c>
      <c r="F683" s="14">
        <v>25</v>
      </c>
      <c r="G683" s="14">
        <v>203.25</v>
      </c>
      <c r="H683" s="14">
        <v>8.1300000000000008</v>
      </c>
      <c r="I683" s="14">
        <v>40</v>
      </c>
      <c r="J683" s="14">
        <v>121.95</v>
      </c>
    </row>
    <row r="684" spans="1:10">
      <c r="A684" s="131" t="str">
        <f t="shared" si="11"/>
        <v>Immobilière 3F_2018-08</v>
      </c>
      <c r="B684" s="14" t="s">
        <v>142</v>
      </c>
      <c r="C684" s="14" t="s">
        <v>2007</v>
      </c>
      <c r="D684" s="14" t="s">
        <v>2008</v>
      </c>
      <c r="E684" s="14" t="s">
        <v>2189</v>
      </c>
      <c r="F684" s="14">
        <v>25</v>
      </c>
      <c r="G684" s="14">
        <v>465.96</v>
      </c>
      <c r="H684" s="14">
        <v>18.64</v>
      </c>
      <c r="I684" s="14">
        <v>40</v>
      </c>
      <c r="J684" s="14">
        <v>279.58</v>
      </c>
    </row>
    <row r="685" spans="1:10" hidden="1">
      <c r="A685" s="131" t="str">
        <f t="shared" si="11"/>
        <v>Immobilière 3F_2018-09</v>
      </c>
      <c r="B685" s="14" t="s">
        <v>142</v>
      </c>
      <c r="C685" s="14" t="s">
        <v>2007</v>
      </c>
      <c r="D685" s="14" t="s">
        <v>2008</v>
      </c>
      <c r="E685" s="14" t="s">
        <v>2268</v>
      </c>
      <c r="F685" s="14">
        <v>25</v>
      </c>
      <c r="G685" s="14">
        <v>436.55</v>
      </c>
      <c r="H685" s="14">
        <v>17.46</v>
      </c>
      <c r="I685" s="14">
        <v>40</v>
      </c>
      <c r="J685" s="14">
        <v>261.93</v>
      </c>
    </row>
    <row r="686" spans="1:10">
      <c r="A686" s="131" t="str">
        <f t="shared" si="11"/>
        <v>Immobilière 3F_2018-08</v>
      </c>
      <c r="B686" s="14" t="s">
        <v>142</v>
      </c>
      <c r="C686" s="14" t="s">
        <v>2214</v>
      </c>
      <c r="D686" s="14" t="s">
        <v>2215</v>
      </c>
      <c r="E686" s="14" t="s">
        <v>2189</v>
      </c>
      <c r="F686" s="14">
        <v>12.9</v>
      </c>
      <c r="G686" s="14">
        <v>615.53</v>
      </c>
      <c r="H686" s="14">
        <v>47.72</v>
      </c>
      <c r="I686" s="14">
        <v>40</v>
      </c>
      <c r="J686" s="14">
        <v>369.32</v>
      </c>
    </row>
    <row r="687" spans="1:10" hidden="1">
      <c r="A687" s="131" t="str">
        <f t="shared" si="11"/>
        <v>Immobilière 3F_2018-09</v>
      </c>
      <c r="B687" s="14" t="s">
        <v>142</v>
      </c>
      <c r="C687" s="14" t="s">
        <v>2214</v>
      </c>
      <c r="D687" s="14" t="s">
        <v>2215</v>
      </c>
      <c r="E687" s="14" t="s">
        <v>2268</v>
      </c>
      <c r="F687" s="14">
        <v>20</v>
      </c>
      <c r="G687" s="14">
        <v>1749.29</v>
      </c>
      <c r="H687" s="14">
        <v>87.46</v>
      </c>
      <c r="I687" s="14">
        <v>40</v>
      </c>
      <c r="J687" s="14">
        <v>1049.57</v>
      </c>
    </row>
    <row r="688" spans="1:10" hidden="1">
      <c r="A688" s="131" t="str">
        <f t="shared" si="11"/>
        <v>Immobilière 3F_2018-07</v>
      </c>
      <c r="B688" s="14" t="s">
        <v>142</v>
      </c>
      <c r="C688" s="14" t="s">
        <v>1618</v>
      </c>
      <c r="D688" s="14" t="s">
        <v>1619</v>
      </c>
      <c r="E688" s="14" t="s">
        <v>2144</v>
      </c>
      <c r="F688" s="14">
        <v>17</v>
      </c>
      <c r="G688" s="14">
        <v>538.83000000000004</v>
      </c>
      <c r="H688" s="14">
        <v>31.7</v>
      </c>
      <c r="I688" s="14">
        <v>40</v>
      </c>
      <c r="J688" s="14">
        <v>323.3</v>
      </c>
    </row>
    <row r="689" spans="1:10">
      <c r="A689" s="131" t="str">
        <f t="shared" si="11"/>
        <v>Immobilière 3F_2018-08</v>
      </c>
      <c r="B689" s="14" t="s">
        <v>142</v>
      </c>
      <c r="C689" s="14" t="s">
        <v>1618</v>
      </c>
      <c r="D689" s="14" t="s">
        <v>1619</v>
      </c>
      <c r="E689" s="14" t="s">
        <v>2189</v>
      </c>
      <c r="F689" s="14">
        <v>17</v>
      </c>
      <c r="G689" s="14">
        <v>356.79</v>
      </c>
      <c r="H689" s="14">
        <v>20.99</v>
      </c>
      <c r="I689" s="14">
        <v>40</v>
      </c>
      <c r="J689" s="14">
        <v>214.07</v>
      </c>
    </row>
    <row r="690" spans="1:10" hidden="1">
      <c r="A690" s="131" t="str">
        <f t="shared" si="11"/>
        <v>Immobilière 3F_2018-09</v>
      </c>
      <c r="B690" s="14" t="s">
        <v>142</v>
      </c>
      <c r="C690" s="14" t="s">
        <v>1618</v>
      </c>
      <c r="D690" s="14" t="s">
        <v>1619</v>
      </c>
      <c r="E690" s="14" t="s">
        <v>2268</v>
      </c>
      <c r="F690" s="14">
        <v>17</v>
      </c>
      <c r="G690" s="14">
        <v>384.17</v>
      </c>
      <c r="H690" s="14">
        <v>22.6</v>
      </c>
      <c r="I690" s="14">
        <v>40</v>
      </c>
      <c r="J690" s="14">
        <v>230.5</v>
      </c>
    </row>
    <row r="691" spans="1:10" hidden="1">
      <c r="A691" s="131" t="str">
        <f t="shared" si="11"/>
        <v>Immobilière 3F_2018-07</v>
      </c>
      <c r="B691" s="14" t="s">
        <v>142</v>
      </c>
      <c r="C691" s="14" t="s">
        <v>574</v>
      </c>
      <c r="D691" s="14" t="s">
        <v>575</v>
      </c>
      <c r="E691" s="14" t="s">
        <v>2144</v>
      </c>
      <c r="F691" s="14">
        <v>29</v>
      </c>
      <c r="G691" s="14">
        <v>3367.05</v>
      </c>
      <c r="H691" s="14">
        <v>116.11</v>
      </c>
      <c r="I691" s="14">
        <v>30</v>
      </c>
      <c r="J691" s="14">
        <v>2356.9299999999998</v>
      </c>
    </row>
    <row r="692" spans="1:10">
      <c r="A692" s="131" t="str">
        <f t="shared" si="11"/>
        <v>Immobilière 3F_2018-08</v>
      </c>
      <c r="B692" s="14" t="s">
        <v>142</v>
      </c>
      <c r="C692" s="14" t="s">
        <v>574</v>
      </c>
      <c r="D692" s="14" t="s">
        <v>575</v>
      </c>
      <c r="E692" s="14" t="s">
        <v>2189</v>
      </c>
      <c r="F692" s="14">
        <v>29</v>
      </c>
      <c r="G692" s="14">
        <v>3026.66</v>
      </c>
      <c r="H692" s="14">
        <v>104.37</v>
      </c>
      <c r="I692" s="14">
        <v>30</v>
      </c>
      <c r="J692" s="14">
        <v>2118.66</v>
      </c>
    </row>
    <row r="693" spans="1:10" hidden="1">
      <c r="A693" s="131" t="str">
        <f t="shared" si="11"/>
        <v>Immobilière 3F_2018-09</v>
      </c>
      <c r="B693" s="14" t="s">
        <v>142</v>
      </c>
      <c r="C693" s="14" t="s">
        <v>574</v>
      </c>
      <c r="D693" s="14" t="s">
        <v>575</v>
      </c>
      <c r="E693" s="14" t="s">
        <v>2268</v>
      </c>
      <c r="F693" s="14">
        <v>29</v>
      </c>
      <c r="G693" s="14">
        <v>3016.5</v>
      </c>
      <c r="H693" s="14">
        <v>104.02</v>
      </c>
      <c r="I693" s="14">
        <v>30</v>
      </c>
      <c r="J693" s="14">
        <v>2111.5500000000002</v>
      </c>
    </row>
    <row r="694" spans="1:10" hidden="1">
      <c r="A694" s="131" t="str">
        <f t="shared" si="11"/>
        <v>Immobilière 3F_2018-07</v>
      </c>
      <c r="B694" s="14" t="s">
        <v>142</v>
      </c>
      <c r="C694" s="14" t="s">
        <v>1620</v>
      </c>
      <c r="D694" s="14" t="s">
        <v>1621</v>
      </c>
      <c r="E694" s="14" t="s">
        <v>2144</v>
      </c>
      <c r="F694" s="14">
        <v>17.649999999999999</v>
      </c>
      <c r="G694" s="14">
        <v>1502.98</v>
      </c>
      <c r="H694" s="14">
        <v>85.15</v>
      </c>
      <c r="I694" s="14">
        <v>40</v>
      </c>
      <c r="J694" s="14">
        <v>901.79</v>
      </c>
    </row>
    <row r="695" spans="1:10">
      <c r="A695" s="131" t="str">
        <f t="shared" si="11"/>
        <v>Immobilière 3F_2018-08</v>
      </c>
      <c r="B695" s="14" t="s">
        <v>142</v>
      </c>
      <c r="C695" s="14" t="s">
        <v>1620</v>
      </c>
      <c r="D695" s="14" t="s">
        <v>1621</v>
      </c>
      <c r="E695" s="14" t="s">
        <v>2189</v>
      </c>
      <c r="F695" s="14">
        <v>17</v>
      </c>
      <c r="G695" s="14">
        <v>1557.4</v>
      </c>
      <c r="H695" s="14">
        <v>91.61</v>
      </c>
      <c r="I695" s="14">
        <v>40</v>
      </c>
      <c r="J695" s="14">
        <v>934.44</v>
      </c>
    </row>
    <row r="696" spans="1:10" hidden="1">
      <c r="A696" s="131" t="str">
        <f t="shared" si="11"/>
        <v>Immobilière 3F_2018-09</v>
      </c>
      <c r="B696" s="14" t="s">
        <v>142</v>
      </c>
      <c r="C696" s="14" t="s">
        <v>1620</v>
      </c>
      <c r="D696" s="14" t="s">
        <v>1621</v>
      </c>
      <c r="E696" s="14" t="s">
        <v>2268</v>
      </c>
      <c r="F696" s="14">
        <v>17</v>
      </c>
      <c r="G696" s="14">
        <v>1563.33</v>
      </c>
      <c r="H696" s="14">
        <v>91.96</v>
      </c>
      <c r="I696" s="14">
        <v>40</v>
      </c>
      <c r="J696" s="14">
        <v>938</v>
      </c>
    </row>
    <row r="697" spans="1:10" hidden="1">
      <c r="A697" s="131" t="str">
        <f t="shared" si="11"/>
        <v>Immobilière 3F_2018-07</v>
      </c>
      <c r="B697" s="14" t="s">
        <v>142</v>
      </c>
      <c r="C697" s="14" t="s">
        <v>576</v>
      </c>
      <c r="D697" s="14" t="s">
        <v>577</v>
      </c>
      <c r="E697" s="14" t="s">
        <v>2144</v>
      </c>
      <c r="F697" s="14">
        <v>9</v>
      </c>
      <c r="G697" s="14">
        <v>954.13</v>
      </c>
      <c r="H697" s="14">
        <v>106.01</v>
      </c>
      <c r="I697" s="14">
        <v>30</v>
      </c>
      <c r="J697" s="14">
        <v>667.89</v>
      </c>
    </row>
    <row r="698" spans="1:10">
      <c r="A698" s="131" t="str">
        <f t="shared" si="11"/>
        <v>Immobilière 3F_2018-08</v>
      </c>
      <c r="B698" s="14" t="s">
        <v>142</v>
      </c>
      <c r="C698" s="14" t="s">
        <v>576</v>
      </c>
      <c r="D698" s="14" t="s">
        <v>577</v>
      </c>
      <c r="E698" s="14" t="s">
        <v>2189</v>
      </c>
      <c r="F698" s="14">
        <v>9</v>
      </c>
      <c r="G698" s="14">
        <v>1274.68</v>
      </c>
      <c r="H698" s="14">
        <v>141.63</v>
      </c>
      <c r="I698" s="14">
        <v>30</v>
      </c>
      <c r="J698" s="14">
        <v>892.28</v>
      </c>
    </row>
    <row r="699" spans="1:10" hidden="1">
      <c r="A699" s="131" t="str">
        <f t="shared" si="11"/>
        <v>Immobilière 3F_2018-09</v>
      </c>
      <c r="B699" s="14" t="s">
        <v>142</v>
      </c>
      <c r="C699" s="14" t="s">
        <v>576</v>
      </c>
      <c r="D699" s="14" t="s">
        <v>577</v>
      </c>
      <c r="E699" s="14" t="s">
        <v>2268</v>
      </c>
      <c r="F699" s="14">
        <v>9</v>
      </c>
      <c r="G699" s="14">
        <v>979.69</v>
      </c>
      <c r="H699" s="14">
        <v>108.85</v>
      </c>
      <c r="I699" s="14">
        <v>30</v>
      </c>
      <c r="J699" s="14">
        <v>685.78</v>
      </c>
    </row>
    <row r="700" spans="1:10" hidden="1">
      <c r="A700" s="131" t="str">
        <f t="shared" si="11"/>
        <v>Immobilière 3F_2018-07</v>
      </c>
      <c r="B700" s="14" t="s">
        <v>142</v>
      </c>
      <c r="C700" s="14" t="s">
        <v>1267</v>
      </c>
      <c r="D700" s="14" t="s">
        <v>1377</v>
      </c>
      <c r="E700" s="14" t="s">
        <v>2144</v>
      </c>
      <c r="F700" s="14">
        <v>6</v>
      </c>
      <c r="G700" s="14">
        <v>579.75</v>
      </c>
      <c r="H700" s="14">
        <v>96.63</v>
      </c>
      <c r="I700" s="14">
        <v>40</v>
      </c>
      <c r="J700" s="14">
        <v>347.85</v>
      </c>
    </row>
    <row r="701" spans="1:10">
      <c r="A701" s="131" t="str">
        <f t="shared" si="11"/>
        <v>Immobilière 3F_2018-08</v>
      </c>
      <c r="B701" s="14" t="s">
        <v>142</v>
      </c>
      <c r="C701" s="14" t="s">
        <v>1267</v>
      </c>
      <c r="D701" s="14" t="s">
        <v>1377</v>
      </c>
      <c r="E701" s="14" t="s">
        <v>2189</v>
      </c>
      <c r="F701" s="14">
        <v>6</v>
      </c>
      <c r="G701" s="14">
        <v>716.38</v>
      </c>
      <c r="H701" s="14">
        <v>119.4</v>
      </c>
      <c r="I701" s="14">
        <v>40</v>
      </c>
      <c r="J701" s="14">
        <v>429.83</v>
      </c>
    </row>
    <row r="702" spans="1:10" hidden="1">
      <c r="A702" s="131" t="str">
        <f t="shared" si="11"/>
        <v>Immobilière 3F_2018-09</v>
      </c>
      <c r="B702" s="14" t="s">
        <v>142</v>
      </c>
      <c r="C702" s="14" t="s">
        <v>1267</v>
      </c>
      <c r="D702" s="14" t="s">
        <v>1377</v>
      </c>
      <c r="E702" s="14" t="s">
        <v>2268</v>
      </c>
      <c r="F702" s="14">
        <v>6</v>
      </c>
      <c r="G702" s="14">
        <v>957.09</v>
      </c>
      <c r="H702" s="14">
        <v>159.52000000000001</v>
      </c>
      <c r="I702" s="14">
        <v>40</v>
      </c>
      <c r="J702" s="14">
        <v>574.25</v>
      </c>
    </row>
    <row r="703" spans="1:10" hidden="1">
      <c r="A703" s="131" t="str">
        <f t="shared" si="11"/>
        <v>Immobilière 3F_2018-07</v>
      </c>
      <c r="B703" s="14" t="s">
        <v>142</v>
      </c>
      <c r="C703" s="14" t="s">
        <v>1775</v>
      </c>
      <c r="D703" s="14" t="s">
        <v>582</v>
      </c>
      <c r="E703" s="14" t="s">
        <v>2144</v>
      </c>
      <c r="F703" s="14">
        <v>10</v>
      </c>
      <c r="G703" s="14">
        <v>1610.27</v>
      </c>
      <c r="H703" s="14">
        <v>161.03</v>
      </c>
      <c r="I703" s="14">
        <v>30</v>
      </c>
      <c r="J703" s="14">
        <v>1127.19</v>
      </c>
    </row>
    <row r="704" spans="1:10">
      <c r="A704" s="131" t="str">
        <f t="shared" si="11"/>
        <v>Immobilière 3F_2018-08</v>
      </c>
      <c r="B704" s="14" t="s">
        <v>142</v>
      </c>
      <c r="C704" s="14" t="s">
        <v>1775</v>
      </c>
      <c r="D704" s="14" t="s">
        <v>582</v>
      </c>
      <c r="E704" s="14" t="s">
        <v>2189</v>
      </c>
      <c r="F704" s="14">
        <v>10</v>
      </c>
      <c r="G704" s="14">
        <v>1467.53</v>
      </c>
      <c r="H704" s="14">
        <v>146.75</v>
      </c>
      <c r="I704" s="14">
        <v>30</v>
      </c>
      <c r="J704" s="14">
        <v>1027.27</v>
      </c>
    </row>
    <row r="705" spans="1:10" hidden="1">
      <c r="A705" s="131" t="str">
        <f t="shared" si="11"/>
        <v>Immobilière 3F_2018-09</v>
      </c>
      <c r="B705" s="14" t="s">
        <v>142</v>
      </c>
      <c r="C705" s="14" t="s">
        <v>1775</v>
      </c>
      <c r="D705" s="14" t="s">
        <v>582</v>
      </c>
      <c r="E705" s="14" t="s">
        <v>2268</v>
      </c>
      <c r="F705" s="14">
        <v>10</v>
      </c>
      <c r="G705" s="14">
        <v>1573.04</v>
      </c>
      <c r="H705" s="14">
        <v>157.30000000000001</v>
      </c>
      <c r="I705" s="14">
        <v>30</v>
      </c>
      <c r="J705" s="14">
        <v>1101.1300000000001</v>
      </c>
    </row>
    <row r="706" spans="1:10" hidden="1">
      <c r="A706" s="131" t="str">
        <f t="shared" si="11"/>
        <v>Immobilière 3F_2018-07</v>
      </c>
      <c r="B706" s="14" t="s">
        <v>142</v>
      </c>
      <c r="C706" s="14" t="s">
        <v>1776</v>
      </c>
      <c r="D706" s="14" t="s">
        <v>1777</v>
      </c>
      <c r="E706" s="14" t="s">
        <v>2144</v>
      </c>
      <c r="F706" s="14">
        <v>4.45</v>
      </c>
      <c r="G706" s="14">
        <v>377.53</v>
      </c>
      <c r="H706" s="14">
        <v>84.84</v>
      </c>
      <c r="I706" s="14">
        <v>40</v>
      </c>
      <c r="J706" s="14">
        <v>226.52</v>
      </c>
    </row>
    <row r="707" spans="1:10">
      <c r="A707" s="131" t="str">
        <f t="shared" si="11"/>
        <v>Immobilière 3F_2018-08</v>
      </c>
      <c r="B707" s="14" t="s">
        <v>142</v>
      </c>
      <c r="C707" s="14" t="s">
        <v>1776</v>
      </c>
      <c r="D707" s="14" t="s">
        <v>1777</v>
      </c>
      <c r="E707" s="14" t="s">
        <v>2189</v>
      </c>
      <c r="F707" s="14">
        <v>7.23</v>
      </c>
      <c r="G707" s="14">
        <v>552.03</v>
      </c>
      <c r="H707" s="14">
        <v>76.349999999999994</v>
      </c>
      <c r="I707" s="14">
        <v>40</v>
      </c>
      <c r="J707" s="14">
        <v>331.22</v>
      </c>
    </row>
    <row r="708" spans="1:10" hidden="1">
      <c r="A708" s="131" t="str">
        <f t="shared" si="11"/>
        <v>Immobilière 3F_2018-09</v>
      </c>
      <c r="B708" s="14" t="s">
        <v>142</v>
      </c>
      <c r="C708" s="14" t="s">
        <v>1776</v>
      </c>
      <c r="D708" s="14" t="s">
        <v>1777</v>
      </c>
      <c r="E708" s="14" t="s">
        <v>2268</v>
      </c>
      <c r="F708" s="14">
        <v>8</v>
      </c>
      <c r="G708" s="14">
        <v>892.69</v>
      </c>
      <c r="H708" s="14">
        <v>111.59</v>
      </c>
      <c r="I708" s="14">
        <v>40</v>
      </c>
      <c r="J708" s="14">
        <v>535.61</v>
      </c>
    </row>
    <row r="709" spans="1:10" hidden="1">
      <c r="A709" s="131" t="str">
        <f t="shared" si="11"/>
        <v>Immobilière 3F_2018-07</v>
      </c>
      <c r="B709" s="14" t="s">
        <v>142</v>
      </c>
      <c r="C709" s="14" t="s">
        <v>580</v>
      </c>
      <c r="D709" s="14" t="s">
        <v>581</v>
      </c>
      <c r="E709" s="14" t="s">
        <v>2144</v>
      </c>
      <c r="F709" s="14">
        <v>11</v>
      </c>
      <c r="G709" s="14">
        <v>843.77</v>
      </c>
      <c r="H709" s="14">
        <v>76.709999999999994</v>
      </c>
      <c r="I709" s="14">
        <v>30</v>
      </c>
      <c r="J709" s="14">
        <v>590.64</v>
      </c>
    </row>
    <row r="710" spans="1:10">
      <c r="A710" s="131" t="str">
        <f t="shared" si="11"/>
        <v>Immobilière 3F_2018-08</v>
      </c>
      <c r="B710" s="14" t="s">
        <v>142</v>
      </c>
      <c r="C710" s="14" t="s">
        <v>580</v>
      </c>
      <c r="D710" s="14" t="s">
        <v>581</v>
      </c>
      <c r="E710" s="14" t="s">
        <v>2189</v>
      </c>
      <c r="F710" s="14">
        <v>11</v>
      </c>
      <c r="G710" s="14">
        <v>676.01</v>
      </c>
      <c r="H710" s="14">
        <v>61.46</v>
      </c>
      <c r="I710" s="14">
        <v>30</v>
      </c>
      <c r="J710" s="14">
        <v>473.21</v>
      </c>
    </row>
    <row r="711" spans="1:10" hidden="1">
      <c r="A711" s="131" t="str">
        <f t="shared" si="11"/>
        <v>Immobilière 3F_2018-09</v>
      </c>
      <c r="B711" s="14" t="s">
        <v>142</v>
      </c>
      <c r="C711" s="14" t="s">
        <v>580</v>
      </c>
      <c r="D711" s="14" t="s">
        <v>581</v>
      </c>
      <c r="E711" s="14" t="s">
        <v>2268</v>
      </c>
      <c r="F711" s="14">
        <v>11</v>
      </c>
      <c r="G711" s="14">
        <v>797.99</v>
      </c>
      <c r="H711" s="14">
        <v>72.540000000000006</v>
      </c>
      <c r="I711" s="14">
        <v>30</v>
      </c>
      <c r="J711" s="14">
        <v>558.59</v>
      </c>
    </row>
    <row r="712" spans="1:10" hidden="1">
      <c r="A712" s="131" t="str">
        <f t="shared" si="11"/>
        <v>Immobilière 3F_2018-07</v>
      </c>
      <c r="B712" s="14" t="s">
        <v>142</v>
      </c>
      <c r="C712" s="14" t="s">
        <v>578</v>
      </c>
      <c r="D712" s="14" t="s">
        <v>579</v>
      </c>
      <c r="E712" s="14" t="s">
        <v>2144</v>
      </c>
      <c r="F712" s="14">
        <v>31</v>
      </c>
      <c r="G712" s="14">
        <v>1662.77</v>
      </c>
      <c r="H712" s="14">
        <v>53.64</v>
      </c>
      <c r="I712" s="14">
        <v>30</v>
      </c>
      <c r="J712" s="14">
        <v>1163.94</v>
      </c>
    </row>
    <row r="713" spans="1:10">
      <c r="A713" s="131" t="str">
        <f t="shared" si="11"/>
        <v>Immobilière 3F_2018-08</v>
      </c>
      <c r="B713" s="14" t="s">
        <v>142</v>
      </c>
      <c r="C713" s="14" t="s">
        <v>578</v>
      </c>
      <c r="D713" s="14" t="s">
        <v>579</v>
      </c>
      <c r="E713" s="14" t="s">
        <v>2189</v>
      </c>
      <c r="F713" s="14">
        <v>31</v>
      </c>
      <c r="G713" s="14">
        <v>1504.26</v>
      </c>
      <c r="H713" s="14">
        <v>48.52</v>
      </c>
      <c r="I713" s="14">
        <v>30</v>
      </c>
      <c r="J713" s="14">
        <v>1052.98</v>
      </c>
    </row>
    <row r="714" spans="1:10" hidden="1">
      <c r="A714" s="131" t="str">
        <f t="shared" si="11"/>
        <v>Immobilière 3F_2018-09</v>
      </c>
      <c r="B714" s="14" t="s">
        <v>142</v>
      </c>
      <c r="C714" s="14" t="s">
        <v>578</v>
      </c>
      <c r="D714" s="14" t="s">
        <v>579</v>
      </c>
      <c r="E714" s="14" t="s">
        <v>2268</v>
      </c>
      <c r="F714" s="14">
        <v>31</v>
      </c>
      <c r="G714" s="14">
        <v>1370.71</v>
      </c>
      <c r="H714" s="14">
        <v>44.22</v>
      </c>
      <c r="I714" s="14">
        <v>30</v>
      </c>
      <c r="J714" s="14">
        <v>959.5</v>
      </c>
    </row>
    <row r="715" spans="1:10" hidden="1">
      <c r="A715" s="131" t="str">
        <f t="shared" si="11"/>
        <v>Immobilière 3F_2018-07</v>
      </c>
      <c r="B715" s="14" t="s">
        <v>142</v>
      </c>
      <c r="C715" s="14" t="s">
        <v>1268</v>
      </c>
      <c r="D715" s="14" t="s">
        <v>1269</v>
      </c>
      <c r="E715" s="14" t="s">
        <v>2144</v>
      </c>
      <c r="F715" s="14">
        <v>3</v>
      </c>
      <c r="G715" s="14">
        <v>265.93</v>
      </c>
      <c r="H715" s="14">
        <v>88.64</v>
      </c>
      <c r="I715" s="14">
        <v>40</v>
      </c>
      <c r="J715" s="14">
        <v>159.56</v>
      </c>
    </row>
    <row r="716" spans="1:10">
      <c r="A716" s="131" t="str">
        <f t="shared" si="11"/>
        <v>Immobilière 3F_2018-08</v>
      </c>
      <c r="B716" s="14" t="s">
        <v>142</v>
      </c>
      <c r="C716" s="14" t="s">
        <v>1268</v>
      </c>
      <c r="D716" s="14" t="s">
        <v>1269</v>
      </c>
      <c r="E716" s="14" t="s">
        <v>2189</v>
      </c>
      <c r="F716" s="14">
        <v>3</v>
      </c>
      <c r="G716" s="14">
        <v>357.87</v>
      </c>
      <c r="H716" s="14">
        <v>119.29</v>
      </c>
      <c r="I716" s="14">
        <v>40</v>
      </c>
      <c r="J716" s="14">
        <v>214.72</v>
      </c>
    </row>
    <row r="717" spans="1:10" hidden="1">
      <c r="A717" s="131" t="str">
        <f t="shared" si="11"/>
        <v>Immobilière 3F_2018-09</v>
      </c>
      <c r="B717" s="14" t="s">
        <v>142</v>
      </c>
      <c r="C717" s="14" t="s">
        <v>1268</v>
      </c>
      <c r="D717" s="14" t="s">
        <v>1269</v>
      </c>
      <c r="E717" s="14" t="s">
        <v>2268</v>
      </c>
      <c r="F717" s="14">
        <v>3</v>
      </c>
      <c r="G717" s="14">
        <v>370.33</v>
      </c>
      <c r="H717" s="14">
        <v>123.44</v>
      </c>
      <c r="I717" s="14">
        <v>40</v>
      </c>
      <c r="J717" s="14">
        <v>222.2</v>
      </c>
    </row>
    <row r="718" spans="1:10" hidden="1">
      <c r="A718" s="131" t="str">
        <f t="shared" si="11"/>
        <v>Immobilière 3F_2018-07</v>
      </c>
      <c r="B718" s="14" t="s">
        <v>142</v>
      </c>
      <c r="C718" s="14" t="s">
        <v>1186</v>
      </c>
      <c r="D718" s="14" t="s">
        <v>1378</v>
      </c>
      <c r="E718" s="14" t="s">
        <v>2144</v>
      </c>
      <c r="F718" s="14">
        <v>9</v>
      </c>
      <c r="G718" s="14">
        <v>30.51</v>
      </c>
      <c r="H718" s="14">
        <v>3.39</v>
      </c>
      <c r="I718" s="14">
        <v>30</v>
      </c>
      <c r="J718" s="14">
        <v>21.36</v>
      </c>
    </row>
    <row r="719" spans="1:10">
      <c r="A719" s="131" t="str">
        <f t="shared" si="11"/>
        <v>Immobilière 3F_2018-08</v>
      </c>
      <c r="B719" s="14" t="s">
        <v>142</v>
      </c>
      <c r="C719" s="14" t="s">
        <v>1186</v>
      </c>
      <c r="D719" s="14" t="s">
        <v>1378</v>
      </c>
      <c r="E719" s="14" t="s">
        <v>2189</v>
      </c>
      <c r="F719" s="14">
        <v>9</v>
      </c>
      <c r="G719" s="14">
        <v>54.95</v>
      </c>
      <c r="H719" s="14">
        <v>6.11</v>
      </c>
      <c r="I719" s="14">
        <v>30</v>
      </c>
      <c r="J719" s="14">
        <v>38.47</v>
      </c>
    </row>
    <row r="720" spans="1:10" hidden="1">
      <c r="A720" s="131" t="str">
        <f t="shared" si="11"/>
        <v>Immobilière 3F_2018-09</v>
      </c>
      <c r="B720" s="14" t="s">
        <v>142</v>
      </c>
      <c r="C720" s="14" t="s">
        <v>1186</v>
      </c>
      <c r="D720" s="14" t="s">
        <v>1378</v>
      </c>
      <c r="E720" s="14" t="s">
        <v>2268</v>
      </c>
      <c r="F720" s="14">
        <v>9</v>
      </c>
      <c r="G720" s="14">
        <v>79.84</v>
      </c>
      <c r="H720" s="14">
        <v>8.8699999999999992</v>
      </c>
      <c r="I720" s="14">
        <v>30</v>
      </c>
      <c r="J720" s="14">
        <v>55.89</v>
      </c>
    </row>
    <row r="721" spans="1:10" hidden="1">
      <c r="A721" s="131" t="str">
        <f t="shared" si="11"/>
        <v>Immobilière 3F_2018-07</v>
      </c>
      <c r="B721" s="14" t="s">
        <v>142</v>
      </c>
      <c r="C721" s="14" t="s">
        <v>1819</v>
      </c>
      <c r="D721" s="14" t="s">
        <v>2294</v>
      </c>
      <c r="E721" s="14" t="s">
        <v>2144</v>
      </c>
      <c r="F721" s="14">
        <v>4</v>
      </c>
      <c r="G721" s="14">
        <v>90</v>
      </c>
      <c r="H721" s="14">
        <v>22.5</v>
      </c>
      <c r="I721" s="14">
        <v>40</v>
      </c>
      <c r="J721" s="14">
        <v>54</v>
      </c>
    </row>
    <row r="722" spans="1:10">
      <c r="A722" s="131" t="str">
        <f t="shared" si="11"/>
        <v>Immobilière 3F_2018-08</v>
      </c>
      <c r="B722" s="14" t="s">
        <v>142</v>
      </c>
      <c r="C722" s="14" t="s">
        <v>1819</v>
      </c>
      <c r="D722" s="14" t="s">
        <v>2294</v>
      </c>
      <c r="E722" s="14" t="s">
        <v>2189</v>
      </c>
      <c r="F722" s="14">
        <v>4</v>
      </c>
      <c r="G722" s="14">
        <v>90</v>
      </c>
      <c r="H722" s="14">
        <v>22.5</v>
      </c>
      <c r="I722" s="14">
        <v>40</v>
      </c>
      <c r="J722" s="14">
        <v>54</v>
      </c>
    </row>
    <row r="723" spans="1:10" hidden="1">
      <c r="A723" s="131" t="str">
        <f t="shared" si="11"/>
        <v>Immobilière 3F_2018-09</v>
      </c>
      <c r="B723" s="14" t="s">
        <v>142</v>
      </c>
      <c r="C723" s="14" t="s">
        <v>1819</v>
      </c>
      <c r="D723" s="14" t="s">
        <v>2294</v>
      </c>
      <c r="E723" s="14" t="s">
        <v>2268</v>
      </c>
      <c r="F723" s="14">
        <v>4</v>
      </c>
      <c r="G723" s="14">
        <v>45</v>
      </c>
      <c r="H723" s="14">
        <v>11.25</v>
      </c>
      <c r="I723" s="14">
        <v>40</v>
      </c>
      <c r="J723" s="14">
        <v>27</v>
      </c>
    </row>
    <row r="724" spans="1:10" hidden="1">
      <c r="A724" s="131" t="str">
        <f t="shared" si="11"/>
        <v>Immobilière 3F_2018-07</v>
      </c>
      <c r="B724" s="14" t="s">
        <v>142</v>
      </c>
      <c r="C724" s="14" t="s">
        <v>1820</v>
      </c>
      <c r="D724" s="14" t="s">
        <v>2295</v>
      </c>
      <c r="E724" s="14" t="s">
        <v>2144</v>
      </c>
      <c r="F724" s="14">
        <v>6</v>
      </c>
      <c r="G724" s="14">
        <v>43.26</v>
      </c>
      <c r="H724" s="14">
        <v>7.21</v>
      </c>
      <c r="I724" s="14">
        <v>40</v>
      </c>
      <c r="J724" s="14">
        <v>25.96</v>
      </c>
    </row>
    <row r="725" spans="1:10">
      <c r="A725" s="131" t="str">
        <f t="shared" si="11"/>
        <v>Immobilière 3F_2018-08</v>
      </c>
      <c r="B725" s="14" t="s">
        <v>142</v>
      </c>
      <c r="C725" s="14" t="s">
        <v>1820</v>
      </c>
      <c r="D725" s="14" t="s">
        <v>2295</v>
      </c>
      <c r="E725" s="14" t="s">
        <v>2189</v>
      </c>
      <c r="F725" s="14">
        <v>6</v>
      </c>
      <c r="G725" s="14">
        <v>55</v>
      </c>
      <c r="H725" s="14">
        <v>9.17</v>
      </c>
      <c r="I725" s="14">
        <v>40</v>
      </c>
      <c r="J725" s="14">
        <v>33</v>
      </c>
    </row>
    <row r="726" spans="1:10" hidden="1">
      <c r="A726" s="131" t="str">
        <f t="shared" si="11"/>
        <v>Immobilière 3F_2018-09</v>
      </c>
      <c r="B726" s="14" t="s">
        <v>142</v>
      </c>
      <c r="C726" s="14" t="s">
        <v>1820</v>
      </c>
      <c r="D726" s="14" t="s">
        <v>2295</v>
      </c>
      <c r="E726" s="14" t="s">
        <v>2268</v>
      </c>
      <c r="F726" s="14">
        <v>6</v>
      </c>
      <c r="G726" s="14">
        <v>55</v>
      </c>
      <c r="H726" s="14">
        <v>9.17</v>
      </c>
      <c r="I726" s="14">
        <v>40</v>
      </c>
      <c r="J726" s="14">
        <v>33</v>
      </c>
    </row>
    <row r="727" spans="1:10" hidden="1">
      <c r="A727" s="131" t="str">
        <f t="shared" si="11"/>
        <v>Immobilière 3F_2018-07</v>
      </c>
      <c r="B727" s="14" t="s">
        <v>142</v>
      </c>
      <c r="C727" s="14" t="s">
        <v>583</v>
      </c>
      <c r="D727" s="14" t="s">
        <v>584</v>
      </c>
      <c r="E727" s="14" t="s">
        <v>2144</v>
      </c>
      <c r="F727" s="14">
        <v>18</v>
      </c>
      <c r="G727" s="14">
        <v>283</v>
      </c>
      <c r="H727" s="14">
        <v>15.72</v>
      </c>
      <c r="I727" s="14">
        <v>30</v>
      </c>
      <c r="J727" s="14">
        <v>198.1</v>
      </c>
    </row>
    <row r="728" spans="1:10">
      <c r="A728" s="131" t="str">
        <f t="shared" si="11"/>
        <v>Immobilière 3F_2018-08</v>
      </c>
      <c r="B728" s="14" t="s">
        <v>142</v>
      </c>
      <c r="C728" s="14" t="s">
        <v>583</v>
      </c>
      <c r="D728" s="14" t="s">
        <v>584</v>
      </c>
      <c r="E728" s="14" t="s">
        <v>2189</v>
      </c>
      <c r="F728" s="14">
        <v>18</v>
      </c>
      <c r="G728" s="14">
        <v>288.81</v>
      </c>
      <c r="H728" s="14">
        <v>16.05</v>
      </c>
      <c r="I728" s="14">
        <v>30</v>
      </c>
      <c r="J728" s="14">
        <v>202.17</v>
      </c>
    </row>
    <row r="729" spans="1:10" hidden="1">
      <c r="A729" s="131" t="str">
        <f t="shared" si="11"/>
        <v>Immobilière 3F_2018-09</v>
      </c>
      <c r="B729" s="14" t="s">
        <v>142</v>
      </c>
      <c r="C729" s="14" t="s">
        <v>583</v>
      </c>
      <c r="D729" s="14" t="s">
        <v>584</v>
      </c>
      <c r="E729" s="14" t="s">
        <v>2268</v>
      </c>
      <c r="F729" s="14">
        <v>18</v>
      </c>
      <c r="G729" s="14">
        <v>327</v>
      </c>
      <c r="H729" s="14">
        <v>18.170000000000002</v>
      </c>
      <c r="I729" s="14">
        <v>30</v>
      </c>
      <c r="J729" s="14">
        <v>228.9</v>
      </c>
    </row>
    <row r="730" spans="1:10" hidden="1">
      <c r="A730" s="131" t="str">
        <f t="shared" si="11"/>
        <v>Immobilière 3F_2018-07</v>
      </c>
      <c r="B730" s="14" t="s">
        <v>142</v>
      </c>
      <c r="C730" s="14" t="s">
        <v>585</v>
      </c>
      <c r="D730" s="14" t="s">
        <v>586</v>
      </c>
      <c r="E730" s="14" t="s">
        <v>2144</v>
      </c>
      <c r="F730" s="14">
        <v>20</v>
      </c>
      <c r="G730" s="14">
        <v>593.16</v>
      </c>
      <c r="H730" s="14">
        <v>29.66</v>
      </c>
      <c r="I730" s="14">
        <v>30</v>
      </c>
      <c r="J730" s="14">
        <v>415.21</v>
      </c>
    </row>
    <row r="731" spans="1:10">
      <c r="A731" s="131" t="str">
        <f t="shared" si="11"/>
        <v>Immobilière 3F_2018-08</v>
      </c>
      <c r="B731" s="14" t="s">
        <v>142</v>
      </c>
      <c r="C731" s="14" t="s">
        <v>585</v>
      </c>
      <c r="D731" s="14" t="s">
        <v>586</v>
      </c>
      <c r="E731" s="14" t="s">
        <v>2189</v>
      </c>
      <c r="F731" s="14">
        <v>20</v>
      </c>
      <c r="G731" s="14">
        <v>511.57</v>
      </c>
      <c r="H731" s="14">
        <v>25.58</v>
      </c>
      <c r="I731" s="14">
        <v>30</v>
      </c>
      <c r="J731" s="14">
        <v>358.1</v>
      </c>
    </row>
    <row r="732" spans="1:10" hidden="1">
      <c r="A732" s="131" t="str">
        <f t="shared" si="11"/>
        <v>Immobilière 3F_2018-09</v>
      </c>
      <c r="B732" s="14" t="s">
        <v>142</v>
      </c>
      <c r="C732" s="14" t="s">
        <v>585</v>
      </c>
      <c r="D732" s="14" t="s">
        <v>586</v>
      </c>
      <c r="E732" s="14" t="s">
        <v>2268</v>
      </c>
      <c r="F732" s="14">
        <v>20</v>
      </c>
      <c r="G732" s="14">
        <v>472.81</v>
      </c>
      <c r="H732" s="14">
        <v>23.64</v>
      </c>
      <c r="I732" s="14">
        <v>30</v>
      </c>
      <c r="J732" s="14">
        <v>330.97</v>
      </c>
    </row>
    <row r="733" spans="1:10" hidden="1">
      <c r="A733" s="131" t="str">
        <f t="shared" si="11"/>
        <v>Immobilière 3F_2018-07</v>
      </c>
      <c r="B733" s="14" t="s">
        <v>142</v>
      </c>
      <c r="C733" s="14" t="s">
        <v>1530</v>
      </c>
      <c r="D733" s="14" t="s">
        <v>1531</v>
      </c>
      <c r="E733" s="14" t="s">
        <v>2144</v>
      </c>
      <c r="F733" s="14">
        <v>6</v>
      </c>
      <c r="G733" s="14">
        <v>294.39</v>
      </c>
      <c r="H733" s="14">
        <v>49.06</v>
      </c>
      <c r="I733" s="14">
        <v>40</v>
      </c>
      <c r="J733" s="14">
        <v>176.63</v>
      </c>
    </row>
    <row r="734" spans="1:10">
      <c r="A734" s="131" t="str">
        <f t="shared" si="11"/>
        <v>Immobilière 3F_2018-08</v>
      </c>
      <c r="B734" s="14" t="s">
        <v>142</v>
      </c>
      <c r="C734" s="14" t="s">
        <v>1530</v>
      </c>
      <c r="D734" s="14" t="s">
        <v>1531</v>
      </c>
      <c r="E734" s="14" t="s">
        <v>2189</v>
      </c>
      <c r="F734" s="14">
        <v>6</v>
      </c>
      <c r="G734" s="14">
        <v>234.18</v>
      </c>
      <c r="H734" s="14">
        <v>39.03</v>
      </c>
      <c r="I734" s="14">
        <v>40</v>
      </c>
      <c r="J734" s="14">
        <v>140.51</v>
      </c>
    </row>
    <row r="735" spans="1:10" hidden="1">
      <c r="A735" s="131" t="str">
        <f t="shared" si="11"/>
        <v>Immobilière 3F_2018-09</v>
      </c>
      <c r="B735" s="14" t="s">
        <v>142</v>
      </c>
      <c r="C735" s="14" t="s">
        <v>1530</v>
      </c>
      <c r="D735" s="14" t="s">
        <v>1531</v>
      </c>
      <c r="E735" s="14" t="s">
        <v>2268</v>
      </c>
      <c r="F735" s="14">
        <v>6</v>
      </c>
      <c r="G735" s="14">
        <v>249.86</v>
      </c>
      <c r="H735" s="14">
        <v>41.64</v>
      </c>
      <c r="I735" s="14">
        <v>40</v>
      </c>
      <c r="J735" s="14">
        <v>149.91999999999999</v>
      </c>
    </row>
    <row r="736" spans="1:10" hidden="1">
      <c r="A736" s="131" t="str">
        <f t="shared" si="11"/>
        <v>Immobilière 3F_2018-07</v>
      </c>
      <c r="B736" s="14" t="s">
        <v>142</v>
      </c>
      <c r="C736" s="14" t="s">
        <v>1903</v>
      </c>
      <c r="D736" s="14" t="s">
        <v>1904</v>
      </c>
      <c r="E736" s="14" t="s">
        <v>2144</v>
      </c>
      <c r="F736" s="14">
        <v>10</v>
      </c>
      <c r="G736" s="14">
        <v>103.02</v>
      </c>
      <c r="H736" s="14">
        <v>10.3</v>
      </c>
      <c r="I736" s="14">
        <v>40</v>
      </c>
      <c r="J736" s="14">
        <v>61.81</v>
      </c>
    </row>
    <row r="737" spans="1:10">
      <c r="A737" s="131" t="str">
        <f t="shared" si="11"/>
        <v>Immobilière 3F_2018-08</v>
      </c>
      <c r="B737" s="14" t="s">
        <v>142</v>
      </c>
      <c r="C737" s="14" t="s">
        <v>1903</v>
      </c>
      <c r="D737" s="14" t="s">
        <v>1904</v>
      </c>
      <c r="E737" s="14" t="s">
        <v>2189</v>
      </c>
      <c r="F737" s="14">
        <v>10</v>
      </c>
      <c r="G737" s="14">
        <v>132</v>
      </c>
      <c r="H737" s="14">
        <v>13.2</v>
      </c>
      <c r="I737" s="14">
        <v>40</v>
      </c>
      <c r="J737" s="14">
        <v>79.2</v>
      </c>
    </row>
    <row r="738" spans="1:10" hidden="1">
      <c r="A738" s="131" t="str">
        <f t="shared" si="11"/>
        <v>Immobilière 3F_2018-09</v>
      </c>
      <c r="B738" s="14" t="s">
        <v>142</v>
      </c>
      <c r="C738" s="14" t="s">
        <v>1903</v>
      </c>
      <c r="D738" s="14" t="s">
        <v>1904</v>
      </c>
      <c r="E738" s="14" t="s">
        <v>2268</v>
      </c>
      <c r="F738" s="14">
        <v>10</v>
      </c>
      <c r="G738" s="14">
        <v>232.94</v>
      </c>
      <c r="H738" s="14">
        <v>23.29</v>
      </c>
      <c r="I738" s="14">
        <v>40</v>
      </c>
      <c r="J738" s="14">
        <v>139.76</v>
      </c>
    </row>
    <row r="739" spans="1:10" hidden="1">
      <c r="A739" s="131" t="str">
        <f t="shared" si="11"/>
        <v>Immobilière 3F_2018-07</v>
      </c>
      <c r="B739" s="14" t="s">
        <v>142</v>
      </c>
      <c r="C739" s="14" t="s">
        <v>1379</v>
      </c>
      <c r="D739" s="14" t="s">
        <v>1380</v>
      </c>
      <c r="E739" s="14" t="s">
        <v>2144</v>
      </c>
      <c r="F739" s="14">
        <v>8</v>
      </c>
      <c r="G739" s="14">
        <v>240</v>
      </c>
      <c r="H739" s="14">
        <v>30</v>
      </c>
      <c r="I739" s="14">
        <v>40</v>
      </c>
      <c r="J739" s="14">
        <v>144</v>
      </c>
    </row>
    <row r="740" spans="1:10">
      <c r="A740" s="131" t="str">
        <f t="shared" si="11"/>
        <v>Immobilière 3F_2018-08</v>
      </c>
      <c r="B740" s="14" t="s">
        <v>142</v>
      </c>
      <c r="C740" s="14" t="s">
        <v>1379</v>
      </c>
      <c r="D740" s="14" t="s">
        <v>1380</v>
      </c>
      <c r="E740" s="14" t="s">
        <v>2189</v>
      </c>
      <c r="F740" s="14">
        <v>8</v>
      </c>
      <c r="G740" s="14">
        <v>187.1</v>
      </c>
      <c r="H740" s="14">
        <v>23.39</v>
      </c>
      <c r="I740" s="14">
        <v>40</v>
      </c>
      <c r="J740" s="14">
        <v>112.26</v>
      </c>
    </row>
    <row r="741" spans="1:10" hidden="1">
      <c r="A741" s="131" t="str">
        <f t="shared" si="11"/>
        <v>Immobilière 3F_2018-09</v>
      </c>
      <c r="B741" s="14" t="s">
        <v>142</v>
      </c>
      <c r="C741" s="14" t="s">
        <v>1379</v>
      </c>
      <c r="D741" s="14" t="s">
        <v>1380</v>
      </c>
      <c r="E741" s="14" t="s">
        <v>2268</v>
      </c>
      <c r="F741" s="14">
        <v>8</v>
      </c>
      <c r="G741" s="14">
        <v>144</v>
      </c>
      <c r="H741" s="14">
        <v>18</v>
      </c>
      <c r="I741" s="14">
        <v>40</v>
      </c>
      <c r="J741" s="14">
        <v>86.4</v>
      </c>
    </row>
    <row r="742" spans="1:10" hidden="1">
      <c r="A742" s="131" t="str">
        <f t="shared" si="11"/>
        <v>Immobilière 3F_2018-07</v>
      </c>
      <c r="B742" s="14" t="s">
        <v>142</v>
      </c>
      <c r="C742" s="14" t="s">
        <v>1778</v>
      </c>
      <c r="D742" s="14" t="s">
        <v>1779</v>
      </c>
      <c r="E742" s="14" t="s">
        <v>2144</v>
      </c>
      <c r="F742" s="14">
        <v>10</v>
      </c>
      <c r="G742" s="14">
        <v>170.03</v>
      </c>
      <c r="H742" s="14">
        <v>17</v>
      </c>
      <c r="I742" s="14">
        <v>40</v>
      </c>
      <c r="J742" s="14">
        <v>102.02</v>
      </c>
    </row>
    <row r="743" spans="1:10">
      <c r="A743" s="131" t="str">
        <f t="shared" si="11"/>
        <v>Immobilière 3F_2018-08</v>
      </c>
      <c r="B743" s="14" t="s">
        <v>142</v>
      </c>
      <c r="C743" s="14" t="s">
        <v>1778</v>
      </c>
      <c r="D743" s="14" t="s">
        <v>1779</v>
      </c>
      <c r="E743" s="14" t="s">
        <v>2189</v>
      </c>
      <c r="F743" s="14">
        <v>10</v>
      </c>
      <c r="G743" s="14">
        <v>186</v>
      </c>
      <c r="H743" s="14">
        <v>18.600000000000001</v>
      </c>
      <c r="I743" s="14">
        <v>40</v>
      </c>
      <c r="J743" s="14">
        <v>111.6</v>
      </c>
    </row>
    <row r="744" spans="1:10" hidden="1">
      <c r="A744" s="131" t="str">
        <f t="shared" si="11"/>
        <v>Immobilière 3F_2018-09</v>
      </c>
      <c r="B744" s="14" t="s">
        <v>142</v>
      </c>
      <c r="C744" s="14" t="s">
        <v>1778</v>
      </c>
      <c r="D744" s="14" t="s">
        <v>1779</v>
      </c>
      <c r="E744" s="14" t="s">
        <v>2268</v>
      </c>
      <c r="F744" s="14">
        <v>10</v>
      </c>
      <c r="G744" s="14">
        <v>186</v>
      </c>
      <c r="H744" s="14">
        <v>18.600000000000001</v>
      </c>
      <c r="I744" s="14">
        <v>40</v>
      </c>
      <c r="J744" s="14">
        <v>111.6</v>
      </c>
    </row>
    <row r="745" spans="1:10" hidden="1">
      <c r="A745" s="131" t="str">
        <f t="shared" si="11"/>
        <v>Immobilière 3F_2018-07</v>
      </c>
      <c r="B745" s="14" t="s">
        <v>142</v>
      </c>
      <c r="C745" s="14" t="s">
        <v>1622</v>
      </c>
      <c r="D745" s="14" t="s">
        <v>1623</v>
      </c>
      <c r="E745" s="14" t="s">
        <v>2144</v>
      </c>
      <c r="F745" s="14">
        <v>10</v>
      </c>
      <c r="G745" s="14">
        <v>209.23</v>
      </c>
      <c r="H745" s="14">
        <v>20.92</v>
      </c>
      <c r="I745" s="14">
        <v>40</v>
      </c>
      <c r="J745" s="14">
        <v>125.54</v>
      </c>
    </row>
    <row r="746" spans="1:10">
      <c r="A746" s="131" t="str">
        <f t="shared" si="11"/>
        <v>Immobilière 3F_2018-08</v>
      </c>
      <c r="B746" s="14" t="s">
        <v>142</v>
      </c>
      <c r="C746" s="14" t="s">
        <v>1622</v>
      </c>
      <c r="D746" s="14" t="s">
        <v>1623</v>
      </c>
      <c r="E746" s="14" t="s">
        <v>2189</v>
      </c>
      <c r="F746" s="14">
        <v>10</v>
      </c>
      <c r="G746" s="14">
        <v>336.42</v>
      </c>
      <c r="H746" s="14">
        <v>33.64</v>
      </c>
      <c r="I746" s="14">
        <v>40</v>
      </c>
      <c r="J746" s="14">
        <v>201.85</v>
      </c>
    </row>
    <row r="747" spans="1:10" hidden="1">
      <c r="A747" s="131" t="str">
        <f t="shared" ref="A747:A810" si="12">CONCATENATE(B747,"_",E747)</f>
        <v>Immobilière 3F_2018-09</v>
      </c>
      <c r="B747" s="14" t="s">
        <v>142</v>
      </c>
      <c r="C747" s="14" t="s">
        <v>1622</v>
      </c>
      <c r="D747" s="14" t="s">
        <v>1623</v>
      </c>
      <c r="E747" s="14" t="s">
        <v>2268</v>
      </c>
      <c r="F747" s="14">
        <v>10</v>
      </c>
      <c r="G747" s="14">
        <v>109.04</v>
      </c>
      <c r="H747" s="14">
        <v>10.9</v>
      </c>
      <c r="I747" s="14">
        <v>40</v>
      </c>
      <c r="J747" s="14">
        <v>65.42</v>
      </c>
    </row>
    <row r="748" spans="1:10" hidden="1">
      <c r="A748" s="131" t="str">
        <f t="shared" si="12"/>
        <v>Immobilière 3F Seine et Marne_2018-07</v>
      </c>
      <c r="B748" s="14" t="s">
        <v>2296</v>
      </c>
      <c r="C748" s="14" t="s">
        <v>1381</v>
      </c>
      <c r="D748" s="14" t="s">
        <v>1415</v>
      </c>
      <c r="E748" s="14" t="s">
        <v>2144</v>
      </c>
      <c r="F748" s="14">
        <v>15</v>
      </c>
      <c r="G748" s="14">
        <v>80</v>
      </c>
      <c r="H748" s="14">
        <v>5.33</v>
      </c>
      <c r="I748" s="14">
        <v>40</v>
      </c>
      <c r="J748" s="14">
        <v>48</v>
      </c>
    </row>
    <row r="749" spans="1:10">
      <c r="A749" s="131" t="str">
        <f t="shared" si="12"/>
        <v>Immobilière 3F Seine et Marne_2018-08</v>
      </c>
      <c r="B749" s="14" t="s">
        <v>2296</v>
      </c>
      <c r="C749" s="14" t="s">
        <v>1381</v>
      </c>
      <c r="D749" s="14" t="s">
        <v>1415</v>
      </c>
      <c r="E749" s="14" t="s">
        <v>2189</v>
      </c>
      <c r="F749" s="14">
        <v>15</v>
      </c>
      <c r="G749" s="14">
        <v>43.87</v>
      </c>
      <c r="H749" s="14">
        <v>2.92</v>
      </c>
      <c r="I749" s="14">
        <v>40</v>
      </c>
      <c r="J749" s="14">
        <v>26.32</v>
      </c>
    </row>
    <row r="750" spans="1:10" hidden="1">
      <c r="A750" s="131" t="str">
        <f t="shared" si="12"/>
        <v>Immobilière 3F Seine et Marne_2018-09</v>
      </c>
      <c r="B750" s="14" t="s">
        <v>2296</v>
      </c>
      <c r="C750" s="14" t="s">
        <v>1381</v>
      </c>
      <c r="D750" s="14" t="s">
        <v>1415</v>
      </c>
      <c r="E750" s="14" t="s">
        <v>2268</v>
      </c>
      <c r="F750" s="14">
        <v>15</v>
      </c>
      <c r="G750" s="14">
        <v>40</v>
      </c>
      <c r="H750" s="14">
        <v>2.67</v>
      </c>
      <c r="I750" s="14">
        <v>40</v>
      </c>
      <c r="J750" s="14">
        <v>24</v>
      </c>
    </row>
    <row r="751" spans="1:10" hidden="1">
      <c r="A751" s="131" t="str">
        <f t="shared" si="12"/>
        <v>Immobilière 3F Seine et Marne_2018-07</v>
      </c>
      <c r="B751" s="14" t="s">
        <v>2296</v>
      </c>
      <c r="C751" s="14" t="s">
        <v>2160</v>
      </c>
      <c r="D751" s="14" t="s">
        <v>2161</v>
      </c>
      <c r="E751" s="14" t="s">
        <v>2144</v>
      </c>
      <c r="F751" s="14">
        <v>20</v>
      </c>
      <c r="G751" s="14">
        <v>40</v>
      </c>
      <c r="H751" s="14">
        <v>2</v>
      </c>
      <c r="I751" s="14">
        <v>40</v>
      </c>
      <c r="J751" s="14">
        <v>24</v>
      </c>
    </row>
    <row r="752" spans="1:10">
      <c r="A752" s="131" t="str">
        <f t="shared" si="12"/>
        <v>Immobilière 3F Seine et Marne_2018-08</v>
      </c>
      <c r="B752" s="14" t="s">
        <v>2296</v>
      </c>
      <c r="C752" s="14" t="s">
        <v>2160</v>
      </c>
      <c r="D752" s="14" t="s">
        <v>2161</v>
      </c>
      <c r="E752" s="14" t="s">
        <v>2189</v>
      </c>
      <c r="F752" s="14">
        <v>20</v>
      </c>
      <c r="G752" s="14">
        <v>32.26</v>
      </c>
      <c r="H752" s="14">
        <v>1.61</v>
      </c>
      <c r="I752" s="14">
        <v>40</v>
      </c>
      <c r="J752" s="14">
        <v>19.36</v>
      </c>
    </row>
    <row r="753" spans="1:10" hidden="1">
      <c r="A753" s="131" t="str">
        <f t="shared" si="12"/>
        <v>Immobilière 3F Seine et Marne_2018-09</v>
      </c>
      <c r="B753" s="14" t="s">
        <v>2296</v>
      </c>
      <c r="C753" s="14" t="s">
        <v>2160</v>
      </c>
      <c r="D753" s="14" t="s">
        <v>2161</v>
      </c>
      <c r="E753" s="14" t="s">
        <v>2268</v>
      </c>
      <c r="F753" s="14">
        <v>20</v>
      </c>
      <c r="G753" s="14">
        <v>0</v>
      </c>
      <c r="H753" s="14">
        <v>0</v>
      </c>
      <c r="I753" s="14">
        <v>40</v>
      </c>
      <c r="J753" s="14">
        <v>0</v>
      </c>
    </row>
    <row r="754" spans="1:10" hidden="1">
      <c r="A754" s="131" t="str">
        <f t="shared" si="12"/>
        <v>Immobilière 3F Seine et Marne_2018-07</v>
      </c>
      <c r="B754" s="14" t="s">
        <v>2296</v>
      </c>
      <c r="C754" s="14" t="s">
        <v>1382</v>
      </c>
      <c r="D754" s="14" t="s">
        <v>1416</v>
      </c>
      <c r="E754" s="14" t="s">
        <v>2144</v>
      </c>
      <c r="F754" s="14">
        <v>20</v>
      </c>
      <c r="G754" s="14">
        <v>120</v>
      </c>
      <c r="H754" s="14">
        <v>6</v>
      </c>
      <c r="I754" s="14">
        <v>40</v>
      </c>
      <c r="J754" s="14">
        <v>72</v>
      </c>
    </row>
    <row r="755" spans="1:10">
      <c r="A755" s="131" t="str">
        <f t="shared" si="12"/>
        <v>Immobilière 3F Seine et Marne_2018-08</v>
      </c>
      <c r="B755" s="14" t="s">
        <v>2296</v>
      </c>
      <c r="C755" s="14" t="s">
        <v>1382</v>
      </c>
      <c r="D755" s="14" t="s">
        <v>1416</v>
      </c>
      <c r="E755" s="14" t="s">
        <v>2189</v>
      </c>
      <c r="F755" s="14">
        <v>20</v>
      </c>
      <c r="G755" s="14">
        <v>157.41999999999999</v>
      </c>
      <c r="H755" s="14">
        <v>7.87</v>
      </c>
      <c r="I755" s="14">
        <v>40</v>
      </c>
      <c r="J755" s="14">
        <v>94.45</v>
      </c>
    </row>
    <row r="756" spans="1:10" hidden="1">
      <c r="A756" s="131" t="str">
        <f t="shared" si="12"/>
        <v>Immobilière 3F Seine et Marne_2018-09</v>
      </c>
      <c r="B756" s="14" t="s">
        <v>2296</v>
      </c>
      <c r="C756" s="14" t="s">
        <v>1382</v>
      </c>
      <c r="D756" s="14" t="s">
        <v>1416</v>
      </c>
      <c r="E756" s="14" t="s">
        <v>2268</v>
      </c>
      <c r="F756" s="14">
        <v>20</v>
      </c>
      <c r="G756" s="14">
        <v>195</v>
      </c>
      <c r="H756" s="14">
        <v>9.75</v>
      </c>
      <c r="I756" s="14">
        <v>40</v>
      </c>
      <c r="J756" s="14">
        <v>117</v>
      </c>
    </row>
    <row r="757" spans="1:10" hidden="1">
      <c r="A757" s="131" t="str">
        <f t="shared" si="12"/>
        <v>Immobilière Basse Seine_2018-07</v>
      </c>
      <c r="B757" s="14" t="s">
        <v>1410</v>
      </c>
      <c r="C757" s="14" t="s">
        <v>1624</v>
      </c>
      <c r="D757" s="14" t="s">
        <v>1625</v>
      </c>
      <c r="E757" s="14" t="s">
        <v>2144</v>
      </c>
      <c r="F757" s="14">
        <v>7</v>
      </c>
      <c r="G757" s="14">
        <v>65.989999999999995</v>
      </c>
      <c r="H757" s="14">
        <v>9.43</v>
      </c>
      <c r="I757" s="14">
        <v>40</v>
      </c>
      <c r="J757" s="14">
        <v>39.590000000000003</v>
      </c>
    </row>
    <row r="758" spans="1:10">
      <c r="A758" s="131" t="str">
        <f t="shared" si="12"/>
        <v>Immobilière Basse Seine_2018-08</v>
      </c>
      <c r="B758" s="14" t="s">
        <v>1410</v>
      </c>
      <c r="C758" s="14" t="s">
        <v>1624</v>
      </c>
      <c r="D758" s="14" t="s">
        <v>1625</v>
      </c>
      <c r="E758" s="14" t="s">
        <v>2189</v>
      </c>
      <c r="F758" s="14">
        <v>7</v>
      </c>
      <c r="G758" s="14">
        <v>45.1</v>
      </c>
      <c r="H758" s="14">
        <v>6.44</v>
      </c>
      <c r="I758" s="14">
        <v>40</v>
      </c>
      <c r="J758" s="14">
        <v>27.06</v>
      </c>
    </row>
    <row r="759" spans="1:10" hidden="1">
      <c r="A759" s="131" t="str">
        <f t="shared" si="12"/>
        <v>Immobilière Basse Seine_2018-09</v>
      </c>
      <c r="B759" s="14" t="s">
        <v>1410</v>
      </c>
      <c r="C759" s="14" t="s">
        <v>1624</v>
      </c>
      <c r="D759" s="14" t="s">
        <v>1625</v>
      </c>
      <c r="E759" s="14" t="s">
        <v>2268</v>
      </c>
      <c r="F759" s="14">
        <v>7</v>
      </c>
      <c r="G759" s="14">
        <v>45</v>
      </c>
      <c r="H759" s="14">
        <v>6.43</v>
      </c>
      <c r="I759" s="14">
        <v>40</v>
      </c>
      <c r="J759" s="14">
        <v>27</v>
      </c>
    </row>
    <row r="760" spans="1:10" hidden="1">
      <c r="A760" s="131" t="str">
        <f t="shared" si="12"/>
        <v>Immobilière Basse Seine_2018-07</v>
      </c>
      <c r="B760" s="14" t="s">
        <v>1410</v>
      </c>
      <c r="C760" s="14" t="s">
        <v>1411</v>
      </c>
      <c r="D760" s="14" t="s">
        <v>1412</v>
      </c>
      <c r="E760" s="14" t="s">
        <v>2144</v>
      </c>
      <c r="F760" s="14">
        <v>19</v>
      </c>
      <c r="G760" s="14">
        <v>374.02</v>
      </c>
      <c r="H760" s="14">
        <v>19.690000000000001</v>
      </c>
      <c r="I760" s="14">
        <v>40</v>
      </c>
      <c r="J760" s="14">
        <v>224.41</v>
      </c>
    </row>
    <row r="761" spans="1:10">
      <c r="A761" s="131" t="str">
        <f t="shared" si="12"/>
        <v>Immobilière Basse Seine_2018-08</v>
      </c>
      <c r="B761" s="14" t="s">
        <v>1410</v>
      </c>
      <c r="C761" s="14" t="s">
        <v>1411</v>
      </c>
      <c r="D761" s="14" t="s">
        <v>1412</v>
      </c>
      <c r="E761" s="14" t="s">
        <v>2189</v>
      </c>
      <c r="F761" s="14">
        <v>19</v>
      </c>
      <c r="G761" s="14">
        <v>315</v>
      </c>
      <c r="H761" s="14">
        <v>16.579999999999998</v>
      </c>
      <c r="I761" s="14">
        <v>40</v>
      </c>
      <c r="J761" s="14">
        <v>189</v>
      </c>
    </row>
    <row r="762" spans="1:10" hidden="1">
      <c r="A762" s="131" t="str">
        <f t="shared" si="12"/>
        <v>Immobilière Basse Seine_2018-09</v>
      </c>
      <c r="B762" s="14" t="s">
        <v>1410</v>
      </c>
      <c r="C762" s="14" t="s">
        <v>1411</v>
      </c>
      <c r="D762" s="14" t="s">
        <v>1412</v>
      </c>
      <c r="E762" s="14" t="s">
        <v>2268</v>
      </c>
      <c r="F762" s="14">
        <v>19</v>
      </c>
      <c r="G762" s="14">
        <v>333</v>
      </c>
      <c r="H762" s="14">
        <v>17.53</v>
      </c>
      <c r="I762" s="14">
        <v>40</v>
      </c>
      <c r="J762" s="14">
        <v>199.8</v>
      </c>
    </row>
    <row r="763" spans="1:10" hidden="1">
      <c r="A763" s="131" t="str">
        <f t="shared" si="12"/>
        <v>Immobilière Basse Seine_2018-07</v>
      </c>
      <c r="B763" s="14" t="s">
        <v>1410</v>
      </c>
      <c r="C763" s="14" t="s">
        <v>1821</v>
      </c>
      <c r="D763" s="14" t="s">
        <v>1822</v>
      </c>
      <c r="E763" s="14" t="s">
        <v>2144</v>
      </c>
      <c r="F763" s="14">
        <v>10</v>
      </c>
      <c r="G763" s="14">
        <v>50</v>
      </c>
      <c r="H763" s="14">
        <v>5</v>
      </c>
      <c r="I763" s="14">
        <v>40</v>
      </c>
      <c r="J763" s="14">
        <v>30</v>
      </c>
    </row>
    <row r="764" spans="1:10">
      <c r="A764" s="131" t="str">
        <f t="shared" si="12"/>
        <v>Immobilière Basse Seine_2018-08</v>
      </c>
      <c r="B764" s="14" t="s">
        <v>1410</v>
      </c>
      <c r="C764" s="14" t="s">
        <v>1821</v>
      </c>
      <c r="D764" s="14" t="s">
        <v>1822</v>
      </c>
      <c r="E764" s="14" t="s">
        <v>2189</v>
      </c>
      <c r="F764" s="14">
        <v>10</v>
      </c>
      <c r="G764" s="14">
        <v>198</v>
      </c>
      <c r="H764" s="14">
        <v>19.8</v>
      </c>
      <c r="I764" s="14">
        <v>40</v>
      </c>
      <c r="J764" s="14">
        <v>118.8</v>
      </c>
    </row>
    <row r="765" spans="1:10" hidden="1">
      <c r="A765" s="131" t="str">
        <f t="shared" si="12"/>
        <v>Immobilière Basse Seine_2018-09</v>
      </c>
      <c r="B765" s="14" t="s">
        <v>1410</v>
      </c>
      <c r="C765" s="14" t="s">
        <v>1821</v>
      </c>
      <c r="D765" s="14" t="s">
        <v>1822</v>
      </c>
      <c r="E765" s="14" t="s">
        <v>2268</v>
      </c>
      <c r="F765" s="14">
        <v>10</v>
      </c>
      <c r="G765" s="14">
        <v>68.33</v>
      </c>
      <c r="H765" s="14">
        <v>6.83</v>
      </c>
      <c r="I765" s="14">
        <v>40</v>
      </c>
      <c r="J765" s="14">
        <v>41</v>
      </c>
    </row>
    <row r="766" spans="1:10" hidden="1">
      <c r="A766" s="131" t="str">
        <f t="shared" si="12"/>
        <v>Immobilière Basse Seine_2018-07</v>
      </c>
      <c r="B766" s="14" t="s">
        <v>1410</v>
      </c>
      <c r="C766" s="14" t="s">
        <v>1780</v>
      </c>
      <c r="D766" s="14" t="s">
        <v>1781</v>
      </c>
      <c r="E766" s="14" t="s">
        <v>2144</v>
      </c>
      <c r="F766" s="14">
        <v>14</v>
      </c>
      <c r="G766" s="14">
        <v>45</v>
      </c>
      <c r="H766" s="14">
        <v>3.21</v>
      </c>
      <c r="I766" s="14">
        <v>40</v>
      </c>
      <c r="J766" s="14">
        <v>27</v>
      </c>
    </row>
    <row r="767" spans="1:10">
      <c r="A767" s="131" t="str">
        <f t="shared" si="12"/>
        <v>Immobilière Basse Seine_2018-08</v>
      </c>
      <c r="B767" s="14" t="s">
        <v>1410</v>
      </c>
      <c r="C767" s="14" t="s">
        <v>1780</v>
      </c>
      <c r="D767" s="14" t="s">
        <v>1781</v>
      </c>
      <c r="E767" s="14" t="s">
        <v>2189</v>
      </c>
      <c r="F767" s="14">
        <v>14</v>
      </c>
      <c r="G767" s="14">
        <v>71</v>
      </c>
      <c r="H767" s="14">
        <v>5.07</v>
      </c>
      <c r="I767" s="14">
        <v>40</v>
      </c>
      <c r="J767" s="14">
        <v>42.6</v>
      </c>
    </row>
    <row r="768" spans="1:10" hidden="1">
      <c r="A768" s="131" t="str">
        <f t="shared" si="12"/>
        <v>Immobilière Basse Seine_2018-09</v>
      </c>
      <c r="B768" s="14" t="s">
        <v>1410</v>
      </c>
      <c r="C768" s="14" t="s">
        <v>1780</v>
      </c>
      <c r="D768" s="14" t="s">
        <v>1781</v>
      </c>
      <c r="E768" s="14" t="s">
        <v>2268</v>
      </c>
      <c r="F768" s="14">
        <v>14</v>
      </c>
      <c r="G768" s="14">
        <v>125</v>
      </c>
      <c r="H768" s="14">
        <v>8.93</v>
      </c>
      <c r="I768" s="14">
        <v>40</v>
      </c>
      <c r="J768" s="14">
        <v>75</v>
      </c>
    </row>
    <row r="769" spans="1:10" hidden="1">
      <c r="A769" s="131" t="str">
        <f t="shared" si="12"/>
        <v>Immobilière Basse Seine_2018-07</v>
      </c>
      <c r="B769" s="14" t="s">
        <v>1410</v>
      </c>
      <c r="C769" s="14" t="s">
        <v>1983</v>
      </c>
      <c r="D769" s="14" t="s">
        <v>1984</v>
      </c>
      <c r="E769" s="14" t="s">
        <v>2144</v>
      </c>
      <c r="F769" s="14">
        <v>21</v>
      </c>
      <c r="G769" s="14">
        <v>21.13</v>
      </c>
      <c r="H769" s="14">
        <v>1.01</v>
      </c>
      <c r="I769" s="14">
        <v>40</v>
      </c>
      <c r="J769" s="14">
        <v>12.68</v>
      </c>
    </row>
    <row r="770" spans="1:10">
      <c r="A770" s="131" t="str">
        <f t="shared" si="12"/>
        <v>Immobilière Basse Seine_2018-08</v>
      </c>
      <c r="B770" s="14" t="s">
        <v>1410</v>
      </c>
      <c r="C770" s="14" t="s">
        <v>1983</v>
      </c>
      <c r="D770" s="14" t="s">
        <v>1984</v>
      </c>
      <c r="E770" s="14" t="s">
        <v>2189</v>
      </c>
      <c r="F770" s="14">
        <v>21</v>
      </c>
      <c r="G770" s="14">
        <v>55.6</v>
      </c>
      <c r="H770" s="14">
        <v>2.65</v>
      </c>
      <c r="I770" s="14">
        <v>40</v>
      </c>
      <c r="J770" s="14">
        <v>33.36</v>
      </c>
    </row>
    <row r="771" spans="1:10" hidden="1">
      <c r="A771" s="131" t="str">
        <f t="shared" si="12"/>
        <v>Immobilière Basse Seine_2018-09</v>
      </c>
      <c r="B771" s="14" t="s">
        <v>1410</v>
      </c>
      <c r="C771" s="14" t="s">
        <v>1983</v>
      </c>
      <c r="D771" s="14" t="s">
        <v>1984</v>
      </c>
      <c r="E771" s="14" t="s">
        <v>2268</v>
      </c>
      <c r="F771" s="14">
        <v>21</v>
      </c>
      <c r="G771" s="14">
        <v>58.32</v>
      </c>
      <c r="H771" s="14">
        <v>2.78</v>
      </c>
      <c r="I771" s="14">
        <v>40</v>
      </c>
      <c r="J771" s="14">
        <v>34.99</v>
      </c>
    </row>
    <row r="772" spans="1:10" hidden="1">
      <c r="A772" s="131" t="str">
        <f t="shared" si="12"/>
        <v>Immobilière Basse Seine_2018-07</v>
      </c>
      <c r="B772" s="14" t="s">
        <v>1410</v>
      </c>
      <c r="C772" s="14" t="s">
        <v>1532</v>
      </c>
      <c r="D772" s="14" t="s">
        <v>1533</v>
      </c>
      <c r="E772" s="14" t="s">
        <v>2144</v>
      </c>
      <c r="F772" s="14">
        <v>10</v>
      </c>
      <c r="G772" s="14">
        <v>72.39</v>
      </c>
      <c r="H772" s="14">
        <v>7.24</v>
      </c>
      <c r="I772" s="14">
        <v>40</v>
      </c>
      <c r="J772" s="14">
        <v>43.43</v>
      </c>
    </row>
    <row r="773" spans="1:10">
      <c r="A773" s="131" t="str">
        <f t="shared" si="12"/>
        <v>Immobilière Basse Seine_2018-08</v>
      </c>
      <c r="B773" s="14" t="s">
        <v>1410</v>
      </c>
      <c r="C773" s="14" t="s">
        <v>1532</v>
      </c>
      <c r="D773" s="14" t="s">
        <v>1533</v>
      </c>
      <c r="E773" s="14" t="s">
        <v>2189</v>
      </c>
      <c r="F773" s="14">
        <v>10</v>
      </c>
      <c r="G773" s="14">
        <v>42.48</v>
      </c>
      <c r="H773" s="14">
        <v>4.25</v>
      </c>
      <c r="I773" s="14">
        <v>40</v>
      </c>
      <c r="J773" s="14">
        <v>25.49</v>
      </c>
    </row>
    <row r="774" spans="1:10" hidden="1">
      <c r="A774" s="131" t="str">
        <f t="shared" si="12"/>
        <v>Immobilière Basse Seine_2018-09</v>
      </c>
      <c r="B774" s="14" t="s">
        <v>1410</v>
      </c>
      <c r="C774" s="14" t="s">
        <v>1532</v>
      </c>
      <c r="D774" s="14" t="s">
        <v>1533</v>
      </c>
      <c r="E774" s="14" t="s">
        <v>2268</v>
      </c>
      <c r="F774" s="14">
        <v>10</v>
      </c>
      <c r="G774" s="14">
        <v>204</v>
      </c>
      <c r="H774" s="14">
        <v>20.399999999999999</v>
      </c>
      <c r="I774" s="14">
        <v>40</v>
      </c>
      <c r="J774" s="14">
        <v>122.4</v>
      </c>
    </row>
    <row r="775" spans="1:10" hidden="1">
      <c r="A775" s="131" t="str">
        <f t="shared" si="12"/>
        <v>Immobilière Basse Seine_2018-07</v>
      </c>
      <c r="B775" s="14" t="s">
        <v>1410</v>
      </c>
      <c r="C775" s="14" t="s">
        <v>1823</v>
      </c>
      <c r="D775" s="14" t="s">
        <v>1824</v>
      </c>
      <c r="E775" s="14" t="s">
        <v>2144</v>
      </c>
      <c r="F775" s="14">
        <v>10</v>
      </c>
      <c r="G775" s="14">
        <v>352.79</v>
      </c>
      <c r="H775" s="14">
        <v>35.28</v>
      </c>
      <c r="I775" s="14">
        <v>40</v>
      </c>
      <c r="J775" s="14">
        <v>211.67</v>
      </c>
    </row>
    <row r="776" spans="1:10">
      <c r="A776" s="131" t="str">
        <f t="shared" si="12"/>
        <v>Immobilière Basse Seine_2018-08</v>
      </c>
      <c r="B776" s="14" t="s">
        <v>1410</v>
      </c>
      <c r="C776" s="14" t="s">
        <v>1823</v>
      </c>
      <c r="D776" s="14" t="s">
        <v>1824</v>
      </c>
      <c r="E776" s="14" t="s">
        <v>2189</v>
      </c>
      <c r="F776" s="14">
        <v>10</v>
      </c>
      <c r="G776" s="14">
        <v>336.02</v>
      </c>
      <c r="H776" s="14">
        <v>33.6</v>
      </c>
      <c r="I776" s="14">
        <v>40</v>
      </c>
      <c r="J776" s="14">
        <v>201.61</v>
      </c>
    </row>
    <row r="777" spans="1:10" hidden="1">
      <c r="A777" s="131" t="str">
        <f t="shared" si="12"/>
        <v>Immobilière Basse Seine_2018-09</v>
      </c>
      <c r="B777" s="14" t="s">
        <v>1410</v>
      </c>
      <c r="C777" s="14" t="s">
        <v>1823</v>
      </c>
      <c r="D777" s="14" t="s">
        <v>1824</v>
      </c>
      <c r="E777" s="14" t="s">
        <v>2268</v>
      </c>
      <c r="F777" s="14">
        <v>10</v>
      </c>
      <c r="G777" s="14">
        <v>257.97000000000003</v>
      </c>
      <c r="H777" s="14">
        <v>25.8</v>
      </c>
      <c r="I777" s="14">
        <v>40</v>
      </c>
      <c r="J777" s="14">
        <v>154.78</v>
      </c>
    </row>
    <row r="778" spans="1:10" hidden="1">
      <c r="A778" s="131" t="str">
        <f t="shared" si="12"/>
        <v>Immobilière Basse Seine_2018-07</v>
      </c>
      <c r="B778" s="14" t="s">
        <v>1410</v>
      </c>
      <c r="C778" s="14" t="s">
        <v>2158</v>
      </c>
      <c r="D778" s="14" t="s">
        <v>2159</v>
      </c>
      <c r="E778" s="14" t="s">
        <v>2144</v>
      </c>
      <c r="F778" s="14">
        <v>10</v>
      </c>
      <c r="G778" s="14">
        <v>4</v>
      </c>
      <c r="H778" s="14">
        <v>0.4</v>
      </c>
      <c r="I778" s="14">
        <v>40</v>
      </c>
      <c r="J778" s="14">
        <v>2.4</v>
      </c>
    </row>
    <row r="779" spans="1:10">
      <c r="A779" s="131" t="str">
        <f t="shared" si="12"/>
        <v>Immobilière Basse Seine_2018-08</v>
      </c>
      <c r="B779" s="14" t="s">
        <v>1410</v>
      </c>
      <c r="C779" s="14" t="s">
        <v>2158</v>
      </c>
      <c r="D779" s="14" t="s">
        <v>2159</v>
      </c>
      <c r="E779" s="14" t="s">
        <v>2189</v>
      </c>
      <c r="F779" s="14">
        <v>10</v>
      </c>
      <c r="G779" s="14">
        <v>23.1</v>
      </c>
      <c r="H779" s="14">
        <v>2.31</v>
      </c>
      <c r="I779" s="14">
        <v>40</v>
      </c>
      <c r="J779" s="14">
        <v>13.86</v>
      </c>
    </row>
    <row r="780" spans="1:10" hidden="1">
      <c r="A780" s="131" t="str">
        <f t="shared" si="12"/>
        <v>Immobilière Basse Seine_2018-09</v>
      </c>
      <c r="B780" s="14" t="s">
        <v>1410</v>
      </c>
      <c r="C780" s="14" t="s">
        <v>2158</v>
      </c>
      <c r="D780" s="14" t="s">
        <v>2159</v>
      </c>
      <c r="E780" s="14" t="s">
        <v>2268</v>
      </c>
      <c r="F780" s="14">
        <v>10</v>
      </c>
      <c r="G780" s="14">
        <v>155.77000000000001</v>
      </c>
      <c r="H780" s="14">
        <v>15.58</v>
      </c>
      <c r="I780" s="14">
        <v>40</v>
      </c>
      <c r="J780" s="14">
        <v>93.46</v>
      </c>
    </row>
    <row r="781" spans="1:10" hidden="1">
      <c r="A781" s="131" t="str">
        <f t="shared" si="12"/>
        <v>Immobilière Basse Seine_2018-07</v>
      </c>
      <c r="B781" s="14" t="s">
        <v>1410</v>
      </c>
      <c r="C781" s="14" t="s">
        <v>1534</v>
      </c>
      <c r="D781" s="14" t="s">
        <v>1535</v>
      </c>
      <c r="E781" s="14" t="s">
        <v>2144</v>
      </c>
      <c r="F781" s="14">
        <v>10</v>
      </c>
      <c r="G781" s="14">
        <v>311.77</v>
      </c>
      <c r="H781" s="14">
        <v>31.18</v>
      </c>
      <c r="I781" s="14">
        <v>40</v>
      </c>
      <c r="J781" s="14">
        <v>187.06</v>
      </c>
    </row>
    <row r="782" spans="1:10">
      <c r="A782" s="131" t="str">
        <f t="shared" si="12"/>
        <v>Immobilière Basse Seine_2018-08</v>
      </c>
      <c r="B782" s="14" t="s">
        <v>1410</v>
      </c>
      <c r="C782" s="14" t="s">
        <v>1534</v>
      </c>
      <c r="D782" s="14" t="s">
        <v>1535</v>
      </c>
      <c r="E782" s="14" t="s">
        <v>2189</v>
      </c>
      <c r="F782" s="14">
        <v>10</v>
      </c>
      <c r="G782" s="14">
        <v>344.52</v>
      </c>
      <c r="H782" s="14">
        <v>34.450000000000003</v>
      </c>
      <c r="I782" s="14">
        <v>40</v>
      </c>
      <c r="J782" s="14">
        <v>206.71</v>
      </c>
    </row>
    <row r="783" spans="1:10" hidden="1">
      <c r="A783" s="131" t="str">
        <f t="shared" si="12"/>
        <v>Immobilière Basse Seine_2018-09</v>
      </c>
      <c r="B783" s="14" t="s">
        <v>1410</v>
      </c>
      <c r="C783" s="14" t="s">
        <v>1534</v>
      </c>
      <c r="D783" s="14" t="s">
        <v>1535</v>
      </c>
      <c r="E783" s="14" t="s">
        <v>2268</v>
      </c>
      <c r="F783" s="14">
        <v>10</v>
      </c>
      <c r="G783" s="14">
        <v>374.51</v>
      </c>
      <c r="H783" s="14">
        <v>37.450000000000003</v>
      </c>
      <c r="I783" s="14">
        <v>40</v>
      </c>
      <c r="J783" s="14">
        <v>224.71</v>
      </c>
    </row>
    <row r="784" spans="1:10" hidden="1">
      <c r="A784" s="131" t="str">
        <f t="shared" si="12"/>
        <v>Immobilière Basse Seine_2018-07</v>
      </c>
      <c r="B784" s="14" t="s">
        <v>1410</v>
      </c>
      <c r="C784" s="14" t="s">
        <v>1536</v>
      </c>
      <c r="D784" s="14" t="s">
        <v>1537</v>
      </c>
      <c r="E784" s="14" t="s">
        <v>2144</v>
      </c>
      <c r="F784" s="14">
        <v>10</v>
      </c>
      <c r="G784" s="14">
        <v>107.42</v>
      </c>
      <c r="H784" s="14">
        <v>10.74</v>
      </c>
      <c r="I784" s="14">
        <v>40</v>
      </c>
      <c r="J784" s="14">
        <v>64.45</v>
      </c>
    </row>
    <row r="785" spans="1:10">
      <c r="A785" s="131" t="str">
        <f t="shared" si="12"/>
        <v>Immobilière Basse Seine_2018-08</v>
      </c>
      <c r="B785" s="14" t="s">
        <v>1410</v>
      </c>
      <c r="C785" s="14" t="s">
        <v>1536</v>
      </c>
      <c r="D785" s="14" t="s">
        <v>1537</v>
      </c>
      <c r="E785" s="14" t="s">
        <v>2189</v>
      </c>
      <c r="F785" s="14">
        <v>10</v>
      </c>
      <c r="G785" s="14">
        <v>91.33</v>
      </c>
      <c r="H785" s="14">
        <v>9.1300000000000008</v>
      </c>
      <c r="I785" s="14">
        <v>40</v>
      </c>
      <c r="J785" s="14">
        <v>54.8</v>
      </c>
    </row>
    <row r="786" spans="1:10" hidden="1">
      <c r="A786" s="131" t="str">
        <f t="shared" si="12"/>
        <v>Immobilière Basse Seine_2018-09</v>
      </c>
      <c r="B786" s="14" t="s">
        <v>1410</v>
      </c>
      <c r="C786" s="14" t="s">
        <v>1536</v>
      </c>
      <c r="D786" s="14" t="s">
        <v>1537</v>
      </c>
      <c r="E786" s="14" t="s">
        <v>2268</v>
      </c>
      <c r="F786" s="14">
        <v>10</v>
      </c>
      <c r="G786" s="14">
        <v>121</v>
      </c>
      <c r="H786" s="14">
        <v>12.1</v>
      </c>
      <c r="I786" s="14">
        <v>40</v>
      </c>
      <c r="J786" s="14">
        <v>72.599999999999994</v>
      </c>
    </row>
    <row r="787" spans="1:10" hidden="1">
      <c r="A787" s="131" t="str">
        <f t="shared" si="12"/>
        <v>Immobilière Midi-Pyrénées_2018-09</v>
      </c>
      <c r="B787" s="14" t="s">
        <v>2216</v>
      </c>
      <c r="C787" s="14" t="s">
        <v>2297</v>
      </c>
      <c r="D787" s="14" t="s">
        <v>535</v>
      </c>
      <c r="E787" s="14" t="s">
        <v>2268</v>
      </c>
      <c r="F787" s="14">
        <v>2</v>
      </c>
      <c r="G787" s="14">
        <v>25</v>
      </c>
      <c r="H787" s="14">
        <v>12.5</v>
      </c>
      <c r="I787" s="14">
        <v>40</v>
      </c>
      <c r="J787" s="14">
        <v>15</v>
      </c>
    </row>
    <row r="788" spans="1:10">
      <c r="A788" s="131" t="str">
        <f t="shared" si="12"/>
        <v>Immobilière Midi-Pyrénées_2018-08</v>
      </c>
      <c r="B788" s="14" t="s">
        <v>2216</v>
      </c>
      <c r="C788" s="14" t="s">
        <v>2217</v>
      </c>
      <c r="D788" s="14" t="s">
        <v>535</v>
      </c>
      <c r="E788" s="14" t="s">
        <v>2189</v>
      </c>
      <c r="F788" s="14">
        <v>3</v>
      </c>
      <c r="G788" s="14">
        <v>7.26</v>
      </c>
      <c r="H788" s="14">
        <v>2.42</v>
      </c>
      <c r="I788" s="14">
        <v>60</v>
      </c>
      <c r="J788" s="14">
        <v>2.9</v>
      </c>
    </row>
    <row r="789" spans="1:10" hidden="1">
      <c r="A789" s="131" t="str">
        <f t="shared" si="12"/>
        <v>Immobilière Midi-Pyrénées_2018-09</v>
      </c>
      <c r="B789" s="14" t="s">
        <v>2216</v>
      </c>
      <c r="C789" s="14" t="s">
        <v>2217</v>
      </c>
      <c r="D789" s="14" t="s">
        <v>535</v>
      </c>
      <c r="E789" s="14" t="s">
        <v>2268</v>
      </c>
      <c r="F789" s="14">
        <v>3</v>
      </c>
      <c r="G789" s="14">
        <v>30</v>
      </c>
      <c r="H789" s="14">
        <v>10</v>
      </c>
      <c r="I789" s="14">
        <v>60</v>
      </c>
      <c r="J789" s="14">
        <v>12</v>
      </c>
    </row>
    <row r="790" spans="1:10" hidden="1">
      <c r="A790" s="131" t="str">
        <f t="shared" si="12"/>
        <v>Immobilière Nord-Artois_2018-07</v>
      </c>
      <c r="B790" s="14" t="s">
        <v>1626</v>
      </c>
      <c r="C790" s="14" t="s">
        <v>1270</v>
      </c>
      <c r="D790" s="14" t="s">
        <v>1271</v>
      </c>
      <c r="E790" s="14" t="s">
        <v>2144</v>
      </c>
      <c r="F790" s="14">
        <v>10</v>
      </c>
      <c r="G790" s="14">
        <v>669.99</v>
      </c>
      <c r="H790" s="14">
        <v>67</v>
      </c>
      <c r="I790" s="14">
        <v>40</v>
      </c>
      <c r="J790" s="14">
        <v>401.99</v>
      </c>
    </row>
    <row r="791" spans="1:10">
      <c r="A791" s="131" t="str">
        <f t="shared" si="12"/>
        <v>Immobilière Nord-Artois_2018-08</v>
      </c>
      <c r="B791" s="14" t="s">
        <v>1626</v>
      </c>
      <c r="C791" s="14" t="s">
        <v>1270</v>
      </c>
      <c r="D791" s="14" t="s">
        <v>1271</v>
      </c>
      <c r="E791" s="14" t="s">
        <v>2189</v>
      </c>
      <c r="F791" s="14">
        <v>10</v>
      </c>
      <c r="G791" s="14">
        <v>837.57</v>
      </c>
      <c r="H791" s="14">
        <v>83.76</v>
      </c>
      <c r="I791" s="14">
        <v>40</v>
      </c>
      <c r="J791" s="14">
        <v>502.54</v>
      </c>
    </row>
    <row r="792" spans="1:10" hidden="1">
      <c r="A792" s="131" t="str">
        <f t="shared" si="12"/>
        <v>Immobilière Nord-Artois_2018-09</v>
      </c>
      <c r="B792" s="14" t="s">
        <v>1626</v>
      </c>
      <c r="C792" s="14" t="s">
        <v>1270</v>
      </c>
      <c r="D792" s="14" t="s">
        <v>1271</v>
      </c>
      <c r="E792" s="14" t="s">
        <v>2268</v>
      </c>
      <c r="F792" s="14">
        <v>10</v>
      </c>
      <c r="G792" s="14">
        <v>400.62</v>
      </c>
      <c r="H792" s="14">
        <v>40.06</v>
      </c>
      <c r="I792" s="14">
        <v>40</v>
      </c>
      <c r="J792" s="14">
        <v>240.37</v>
      </c>
    </row>
    <row r="793" spans="1:10" hidden="1">
      <c r="A793" s="131" t="str">
        <f t="shared" si="12"/>
        <v>Inter-Hotel Parc des Expositions Marseille_2018-07</v>
      </c>
      <c r="B793" s="14" t="s">
        <v>1960</v>
      </c>
      <c r="C793" s="14" t="s">
        <v>1985</v>
      </c>
      <c r="D793" s="14" t="s">
        <v>535</v>
      </c>
      <c r="E793" s="14" t="s">
        <v>2144</v>
      </c>
      <c r="F793" s="14">
        <v>4.9000000000000004</v>
      </c>
      <c r="G793" s="14">
        <v>134.6</v>
      </c>
      <c r="H793" s="14">
        <v>27.47</v>
      </c>
      <c r="I793" s="14">
        <v>40</v>
      </c>
      <c r="J793" s="14">
        <v>80.760000000000005</v>
      </c>
    </row>
    <row r="794" spans="1:10">
      <c r="A794" s="131" t="str">
        <f t="shared" si="12"/>
        <v>Inter-Hotel Parc des Expositions Marseille_2018-08</v>
      </c>
      <c r="B794" s="14" t="s">
        <v>1960</v>
      </c>
      <c r="C794" s="14" t="s">
        <v>1985</v>
      </c>
      <c r="D794" s="14" t="s">
        <v>535</v>
      </c>
      <c r="E794" s="14" t="s">
        <v>2189</v>
      </c>
      <c r="F794" s="14">
        <v>0.97</v>
      </c>
      <c r="G794" s="14">
        <v>26.24</v>
      </c>
      <c r="H794" s="14">
        <v>27.05</v>
      </c>
      <c r="I794" s="14">
        <v>40</v>
      </c>
      <c r="J794" s="14">
        <v>15.74</v>
      </c>
    </row>
    <row r="795" spans="1:10" hidden="1">
      <c r="A795" s="131" t="str">
        <f t="shared" si="12"/>
        <v>Inter-Hotel Parc des Expositions Marseille_2018-09</v>
      </c>
      <c r="B795" s="14" t="s">
        <v>1960</v>
      </c>
      <c r="C795" s="14" t="s">
        <v>1985</v>
      </c>
      <c r="D795" s="14" t="s">
        <v>535</v>
      </c>
      <c r="E795" s="14" t="s">
        <v>2268</v>
      </c>
      <c r="F795" s="14">
        <v>2</v>
      </c>
      <c r="G795" s="14">
        <v>52.34</v>
      </c>
      <c r="H795" s="14">
        <v>26.17</v>
      </c>
      <c r="I795" s="14">
        <v>40</v>
      </c>
      <c r="J795" s="14">
        <v>31.4</v>
      </c>
    </row>
    <row r="796" spans="1:10" hidden="1">
      <c r="A796" s="131" t="str">
        <f t="shared" si="12"/>
        <v>KLEY CAEN_2018-07</v>
      </c>
      <c r="B796" s="14" t="s">
        <v>739</v>
      </c>
      <c r="C796" s="14" t="s">
        <v>740</v>
      </c>
      <c r="D796" s="14" t="s">
        <v>535</v>
      </c>
      <c r="E796" s="14" t="s">
        <v>2144</v>
      </c>
      <c r="F796" s="14">
        <v>10</v>
      </c>
      <c r="G796" s="14">
        <v>42</v>
      </c>
      <c r="H796" s="14">
        <v>4.2</v>
      </c>
      <c r="I796" s="14">
        <v>40</v>
      </c>
      <c r="J796" s="14">
        <v>25.2</v>
      </c>
    </row>
    <row r="797" spans="1:10">
      <c r="A797" s="131" t="str">
        <f t="shared" si="12"/>
        <v>KLEY CAEN_2018-08</v>
      </c>
      <c r="B797" s="14" t="s">
        <v>739</v>
      </c>
      <c r="C797" s="14" t="s">
        <v>740</v>
      </c>
      <c r="D797" s="14" t="s">
        <v>535</v>
      </c>
      <c r="E797" s="14" t="s">
        <v>2189</v>
      </c>
      <c r="F797" s="14">
        <v>10</v>
      </c>
      <c r="G797" s="14">
        <v>35.549999999999997</v>
      </c>
      <c r="H797" s="14">
        <v>3.55</v>
      </c>
      <c r="I797" s="14">
        <v>40</v>
      </c>
      <c r="J797" s="14">
        <v>21.33</v>
      </c>
    </row>
    <row r="798" spans="1:10" hidden="1">
      <c r="A798" s="131" t="str">
        <f t="shared" si="12"/>
        <v>KLEY CAEN_2018-09</v>
      </c>
      <c r="B798" s="14" t="s">
        <v>739</v>
      </c>
      <c r="C798" s="14" t="s">
        <v>740</v>
      </c>
      <c r="D798" s="14" t="s">
        <v>535</v>
      </c>
      <c r="E798" s="14" t="s">
        <v>2268</v>
      </c>
      <c r="F798" s="14">
        <v>10</v>
      </c>
      <c r="G798" s="14">
        <v>46.3</v>
      </c>
      <c r="H798" s="14">
        <v>4.63</v>
      </c>
      <c r="I798" s="14">
        <v>40</v>
      </c>
      <c r="J798" s="14">
        <v>27.78</v>
      </c>
    </row>
    <row r="799" spans="1:10">
      <c r="A799" s="131" t="str">
        <f t="shared" si="12"/>
        <v>KONG_2018-08</v>
      </c>
      <c r="B799" s="154" t="s">
        <v>2247</v>
      </c>
      <c r="C799" s="14" t="s">
        <v>2218</v>
      </c>
      <c r="D799" s="14" t="s">
        <v>535</v>
      </c>
      <c r="E799" s="14" t="s">
        <v>2189</v>
      </c>
      <c r="F799" s="14">
        <v>1</v>
      </c>
      <c r="G799" s="14">
        <v>70</v>
      </c>
      <c r="H799" s="14">
        <v>70</v>
      </c>
      <c r="I799" s="14">
        <v>35</v>
      </c>
      <c r="J799" s="14">
        <v>45.5</v>
      </c>
    </row>
    <row r="800" spans="1:10" hidden="1">
      <c r="A800" s="131" t="str">
        <f t="shared" si="12"/>
        <v>Kyriad Le Bourget_2018-07</v>
      </c>
      <c r="B800" s="14" t="s">
        <v>2095</v>
      </c>
      <c r="C800" s="14" t="s">
        <v>741</v>
      </c>
      <c r="D800" s="14" t="s">
        <v>535</v>
      </c>
      <c r="E800" s="14" t="s">
        <v>2144</v>
      </c>
      <c r="F800" s="14">
        <v>15</v>
      </c>
      <c r="G800" s="14">
        <v>216.5</v>
      </c>
      <c r="H800" s="14">
        <v>14.43</v>
      </c>
      <c r="I800" s="14">
        <v>45</v>
      </c>
      <c r="J800" s="14">
        <v>119.08</v>
      </c>
    </row>
    <row r="801" spans="1:10">
      <c r="A801" s="131" t="str">
        <f t="shared" si="12"/>
        <v>Kyriad Le Bourget_2018-08</v>
      </c>
      <c r="B801" s="14" t="s">
        <v>2095</v>
      </c>
      <c r="C801" s="14" t="s">
        <v>741</v>
      </c>
      <c r="D801" s="14" t="s">
        <v>535</v>
      </c>
      <c r="E801" s="14" t="s">
        <v>2189</v>
      </c>
      <c r="F801" s="14">
        <v>15</v>
      </c>
      <c r="G801" s="14">
        <v>233.91</v>
      </c>
      <c r="H801" s="14">
        <v>15.59</v>
      </c>
      <c r="I801" s="14">
        <v>45</v>
      </c>
      <c r="J801" s="14">
        <v>128.65</v>
      </c>
    </row>
    <row r="802" spans="1:10" hidden="1">
      <c r="A802" s="131" t="str">
        <f t="shared" si="12"/>
        <v>Kyriad Le Bourget_2018-09</v>
      </c>
      <c r="B802" s="14" t="s">
        <v>2095</v>
      </c>
      <c r="C802" s="14" t="s">
        <v>741</v>
      </c>
      <c r="D802" s="14" t="s">
        <v>535</v>
      </c>
      <c r="E802" s="14" t="s">
        <v>2268</v>
      </c>
      <c r="F802" s="14">
        <v>15</v>
      </c>
      <c r="G802" s="14">
        <v>330.4</v>
      </c>
      <c r="H802" s="14">
        <v>22.03</v>
      </c>
      <c r="I802" s="14">
        <v>45</v>
      </c>
      <c r="J802" s="14">
        <v>181.72</v>
      </c>
    </row>
    <row r="803" spans="1:10" hidden="1">
      <c r="A803" s="131" t="str">
        <f t="shared" si="12"/>
        <v>La Cité Jardins_2018-07</v>
      </c>
      <c r="B803" s="14" t="s">
        <v>742</v>
      </c>
      <c r="C803" s="14" t="s">
        <v>743</v>
      </c>
      <c r="D803" s="14" t="s">
        <v>744</v>
      </c>
      <c r="E803" s="14" t="s">
        <v>2144</v>
      </c>
      <c r="F803" s="14">
        <v>10</v>
      </c>
      <c r="G803" s="14">
        <v>243</v>
      </c>
      <c r="H803" s="14">
        <v>24.3</v>
      </c>
      <c r="I803" s="14">
        <v>35</v>
      </c>
      <c r="J803" s="14">
        <v>157.94999999999999</v>
      </c>
    </row>
    <row r="804" spans="1:10">
      <c r="A804" s="131" t="str">
        <f t="shared" si="12"/>
        <v>La Cité Jardins_2018-08</v>
      </c>
      <c r="B804" s="14" t="s">
        <v>742</v>
      </c>
      <c r="C804" s="14" t="s">
        <v>743</v>
      </c>
      <c r="D804" s="14" t="s">
        <v>744</v>
      </c>
      <c r="E804" s="14" t="s">
        <v>2189</v>
      </c>
      <c r="F804" s="14">
        <v>10</v>
      </c>
      <c r="G804" s="14">
        <v>182.55</v>
      </c>
      <c r="H804" s="14">
        <v>18.260000000000002</v>
      </c>
      <c r="I804" s="14">
        <v>35</v>
      </c>
      <c r="J804" s="14">
        <v>118.66</v>
      </c>
    </row>
    <row r="805" spans="1:10" hidden="1">
      <c r="A805" s="131" t="str">
        <f t="shared" si="12"/>
        <v>La Cité Jardins_2018-09</v>
      </c>
      <c r="B805" s="14" t="s">
        <v>742</v>
      </c>
      <c r="C805" s="14" t="s">
        <v>743</v>
      </c>
      <c r="D805" s="14" t="s">
        <v>744</v>
      </c>
      <c r="E805" s="14" t="s">
        <v>2268</v>
      </c>
      <c r="F805" s="14">
        <v>10</v>
      </c>
      <c r="G805" s="14">
        <v>265.89999999999998</v>
      </c>
      <c r="H805" s="14">
        <v>26.59</v>
      </c>
      <c r="I805" s="14">
        <v>35</v>
      </c>
      <c r="J805" s="14">
        <v>172.84</v>
      </c>
    </row>
    <row r="806" spans="1:10" hidden="1">
      <c r="A806" s="131" t="str">
        <f t="shared" si="12"/>
        <v>La Cité Jardins_2018-07</v>
      </c>
      <c r="B806" s="14" t="s">
        <v>742</v>
      </c>
      <c r="C806" s="14" t="s">
        <v>1413</v>
      </c>
      <c r="D806" s="14" t="s">
        <v>1414</v>
      </c>
      <c r="E806" s="14" t="s">
        <v>2144</v>
      </c>
      <c r="F806" s="14">
        <v>10</v>
      </c>
      <c r="G806" s="14">
        <v>366.09</v>
      </c>
      <c r="H806" s="14">
        <v>36.61</v>
      </c>
      <c r="I806" s="14">
        <v>35</v>
      </c>
      <c r="J806" s="14">
        <v>237.96</v>
      </c>
    </row>
    <row r="807" spans="1:10">
      <c r="A807" s="131" t="str">
        <f t="shared" si="12"/>
        <v>La Cité Jardins_2018-08</v>
      </c>
      <c r="B807" s="14" t="s">
        <v>742</v>
      </c>
      <c r="C807" s="14" t="s">
        <v>1413</v>
      </c>
      <c r="D807" s="14" t="s">
        <v>1414</v>
      </c>
      <c r="E807" s="14" t="s">
        <v>2189</v>
      </c>
      <c r="F807" s="14">
        <v>10</v>
      </c>
      <c r="G807" s="14">
        <v>252.92</v>
      </c>
      <c r="H807" s="14">
        <v>25.29</v>
      </c>
      <c r="I807" s="14">
        <v>35</v>
      </c>
      <c r="J807" s="14">
        <v>164.4</v>
      </c>
    </row>
    <row r="808" spans="1:10" hidden="1">
      <c r="A808" s="131" t="str">
        <f t="shared" si="12"/>
        <v>La Cité Jardins_2018-09</v>
      </c>
      <c r="B808" s="14" t="s">
        <v>742</v>
      </c>
      <c r="C808" s="14" t="s">
        <v>1413</v>
      </c>
      <c r="D808" s="14" t="s">
        <v>1414</v>
      </c>
      <c r="E808" s="14" t="s">
        <v>2268</v>
      </c>
      <c r="F808" s="14">
        <v>10</v>
      </c>
      <c r="G808" s="14">
        <v>309.70999999999998</v>
      </c>
      <c r="H808" s="14">
        <v>30.97</v>
      </c>
      <c r="I808" s="14">
        <v>35</v>
      </c>
      <c r="J808" s="14">
        <v>201.31</v>
      </c>
    </row>
    <row r="809" spans="1:10">
      <c r="A809" s="131" t="str">
        <f t="shared" si="12"/>
        <v>Laurent Parking_2018-08</v>
      </c>
      <c r="B809" s="14" t="s">
        <v>263</v>
      </c>
      <c r="C809" s="14" t="s">
        <v>2219</v>
      </c>
      <c r="D809" s="14" t="s">
        <v>535</v>
      </c>
      <c r="E809" s="14" t="s">
        <v>2189</v>
      </c>
      <c r="F809" s="14">
        <v>50</v>
      </c>
      <c r="G809" s="14">
        <v>84</v>
      </c>
      <c r="H809" s="14">
        <v>1.68</v>
      </c>
      <c r="I809" s="14">
        <v>20</v>
      </c>
      <c r="J809" s="14">
        <v>67.2</v>
      </c>
    </row>
    <row r="810" spans="1:10" hidden="1">
      <c r="A810" s="131" t="str">
        <f t="shared" si="12"/>
        <v>Laurent Parking_2018-09</v>
      </c>
      <c r="B810" s="14" t="s">
        <v>263</v>
      </c>
      <c r="C810" s="14" t="s">
        <v>2219</v>
      </c>
      <c r="D810" s="14" t="s">
        <v>535</v>
      </c>
      <c r="E810" s="14" t="s">
        <v>2268</v>
      </c>
      <c r="F810" s="14">
        <v>50</v>
      </c>
      <c r="G810" s="14">
        <v>32</v>
      </c>
      <c r="H810" s="14">
        <v>0.64</v>
      </c>
      <c r="I810" s="14">
        <v>20</v>
      </c>
      <c r="J810" s="14">
        <v>25.6</v>
      </c>
    </row>
    <row r="811" spans="1:10" hidden="1">
      <c r="A811" s="131" t="str">
        <f t="shared" ref="A811:A874" si="13">CONCATENATE(B811,"_",E811)</f>
        <v>Les Estudines Lille_2018-07</v>
      </c>
      <c r="B811" s="14" t="s">
        <v>2096</v>
      </c>
      <c r="C811" s="14" t="s">
        <v>1187</v>
      </c>
      <c r="D811" s="14" t="s">
        <v>535</v>
      </c>
      <c r="E811" s="14" t="s">
        <v>2144</v>
      </c>
      <c r="F811" s="14">
        <v>5</v>
      </c>
      <c r="G811" s="14">
        <v>239.52</v>
      </c>
      <c r="H811" s="14">
        <v>47.9</v>
      </c>
      <c r="I811" s="14">
        <v>40</v>
      </c>
      <c r="J811" s="14">
        <v>143.71</v>
      </c>
    </row>
    <row r="812" spans="1:10">
      <c r="A812" s="131" t="str">
        <f t="shared" si="13"/>
        <v>Les Estudines Lille_2018-08</v>
      </c>
      <c r="B812" s="14" t="s">
        <v>2096</v>
      </c>
      <c r="C812" s="14" t="s">
        <v>1187</v>
      </c>
      <c r="D812" s="14" t="s">
        <v>535</v>
      </c>
      <c r="E812" s="14" t="s">
        <v>2189</v>
      </c>
      <c r="F812" s="14">
        <v>5</v>
      </c>
      <c r="G812" s="14">
        <v>451.29</v>
      </c>
      <c r="H812" s="14">
        <v>90.26</v>
      </c>
      <c r="I812" s="14">
        <v>40</v>
      </c>
      <c r="J812" s="14">
        <v>270.77</v>
      </c>
    </row>
    <row r="813" spans="1:10" hidden="1">
      <c r="A813" s="131" t="str">
        <f t="shared" si="13"/>
        <v>Les Estudines Lille_2018-09</v>
      </c>
      <c r="B813" s="14" t="s">
        <v>2096</v>
      </c>
      <c r="C813" s="14" t="s">
        <v>1187</v>
      </c>
      <c r="D813" s="14" t="s">
        <v>535</v>
      </c>
      <c r="E813" s="14" t="s">
        <v>2268</v>
      </c>
      <c r="F813" s="14">
        <v>5.4</v>
      </c>
      <c r="G813" s="14">
        <v>308.25</v>
      </c>
      <c r="H813" s="14">
        <v>57.08</v>
      </c>
      <c r="I813" s="14">
        <v>40</v>
      </c>
      <c r="J813" s="14">
        <v>184.95</v>
      </c>
    </row>
    <row r="814" spans="1:10" hidden="1">
      <c r="A814" s="131" t="str">
        <f t="shared" si="13"/>
        <v>Les Estudines Metz_2018-07</v>
      </c>
      <c r="B814" s="14" t="s">
        <v>2097</v>
      </c>
      <c r="C814" s="14" t="s">
        <v>1417</v>
      </c>
      <c r="D814" s="14" t="s">
        <v>535</v>
      </c>
      <c r="E814" s="14" t="s">
        <v>2144</v>
      </c>
      <c r="F814" s="14">
        <v>5</v>
      </c>
      <c r="G814" s="14">
        <v>351.22</v>
      </c>
      <c r="H814" s="14">
        <v>70.239999999999995</v>
      </c>
      <c r="I814" s="14">
        <v>40</v>
      </c>
      <c r="J814" s="14">
        <v>210.73</v>
      </c>
    </row>
    <row r="815" spans="1:10">
      <c r="A815" s="131" t="str">
        <f t="shared" si="13"/>
        <v>Les Estudines Metz_2018-08</v>
      </c>
      <c r="B815" s="14" t="s">
        <v>2097</v>
      </c>
      <c r="C815" s="14" t="s">
        <v>1417</v>
      </c>
      <c r="D815" s="14" t="s">
        <v>535</v>
      </c>
      <c r="E815" s="14" t="s">
        <v>2189</v>
      </c>
      <c r="F815" s="14">
        <v>5</v>
      </c>
      <c r="G815" s="14">
        <v>300.31</v>
      </c>
      <c r="H815" s="14">
        <v>60.06</v>
      </c>
      <c r="I815" s="14">
        <v>40</v>
      </c>
      <c r="J815" s="14">
        <v>180.19</v>
      </c>
    </row>
    <row r="816" spans="1:10" hidden="1">
      <c r="A816" s="131" t="str">
        <f t="shared" si="13"/>
        <v>Les Estudines Metz_2018-09</v>
      </c>
      <c r="B816" s="14" t="s">
        <v>2097</v>
      </c>
      <c r="C816" s="14" t="s">
        <v>1417</v>
      </c>
      <c r="D816" s="14" t="s">
        <v>535</v>
      </c>
      <c r="E816" s="14" t="s">
        <v>2268</v>
      </c>
      <c r="F816" s="14">
        <v>5</v>
      </c>
      <c r="G816" s="14">
        <v>428.99</v>
      </c>
      <c r="H816" s="14">
        <v>85.8</v>
      </c>
      <c r="I816" s="14">
        <v>40</v>
      </c>
      <c r="J816" s="14">
        <v>257.39</v>
      </c>
    </row>
    <row r="817" spans="1:10" hidden="1">
      <c r="A817" s="131" t="str">
        <f t="shared" si="13"/>
        <v>Lille Métropole Habitat_2018-07</v>
      </c>
      <c r="B817" s="14" t="s">
        <v>587</v>
      </c>
      <c r="C817" s="14" t="s">
        <v>1047</v>
      </c>
      <c r="D817" s="14" t="s">
        <v>535</v>
      </c>
      <c r="E817" s="14" t="s">
        <v>2144</v>
      </c>
      <c r="F817" s="14">
        <v>8</v>
      </c>
      <c r="G817" s="14">
        <v>278.43</v>
      </c>
      <c r="H817" s="14">
        <v>34.799999999999997</v>
      </c>
      <c r="I817" s="14">
        <v>30</v>
      </c>
      <c r="J817" s="14">
        <v>194.9</v>
      </c>
    </row>
    <row r="818" spans="1:10">
      <c r="A818" s="131" t="str">
        <f t="shared" si="13"/>
        <v>Lille Métropole Habitat_2018-08</v>
      </c>
      <c r="B818" s="14" t="s">
        <v>587</v>
      </c>
      <c r="C818" s="14" t="s">
        <v>1047</v>
      </c>
      <c r="D818" s="14" t="s">
        <v>535</v>
      </c>
      <c r="E818" s="14" t="s">
        <v>2189</v>
      </c>
      <c r="F818" s="14">
        <v>8</v>
      </c>
      <c r="G818" s="14">
        <v>209.78</v>
      </c>
      <c r="H818" s="14">
        <v>26.22</v>
      </c>
      <c r="I818" s="14">
        <v>30</v>
      </c>
      <c r="J818" s="14">
        <v>146.85</v>
      </c>
    </row>
    <row r="819" spans="1:10" hidden="1">
      <c r="A819" s="131" t="str">
        <f t="shared" si="13"/>
        <v>Lille Métropole Habitat_2018-09</v>
      </c>
      <c r="B819" s="14" t="s">
        <v>587</v>
      </c>
      <c r="C819" s="14" t="s">
        <v>1047</v>
      </c>
      <c r="D819" s="14" t="s">
        <v>535</v>
      </c>
      <c r="E819" s="14" t="s">
        <v>2268</v>
      </c>
      <c r="F819" s="14">
        <v>8</v>
      </c>
      <c r="G819" s="14">
        <v>220.03</v>
      </c>
      <c r="H819" s="14">
        <v>27.5</v>
      </c>
      <c r="I819" s="14">
        <v>30</v>
      </c>
      <c r="J819" s="14">
        <v>154.02000000000001</v>
      </c>
    </row>
    <row r="820" spans="1:10" hidden="1">
      <c r="A820" s="131" t="str">
        <f t="shared" si="13"/>
        <v>Lille Métropole Habitat_2018-07</v>
      </c>
      <c r="B820" s="14" t="s">
        <v>587</v>
      </c>
      <c r="C820" s="14" t="s">
        <v>745</v>
      </c>
      <c r="D820" s="14" t="s">
        <v>746</v>
      </c>
      <c r="E820" s="14" t="s">
        <v>2144</v>
      </c>
      <c r="F820" s="14">
        <v>12</v>
      </c>
      <c r="G820" s="14">
        <v>162.49</v>
      </c>
      <c r="H820" s="14">
        <v>13.54</v>
      </c>
      <c r="I820" s="14">
        <v>30</v>
      </c>
      <c r="J820" s="14">
        <v>113.74</v>
      </c>
    </row>
    <row r="821" spans="1:10">
      <c r="A821" s="131" t="str">
        <f t="shared" si="13"/>
        <v>Lille Métropole Habitat_2018-08</v>
      </c>
      <c r="B821" s="14" t="s">
        <v>587</v>
      </c>
      <c r="C821" s="14" t="s">
        <v>745</v>
      </c>
      <c r="D821" s="14" t="s">
        <v>746</v>
      </c>
      <c r="E821" s="14" t="s">
        <v>2189</v>
      </c>
      <c r="F821" s="14">
        <v>12</v>
      </c>
      <c r="G821" s="14">
        <v>182.9</v>
      </c>
      <c r="H821" s="14">
        <v>15.24</v>
      </c>
      <c r="I821" s="14">
        <v>30</v>
      </c>
      <c r="J821" s="14">
        <v>128.03</v>
      </c>
    </row>
    <row r="822" spans="1:10" hidden="1">
      <c r="A822" s="131" t="str">
        <f t="shared" si="13"/>
        <v>Lille Métropole Habitat_2018-09</v>
      </c>
      <c r="B822" s="14" t="s">
        <v>587</v>
      </c>
      <c r="C822" s="14" t="s">
        <v>745</v>
      </c>
      <c r="D822" s="14" t="s">
        <v>746</v>
      </c>
      <c r="E822" s="14" t="s">
        <v>2268</v>
      </c>
      <c r="F822" s="14">
        <v>12</v>
      </c>
      <c r="G822" s="14">
        <v>331.02</v>
      </c>
      <c r="H822" s="14">
        <v>27.58</v>
      </c>
      <c r="I822" s="14">
        <v>30</v>
      </c>
      <c r="J822" s="14">
        <v>231.71</v>
      </c>
    </row>
    <row r="823" spans="1:10" hidden="1">
      <c r="A823" s="131" t="str">
        <f t="shared" si="13"/>
        <v>Lille Métropole Habitat_2018-07</v>
      </c>
      <c r="B823" s="14" t="s">
        <v>587</v>
      </c>
      <c r="C823" s="14" t="s">
        <v>747</v>
      </c>
      <c r="D823" s="14" t="s">
        <v>748</v>
      </c>
      <c r="E823" s="14" t="s">
        <v>2144</v>
      </c>
      <c r="F823" s="14">
        <v>6</v>
      </c>
      <c r="G823" s="14">
        <v>144.16999999999999</v>
      </c>
      <c r="H823" s="14">
        <v>24.03</v>
      </c>
      <c r="I823" s="14">
        <v>30</v>
      </c>
      <c r="J823" s="14">
        <v>100.92</v>
      </c>
    </row>
    <row r="824" spans="1:10">
      <c r="A824" s="131" t="str">
        <f t="shared" si="13"/>
        <v>Lille Métropole Habitat_2018-08</v>
      </c>
      <c r="B824" s="14" t="s">
        <v>587</v>
      </c>
      <c r="C824" s="14" t="s">
        <v>747</v>
      </c>
      <c r="D824" s="14" t="s">
        <v>748</v>
      </c>
      <c r="E824" s="14" t="s">
        <v>2189</v>
      </c>
      <c r="F824" s="14">
        <v>6</v>
      </c>
      <c r="G824" s="14">
        <v>224.92</v>
      </c>
      <c r="H824" s="14">
        <v>37.49</v>
      </c>
      <c r="I824" s="14">
        <v>30</v>
      </c>
      <c r="J824" s="14">
        <v>157.44</v>
      </c>
    </row>
    <row r="825" spans="1:10" hidden="1">
      <c r="A825" s="131" t="str">
        <f t="shared" si="13"/>
        <v>Lille Métropole Habitat_2018-09</v>
      </c>
      <c r="B825" s="14" t="s">
        <v>587</v>
      </c>
      <c r="C825" s="14" t="s">
        <v>747</v>
      </c>
      <c r="D825" s="14" t="s">
        <v>748</v>
      </c>
      <c r="E825" s="14" t="s">
        <v>2268</v>
      </c>
      <c r="F825" s="14">
        <v>6</v>
      </c>
      <c r="G825" s="14">
        <v>66.61</v>
      </c>
      <c r="H825" s="14">
        <v>11.1</v>
      </c>
      <c r="I825" s="14">
        <v>30</v>
      </c>
      <c r="J825" s="14">
        <v>46.63</v>
      </c>
    </row>
    <row r="826" spans="1:10" hidden="1">
      <c r="A826" s="131" t="str">
        <f t="shared" si="13"/>
        <v>Lille Métropole Habitat_2018-07</v>
      </c>
      <c r="B826" s="14" t="s">
        <v>587</v>
      </c>
      <c r="C826" s="14" t="s">
        <v>1986</v>
      </c>
      <c r="D826" s="14" t="s">
        <v>1987</v>
      </c>
      <c r="E826" s="14" t="s">
        <v>2144</v>
      </c>
      <c r="F826" s="14">
        <v>1.1599999999999999</v>
      </c>
      <c r="G826" s="14">
        <v>-48.88</v>
      </c>
      <c r="H826" s="14">
        <v>-42.14</v>
      </c>
      <c r="I826" s="14">
        <v>35</v>
      </c>
      <c r="J826" s="14">
        <v>-31.77</v>
      </c>
    </row>
    <row r="827" spans="1:10">
      <c r="A827" s="131" t="str">
        <f t="shared" si="13"/>
        <v>Lille Métropole Habitat_2018-08</v>
      </c>
      <c r="B827" s="14" t="s">
        <v>587</v>
      </c>
      <c r="C827" s="14" t="s">
        <v>1986</v>
      </c>
      <c r="D827" s="14" t="s">
        <v>1987</v>
      </c>
      <c r="E827" s="14" t="s">
        <v>2189</v>
      </c>
      <c r="F827" s="14">
        <v>6</v>
      </c>
      <c r="G827" s="14">
        <v>243.5</v>
      </c>
      <c r="H827" s="14">
        <v>40.58</v>
      </c>
      <c r="I827" s="14">
        <v>35</v>
      </c>
      <c r="J827" s="14">
        <v>158.28</v>
      </c>
    </row>
    <row r="828" spans="1:10" hidden="1">
      <c r="A828" s="131" t="str">
        <f t="shared" si="13"/>
        <v>Lille Métropole Habitat_2018-09</v>
      </c>
      <c r="B828" s="14" t="s">
        <v>587</v>
      </c>
      <c r="C828" s="14" t="s">
        <v>1986</v>
      </c>
      <c r="D828" s="14" t="s">
        <v>1987</v>
      </c>
      <c r="E828" s="14" t="s">
        <v>2268</v>
      </c>
      <c r="F828" s="14">
        <v>6</v>
      </c>
      <c r="G828" s="14">
        <v>132.78</v>
      </c>
      <c r="H828" s="14">
        <v>22.13</v>
      </c>
      <c r="I828" s="14">
        <v>35</v>
      </c>
      <c r="J828" s="14">
        <v>86.31</v>
      </c>
    </row>
    <row r="829" spans="1:10" hidden="1">
      <c r="A829" s="131" t="str">
        <f t="shared" si="13"/>
        <v>Lille Métropole Habitat_2018-07</v>
      </c>
      <c r="B829" s="14" t="s">
        <v>587</v>
      </c>
      <c r="C829" s="14" t="s">
        <v>1048</v>
      </c>
      <c r="D829" s="14" t="s">
        <v>535</v>
      </c>
      <c r="E829" s="14" t="s">
        <v>2144</v>
      </c>
      <c r="F829" s="14">
        <v>6</v>
      </c>
      <c r="G829" s="14">
        <v>243.64</v>
      </c>
      <c r="H829" s="14">
        <v>40.61</v>
      </c>
      <c r="I829" s="14">
        <v>30</v>
      </c>
      <c r="J829" s="14">
        <v>170.55</v>
      </c>
    </row>
    <row r="830" spans="1:10">
      <c r="A830" s="131" t="str">
        <f t="shared" si="13"/>
        <v>Lille Métropole Habitat_2018-08</v>
      </c>
      <c r="B830" s="14" t="s">
        <v>587</v>
      </c>
      <c r="C830" s="14" t="s">
        <v>1048</v>
      </c>
      <c r="D830" s="14" t="s">
        <v>535</v>
      </c>
      <c r="E830" s="14" t="s">
        <v>2189</v>
      </c>
      <c r="F830" s="14">
        <v>6</v>
      </c>
      <c r="G830" s="14">
        <v>342</v>
      </c>
      <c r="H830" s="14">
        <v>57</v>
      </c>
      <c r="I830" s="14">
        <v>30</v>
      </c>
      <c r="J830" s="14">
        <v>239.4</v>
      </c>
    </row>
    <row r="831" spans="1:10" hidden="1">
      <c r="A831" s="131" t="str">
        <f t="shared" si="13"/>
        <v>Lille Métropole Habitat_2018-09</v>
      </c>
      <c r="B831" s="14" t="s">
        <v>587</v>
      </c>
      <c r="C831" s="14" t="s">
        <v>1048</v>
      </c>
      <c r="D831" s="14" t="s">
        <v>535</v>
      </c>
      <c r="E831" s="14" t="s">
        <v>2268</v>
      </c>
      <c r="F831" s="14">
        <v>6</v>
      </c>
      <c r="G831" s="14">
        <v>316.43</v>
      </c>
      <c r="H831" s="14">
        <v>52.74</v>
      </c>
      <c r="I831" s="14">
        <v>30</v>
      </c>
      <c r="J831" s="14">
        <v>221.5</v>
      </c>
    </row>
    <row r="832" spans="1:10" hidden="1">
      <c r="A832" s="131" t="str">
        <f t="shared" si="13"/>
        <v>Lille Métropole Habitat_2018-07</v>
      </c>
      <c r="B832" s="14" t="s">
        <v>587</v>
      </c>
      <c r="C832" s="14" t="s">
        <v>749</v>
      </c>
      <c r="D832" s="14" t="s">
        <v>750</v>
      </c>
      <c r="E832" s="14" t="s">
        <v>2144</v>
      </c>
      <c r="F832" s="14">
        <v>29</v>
      </c>
      <c r="G832" s="14">
        <v>603.15</v>
      </c>
      <c r="H832" s="14">
        <v>20.8</v>
      </c>
      <c r="I832" s="14">
        <v>30</v>
      </c>
      <c r="J832" s="14">
        <v>422.2</v>
      </c>
    </row>
    <row r="833" spans="1:10">
      <c r="A833" s="131" t="str">
        <f t="shared" si="13"/>
        <v>Lille Métropole Habitat_2018-08</v>
      </c>
      <c r="B833" s="14" t="s">
        <v>587</v>
      </c>
      <c r="C833" s="14" t="s">
        <v>749</v>
      </c>
      <c r="D833" s="14" t="s">
        <v>750</v>
      </c>
      <c r="E833" s="14" t="s">
        <v>2189</v>
      </c>
      <c r="F833" s="14">
        <v>29</v>
      </c>
      <c r="G833" s="14">
        <v>886.45</v>
      </c>
      <c r="H833" s="14">
        <v>30.57</v>
      </c>
      <c r="I833" s="14">
        <v>30</v>
      </c>
      <c r="J833" s="14">
        <v>620.51</v>
      </c>
    </row>
    <row r="834" spans="1:10" hidden="1">
      <c r="A834" s="131" t="str">
        <f t="shared" si="13"/>
        <v>Lille Métropole Habitat_2018-09</v>
      </c>
      <c r="B834" s="14" t="s">
        <v>587</v>
      </c>
      <c r="C834" s="14" t="s">
        <v>749</v>
      </c>
      <c r="D834" s="14" t="s">
        <v>750</v>
      </c>
      <c r="E834" s="14" t="s">
        <v>2268</v>
      </c>
      <c r="F834" s="14">
        <v>29</v>
      </c>
      <c r="G834" s="14">
        <v>925.71</v>
      </c>
      <c r="H834" s="14">
        <v>31.92</v>
      </c>
      <c r="I834" s="14">
        <v>30</v>
      </c>
      <c r="J834" s="14">
        <v>648</v>
      </c>
    </row>
    <row r="835" spans="1:10" hidden="1">
      <c r="A835" s="131" t="str">
        <f t="shared" si="13"/>
        <v>Lille Métropole Habitat_2018-07</v>
      </c>
      <c r="B835" s="14" t="s">
        <v>587</v>
      </c>
      <c r="C835" s="14" t="s">
        <v>751</v>
      </c>
      <c r="D835" s="14" t="s">
        <v>752</v>
      </c>
      <c r="E835" s="14" t="s">
        <v>2144</v>
      </c>
      <c r="F835" s="14">
        <v>15</v>
      </c>
      <c r="G835" s="14">
        <v>183.11</v>
      </c>
      <c r="H835" s="14">
        <v>12.21</v>
      </c>
      <c r="I835" s="14">
        <v>30</v>
      </c>
      <c r="J835" s="14">
        <v>128.18</v>
      </c>
    </row>
    <row r="836" spans="1:10">
      <c r="A836" s="131" t="str">
        <f t="shared" si="13"/>
        <v>Lille Métropole Habitat_2018-08</v>
      </c>
      <c r="B836" s="14" t="s">
        <v>587</v>
      </c>
      <c r="C836" s="14" t="s">
        <v>751</v>
      </c>
      <c r="D836" s="14" t="s">
        <v>752</v>
      </c>
      <c r="E836" s="14" t="s">
        <v>2189</v>
      </c>
      <c r="F836" s="14">
        <v>15</v>
      </c>
      <c r="G836" s="14">
        <v>340.03</v>
      </c>
      <c r="H836" s="14">
        <v>22.67</v>
      </c>
      <c r="I836" s="14">
        <v>30</v>
      </c>
      <c r="J836" s="14">
        <v>238.02</v>
      </c>
    </row>
    <row r="837" spans="1:10" hidden="1">
      <c r="A837" s="131" t="str">
        <f t="shared" si="13"/>
        <v>Lille Métropole Habitat_2018-09</v>
      </c>
      <c r="B837" s="14" t="s">
        <v>587</v>
      </c>
      <c r="C837" s="14" t="s">
        <v>751</v>
      </c>
      <c r="D837" s="14" t="s">
        <v>752</v>
      </c>
      <c r="E837" s="14" t="s">
        <v>2268</v>
      </c>
      <c r="F837" s="14">
        <v>15</v>
      </c>
      <c r="G837" s="14">
        <v>370.83</v>
      </c>
      <c r="H837" s="14">
        <v>24.72</v>
      </c>
      <c r="I837" s="14">
        <v>30</v>
      </c>
      <c r="J837" s="14">
        <v>259.58</v>
      </c>
    </row>
    <row r="838" spans="1:10" hidden="1">
      <c r="A838" s="131" t="str">
        <f t="shared" si="13"/>
        <v>Lille Métropole Habitat_2018-07</v>
      </c>
      <c r="B838" s="14" t="s">
        <v>587</v>
      </c>
      <c r="C838" s="14" t="s">
        <v>1988</v>
      </c>
      <c r="D838" s="14" t="s">
        <v>1989</v>
      </c>
      <c r="E838" s="14" t="s">
        <v>2144</v>
      </c>
      <c r="F838" s="14">
        <v>6</v>
      </c>
      <c r="G838" s="14">
        <v>860.17</v>
      </c>
      <c r="H838" s="14">
        <v>143.36000000000001</v>
      </c>
      <c r="I838" s="14">
        <v>35</v>
      </c>
      <c r="J838" s="14">
        <v>559.11</v>
      </c>
    </row>
    <row r="839" spans="1:10">
      <c r="A839" s="131" t="str">
        <f t="shared" si="13"/>
        <v>Lille Métropole Habitat_2018-08</v>
      </c>
      <c r="B839" s="14" t="s">
        <v>587</v>
      </c>
      <c r="C839" s="14" t="s">
        <v>1988</v>
      </c>
      <c r="D839" s="14" t="s">
        <v>1989</v>
      </c>
      <c r="E839" s="14" t="s">
        <v>2189</v>
      </c>
      <c r="F839" s="14">
        <v>6</v>
      </c>
      <c r="G839" s="14">
        <v>1069.48</v>
      </c>
      <c r="H839" s="14">
        <v>178.25</v>
      </c>
      <c r="I839" s="14">
        <v>35</v>
      </c>
      <c r="J839" s="14">
        <v>695.16</v>
      </c>
    </row>
    <row r="840" spans="1:10" hidden="1">
      <c r="A840" s="131" t="str">
        <f t="shared" si="13"/>
        <v>Lille Métropole Habitat_2018-09</v>
      </c>
      <c r="B840" s="14" t="s">
        <v>587</v>
      </c>
      <c r="C840" s="14" t="s">
        <v>1988</v>
      </c>
      <c r="D840" s="14" t="s">
        <v>1989</v>
      </c>
      <c r="E840" s="14" t="s">
        <v>2268</v>
      </c>
      <c r="F840" s="14">
        <v>6</v>
      </c>
      <c r="G840" s="14">
        <v>1299.48</v>
      </c>
      <c r="H840" s="14">
        <v>216.58</v>
      </c>
      <c r="I840" s="14">
        <v>35</v>
      </c>
      <c r="J840" s="14">
        <v>844.66</v>
      </c>
    </row>
    <row r="841" spans="1:10" hidden="1">
      <c r="A841" s="131" t="str">
        <f t="shared" si="13"/>
        <v>Lille Métropole Habitat_2018-07</v>
      </c>
      <c r="B841" s="14" t="s">
        <v>587</v>
      </c>
      <c r="C841" s="14" t="s">
        <v>753</v>
      </c>
      <c r="D841" s="14" t="s">
        <v>535</v>
      </c>
      <c r="E841" s="14" t="s">
        <v>2144</v>
      </c>
      <c r="F841" s="14">
        <v>6</v>
      </c>
      <c r="G841" s="14">
        <v>888.74</v>
      </c>
      <c r="H841" s="14">
        <v>148.12</v>
      </c>
      <c r="I841" s="14">
        <v>30</v>
      </c>
      <c r="J841" s="14">
        <v>622.12</v>
      </c>
    </row>
    <row r="842" spans="1:10">
      <c r="A842" s="131" t="str">
        <f t="shared" si="13"/>
        <v>Lille Métropole Habitat_2018-08</v>
      </c>
      <c r="B842" s="14" t="s">
        <v>587</v>
      </c>
      <c r="C842" s="14" t="s">
        <v>753</v>
      </c>
      <c r="D842" s="14" t="s">
        <v>535</v>
      </c>
      <c r="E842" s="14" t="s">
        <v>2189</v>
      </c>
      <c r="F842" s="14">
        <v>10.84</v>
      </c>
      <c r="G842" s="14">
        <v>375.86</v>
      </c>
      <c r="H842" s="14">
        <v>34.67</v>
      </c>
      <c r="I842" s="14">
        <v>30</v>
      </c>
      <c r="J842" s="14">
        <v>263.10000000000002</v>
      </c>
    </row>
    <row r="843" spans="1:10" hidden="1">
      <c r="A843" s="131" t="str">
        <f t="shared" si="13"/>
        <v>Lille Métropole Habitat_2018-09</v>
      </c>
      <c r="B843" s="14" t="s">
        <v>587</v>
      </c>
      <c r="C843" s="14" t="s">
        <v>753</v>
      </c>
      <c r="D843" s="14" t="s">
        <v>535</v>
      </c>
      <c r="E843" s="14" t="s">
        <v>2268</v>
      </c>
      <c r="F843" s="14">
        <v>12</v>
      </c>
      <c r="G843" s="14">
        <v>504.03</v>
      </c>
      <c r="H843" s="14">
        <v>42</v>
      </c>
      <c r="I843" s="14">
        <v>30</v>
      </c>
      <c r="J843" s="14">
        <v>352.82</v>
      </c>
    </row>
    <row r="844" spans="1:10" hidden="1">
      <c r="A844" s="131" t="str">
        <f t="shared" si="13"/>
        <v>Lille Métropole Habitat_2018-07</v>
      </c>
      <c r="B844" s="14" t="s">
        <v>587</v>
      </c>
      <c r="C844" s="14" t="s">
        <v>1990</v>
      </c>
      <c r="D844" s="14" t="s">
        <v>1991</v>
      </c>
      <c r="E844" s="14" t="s">
        <v>2144</v>
      </c>
      <c r="F844" s="14">
        <v>4</v>
      </c>
      <c r="G844" s="14">
        <v>279.94</v>
      </c>
      <c r="H844" s="14">
        <v>69.98</v>
      </c>
      <c r="I844" s="14">
        <v>30</v>
      </c>
      <c r="J844" s="14">
        <v>195.96</v>
      </c>
    </row>
    <row r="845" spans="1:10">
      <c r="A845" s="131" t="str">
        <f t="shared" si="13"/>
        <v>Lille Métropole Habitat_2018-08</v>
      </c>
      <c r="B845" s="14" t="s">
        <v>587</v>
      </c>
      <c r="C845" s="14" t="s">
        <v>1990</v>
      </c>
      <c r="D845" s="14" t="s">
        <v>1991</v>
      </c>
      <c r="E845" s="14" t="s">
        <v>2189</v>
      </c>
      <c r="F845" s="14">
        <v>4</v>
      </c>
      <c r="G845" s="14">
        <v>380.47</v>
      </c>
      <c r="H845" s="14">
        <v>95.12</v>
      </c>
      <c r="I845" s="14">
        <v>30</v>
      </c>
      <c r="J845" s="14">
        <v>266.33</v>
      </c>
    </row>
    <row r="846" spans="1:10" hidden="1">
      <c r="A846" s="131" t="str">
        <f t="shared" si="13"/>
        <v>Lille Métropole Habitat_2018-09</v>
      </c>
      <c r="B846" s="14" t="s">
        <v>587</v>
      </c>
      <c r="C846" s="14" t="s">
        <v>1990</v>
      </c>
      <c r="D846" s="14" t="s">
        <v>1991</v>
      </c>
      <c r="E846" s="14" t="s">
        <v>2268</v>
      </c>
      <c r="F846" s="14">
        <v>4</v>
      </c>
      <c r="G846" s="14">
        <v>380</v>
      </c>
      <c r="H846" s="14">
        <v>95</v>
      </c>
      <c r="I846" s="14">
        <v>30</v>
      </c>
      <c r="J846" s="14">
        <v>266</v>
      </c>
    </row>
    <row r="847" spans="1:10" hidden="1">
      <c r="A847" s="131" t="str">
        <f t="shared" si="13"/>
        <v>Lille Métropole Habitat_2018-07</v>
      </c>
      <c r="B847" s="14" t="s">
        <v>587</v>
      </c>
      <c r="C847" s="14" t="s">
        <v>2009</v>
      </c>
      <c r="D847" s="14" t="s">
        <v>2010</v>
      </c>
      <c r="E847" s="14" t="s">
        <v>2144</v>
      </c>
      <c r="F847" s="14">
        <v>7</v>
      </c>
      <c r="G847" s="14">
        <v>558.75</v>
      </c>
      <c r="H847" s="14">
        <v>79.819999999999993</v>
      </c>
      <c r="I847" s="14">
        <v>35</v>
      </c>
      <c r="J847" s="14">
        <v>363.19</v>
      </c>
    </row>
    <row r="848" spans="1:10">
      <c r="A848" s="131" t="str">
        <f t="shared" si="13"/>
        <v>Lille Métropole Habitat_2018-08</v>
      </c>
      <c r="B848" s="14" t="s">
        <v>587</v>
      </c>
      <c r="C848" s="14" t="s">
        <v>2009</v>
      </c>
      <c r="D848" s="14" t="s">
        <v>2010</v>
      </c>
      <c r="E848" s="14" t="s">
        <v>2189</v>
      </c>
      <c r="F848" s="14">
        <v>7</v>
      </c>
      <c r="G848" s="14">
        <v>608.42999999999995</v>
      </c>
      <c r="H848" s="14">
        <v>86.92</v>
      </c>
      <c r="I848" s="14">
        <v>35</v>
      </c>
      <c r="J848" s="14">
        <v>395.48</v>
      </c>
    </row>
    <row r="849" spans="1:10" hidden="1">
      <c r="A849" s="131" t="str">
        <f t="shared" si="13"/>
        <v>Lille Métropole Habitat_2018-09</v>
      </c>
      <c r="B849" s="14" t="s">
        <v>587</v>
      </c>
      <c r="C849" s="14" t="s">
        <v>2009</v>
      </c>
      <c r="D849" s="14" t="s">
        <v>2010</v>
      </c>
      <c r="E849" s="14" t="s">
        <v>2268</v>
      </c>
      <c r="F849" s="14">
        <v>7</v>
      </c>
      <c r="G849" s="14">
        <v>781.54</v>
      </c>
      <c r="H849" s="14">
        <v>111.65</v>
      </c>
      <c r="I849" s="14">
        <v>35</v>
      </c>
      <c r="J849" s="14">
        <v>508</v>
      </c>
    </row>
    <row r="850" spans="1:10" hidden="1">
      <c r="A850" s="131" t="str">
        <f t="shared" si="13"/>
        <v>Lille Métropole Habitat_2018-07</v>
      </c>
      <c r="B850" s="14" t="s">
        <v>587</v>
      </c>
      <c r="C850" s="14" t="s">
        <v>1049</v>
      </c>
      <c r="D850" s="14" t="s">
        <v>535</v>
      </c>
      <c r="E850" s="14" t="s">
        <v>2144</v>
      </c>
      <c r="F850" s="14">
        <v>3</v>
      </c>
      <c r="G850" s="14">
        <v>407.45</v>
      </c>
      <c r="H850" s="14">
        <v>135.82</v>
      </c>
      <c r="I850" s="14">
        <v>30</v>
      </c>
      <c r="J850" s="14">
        <v>285.20999999999998</v>
      </c>
    </row>
    <row r="851" spans="1:10">
      <c r="A851" s="131" t="str">
        <f t="shared" si="13"/>
        <v>Lille Métropole Habitat_2018-08</v>
      </c>
      <c r="B851" s="14" t="s">
        <v>587</v>
      </c>
      <c r="C851" s="14" t="s">
        <v>1049</v>
      </c>
      <c r="D851" s="14" t="s">
        <v>535</v>
      </c>
      <c r="E851" s="14" t="s">
        <v>2189</v>
      </c>
      <c r="F851" s="14">
        <v>3</v>
      </c>
      <c r="G851" s="14">
        <v>241.64</v>
      </c>
      <c r="H851" s="14">
        <v>80.55</v>
      </c>
      <c r="I851" s="14">
        <v>30</v>
      </c>
      <c r="J851" s="14">
        <v>169.15</v>
      </c>
    </row>
    <row r="852" spans="1:10" hidden="1">
      <c r="A852" s="131" t="str">
        <f t="shared" si="13"/>
        <v>Lille Métropole Habitat_2018-09</v>
      </c>
      <c r="B852" s="14" t="s">
        <v>587</v>
      </c>
      <c r="C852" s="14" t="s">
        <v>1049</v>
      </c>
      <c r="D852" s="14" t="s">
        <v>535</v>
      </c>
      <c r="E852" s="14" t="s">
        <v>2268</v>
      </c>
      <c r="F852" s="14">
        <v>3</v>
      </c>
      <c r="G852" s="14">
        <v>27.11</v>
      </c>
      <c r="H852" s="14">
        <v>9.0399999999999991</v>
      </c>
      <c r="I852" s="14">
        <v>30</v>
      </c>
      <c r="J852" s="14">
        <v>18.98</v>
      </c>
    </row>
    <row r="853" spans="1:10" hidden="1">
      <c r="A853" s="131" t="str">
        <f t="shared" si="13"/>
        <v>Lille Métropole Habitat_2018-07</v>
      </c>
      <c r="B853" s="14" t="s">
        <v>587</v>
      </c>
      <c r="C853" s="14" t="s">
        <v>1905</v>
      </c>
      <c r="D853" s="14" t="s">
        <v>535</v>
      </c>
      <c r="E853" s="14" t="s">
        <v>2144</v>
      </c>
      <c r="F853" s="14">
        <v>8</v>
      </c>
      <c r="G853" s="14">
        <v>197.13</v>
      </c>
      <c r="H853" s="14">
        <v>24.64</v>
      </c>
      <c r="I853" s="14">
        <v>30</v>
      </c>
      <c r="J853" s="14">
        <v>137.99</v>
      </c>
    </row>
    <row r="854" spans="1:10">
      <c r="A854" s="131" t="str">
        <f t="shared" si="13"/>
        <v>Lille Métropole Habitat_2018-08</v>
      </c>
      <c r="B854" s="14" t="s">
        <v>587</v>
      </c>
      <c r="C854" s="14" t="s">
        <v>1905</v>
      </c>
      <c r="D854" s="14" t="s">
        <v>535</v>
      </c>
      <c r="E854" s="14" t="s">
        <v>2189</v>
      </c>
      <c r="F854" s="14">
        <v>8</v>
      </c>
      <c r="G854" s="14">
        <v>127.27</v>
      </c>
      <c r="H854" s="14">
        <v>15.91</v>
      </c>
      <c r="I854" s="14">
        <v>30</v>
      </c>
      <c r="J854" s="14">
        <v>89.09</v>
      </c>
    </row>
    <row r="855" spans="1:10" hidden="1">
      <c r="A855" s="131" t="str">
        <f t="shared" si="13"/>
        <v>Lille Métropole Habitat_2018-09</v>
      </c>
      <c r="B855" s="14" t="s">
        <v>587</v>
      </c>
      <c r="C855" s="14" t="s">
        <v>1905</v>
      </c>
      <c r="D855" s="14" t="s">
        <v>535</v>
      </c>
      <c r="E855" s="14" t="s">
        <v>2268</v>
      </c>
      <c r="F855" s="14">
        <v>8</v>
      </c>
      <c r="G855" s="14">
        <v>264.08999999999997</v>
      </c>
      <c r="H855" s="14">
        <v>33.01</v>
      </c>
      <c r="I855" s="14">
        <v>30</v>
      </c>
      <c r="J855" s="14">
        <v>184.86</v>
      </c>
    </row>
    <row r="856" spans="1:10" hidden="1">
      <c r="A856" s="131" t="str">
        <f t="shared" si="13"/>
        <v>Lille Métropole Habitat_2018-07</v>
      </c>
      <c r="B856" s="14" t="s">
        <v>587</v>
      </c>
      <c r="C856" s="14" t="s">
        <v>1992</v>
      </c>
      <c r="D856" s="14" t="s">
        <v>1993</v>
      </c>
      <c r="E856" s="14" t="s">
        <v>2144</v>
      </c>
      <c r="F856" s="14">
        <v>8</v>
      </c>
      <c r="G856" s="14">
        <v>57.23</v>
      </c>
      <c r="H856" s="14">
        <v>7.15</v>
      </c>
      <c r="I856" s="14">
        <v>35</v>
      </c>
      <c r="J856" s="14">
        <v>37.200000000000003</v>
      </c>
    </row>
    <row r="857" spans="1:10">
      <c r="A857" s="131" t="str">
        <f t="shared" si="13"/>
        <v>Lille Métropole Habitat_2018-08</v>
      </c>
      <c r="B857" s="14" t="s">
        <v>587</v>
      </c>
      <c r="C857" s="14" t="s">
        <v>1992</v>
      </c>
      <c r="D857" s="14" t="s">
        <v>1993</v>
      </c>
      <c r="E857" s="14" t="s">
        <v>2189</v>
      </c>
      <c r="F857" s="14">
        <v>8</v>
      </c>
      <c r="G857" s="14">
        <v>263.49</v>
      </c>
      <c r="H857" s="14">
        <v>32.94</v>
      </c>
      <c r="I857" s="14">
        <v>35</v>
      </c>
      <c r="J857" s="14">
        <v>171.27</v>
      </c>
    </row>
    <row r="858" spans="1:10" hidden="1">
      <c r="A858" s="131" t="str">
        <f t="shared" si="13"/>
        <v>Lille Métropole Habitat_2018-09</v>
      </c>
      <c r="B858" s="14" t="s">
        <v>587</v>
      </c>
      <c r="C858" s="14" t="s">
        <v>1992</v>
      </c>
      <c r="D858" s="14" t="s">
        <v>1993</v>
      </c>
      <c r="E858" s="14" t="s">
        <v>2268</v>
      </c>
      <c r="F858" s="14">
        <v>8</v>
      </c>
      <c r="G858" s="14">
        <v>135.4</v>
      </c>
      <c r="H858" s="14">
        <v>16.93</v>
      </c>
      <c r="I858" s="14">
        <v>35</v>
      </c>
      <c r="J858" s="14">
        <v>88.01</v>
      </c>
    </row>
    <row r="859" spans="1:10" hidden="1">
      <c r="A859" s="131" t="str">
        <f t="shared" si="13"/>
        <v>Lille Métropole Habitat_2018-07</v>
      </c>
      <c r="B859" s="14" t="s">
        <v>587</v>
      </c>
      <c r="C859" s="14" t="s">
        <v>1050</v>
      </c>
      <c r="D859" s="14" t="s">
        <v>535</v>
      </c>
      <c r="E859" s="14" t="s">
        <v>2144</v>
      </c>
      <c r="F859" s="14">
        <v>4.6100000000000003</v>
      </c>
      <c r="G859" s="14">
        <v>179</v>
      </c>
      <c r="H859" s="14">
        <v>38.83</v>
      </c>
      <c r="I859" s="14">
        <v>30</v>
      </c>
      <c r="J859" s="14">
        <v>125.3</v>
      </c>
    </row>
    <row r="860" spans="1:10">
      <c r="A860" s="131" t="str">
        <f t="shared" si="13"/>
        <v>Lille Métropole Habitat_2018-08</v>
      </c>
      <c r="B860" s="14" t="s">
        <v>587</v>
      </c>
      <c r="C860" s="14" t="s">
        <v>1050</v>
      </c>
      <c r="D860" s="14" t="s">
        <v>535</v>
      </c>
      <c r="E860" s="14" t="s">
        <v>2189</v>
      </c>
      <c r="F860" s="14">
        <v>5</v>
      </c>
      <c r="G860" s="14">
        <v>188.03</v>
      </c>
      <c r="H860" s="14">
        <v>37.61</v>
      </c>
      <c r="I860" s="14">
        <v>30</v>
      </c>
      <c r="J860" s="14">
        <v>131.62</v>
      </c>
    </row>
    <row r="861" spans="1:10" hidden="1">
      <c r="A861" s="131" t="str">
        <f t="shared" si="13"/>
        <v>Lille Métropole Habitat_2018-09</v>
      </c>
      <c r="B861" s="14" t="s">
        <v>587</v>
      </c>
      <c r="C861" s="14" t="s">
        <v>1050</v>
      </c>
      <c r="D861" s="14" t="s">
        <v>535</v>
      </c>
      <c r="E861" s="14" t="s">
        <v>2268</v>
      </c>
      <c r="F861" s="14">
        <v>5</v>
      </c>
      <c r="G861" s="14">
        <v>168.41</v>
      </c>
      <c r="H861" s="14">
        <v>33.68</v>
      </c>
      <c r="I861" s="14">
        <v>30</v>
      </c>
      <c r="J861" s="14">
        <v>117.89</v>
      </c>
    </row>
    <row r="862" spans="1:10" hidden="1">
      <c r="A862" s="131" t="str">
        <f t="shared" si="13"/>
        <v>Lille Métropole Habitat_2018-07</v>
      </c>
      <c r="B862" s="14" t="s">
        <v>587</v>
      </c>
      <c r="C862" s="14" t="s">
        <v>754</v>
      </c>
      <c r="D862" s="14" t="s">
        <v>755</v>
      </c>
      <c r="E862" s="14" t="s">
        <v>2144</v>
      </c>
      <c r="F862" s="14">
        <v>8</v>
      </c>
      <c r="G862" s="14">
        <v>242.01</v>
      </c>
      <c r="H862" s="14">
        <v>30.25</v>
      </c>
      <c r="I862" s="14">
        <v>30</v>
      </c>
      <c r="J862" s="14">
        <v>169.41</v>
      </c>
    </row>
    <row r="863" spans="1:10">
      <c r="A863" s="131" t="str">
        <f t="shared" si="13"/>
        <v>Lille Métropole Habitat_2018-08</v>
      </c>
      <c r="B863" s="14" t="s">
        <v>587</v>
      </c>
      <c r="C863" s="14" t="s">
        <v>754</v>
      </c>
      <c r="D863" s="14" t="s">
        <v>755</v>
      </c>
      <c r="E863" s="14" t="s">
        <v>2189</v>
      </c>
      <c r="F863" s="14">
        <v>8</v>
      </c>
      <c r="G863" s="14">
        <v>184.09</v>
      </c>
      <c r="H863" s="14">
        <v>23.01</v>
      </c>
      <c r="I863" s="14">
        <v>30</v>
      </c>
      <c r="J863" s="14">
        <v>128.86000000000001</v>
      </c>
    </row>
    <row r="864" spans="1:10" hidden="1">
      <c r="A864" s="131" t="str">
        <f t="shared" si="13"/>
        <v>Lille Métropole Habitat_2018-09</v>
      </c>
      <c r="B864" s="14" t="s">
        <v>587</v>
      </c>
      <c r="C864" s="14" t="s">
        <v>754</v>
      </c>
      <c r="D864" s="14" t="s">
        <v>755</v>
      </c>
      <c r="E864" s="14" t="s">
        <v>2268</v>
      </c>
      <c r="F864" s="14">
        <v>8</v>
      </c>
      <c r="G864" s="14">
        <v>314.73</v>
      </c>
      <c r="H864" s="14">
        <v>39.340000000000003</v>
      </c>
      <c r="I864" s="14">
        <v>30</v>
      </c>
      <c r="J864" s="14">
        <v>220.31</v>
      </c>
    </row>
    <row r="865" spans="1:10" hidden="1">
      <c r="A865" s="131" t="str">
        <f t="shared" si="13"/>
        <v>Lille Métropole Habitat_2018-07</v>
      </c>
      <c r="B865" s="14" t="s">
        <v>587</v>
      </c>
      <c r="C865" s="14" t="s">
        <v>756</v>
      </c>
      <c r="D865" s="14" t="s">
        <v>535</v>
      </c>
      <c r="E865" s="14" t="s">
        <v>2144</v>
      </c>
      <c r="F865" s="14">
        <v>5</v>
      </c>
      <c r="G865" s="14">
        <v>177</v>
      </c>
      <c r="H865" s="14">
        <v>35.4</v>
      </c>
      <c r="I865" s="14">
        <v>30</v>
      </c>
      <c r="J865" s="14">
        <v>123.9</v>
      </c>
    </row>
    <row r="866" spans="1:10">
      <c r="A866" s="131" t="str">
        <f t="shared" si="13"/>
        <v>Lille Métropole Habitat_2018-08</v>
      </c>
      <c r="B866" s="14" t="s">
        <v>587</v>
      </c>
      <c r="C866" s="14" t="s">
        <v>756</v>
      </c>
      <c r="D866" s="14" t="s">
        <v>535</v>
      </c>
      <c r="E866" s="14" t="s">
        <v>2189</v>
      </c>
      <c r="F866" s="14">
        <v>5</v>
      </c>
      <c r="G866" s="14">
        <v>411.53</v>
      </c>
      <c r="H866" s="14">
        <v>82.31</v>
      </c>
      <c r="I866" s="14">
        <v>30</v>
      </c>
      <c r="J866" s="14">
        <v>288.07</v>
      </c>
    </row>
    <row r="867" spans="1:10" hidden="1">
      <c r="A867" s="131" t="str">
        <f t="shared" si="13"/>
        <v>Lille Métropole Habitat_2018-09</v>
      </c>
      <c r="B867" s="14" t="s">
        <v>587</v>
      </c>
      <c r="C867" s="14" t="s">
        <v>756</v>
      </c>
      <c r="D867" s="14" t="s">
        <v>535</v>
      </c>
      <c r="E867" s="14" t="s">
        <v>2268</v>
      </c>
      <c r="F867" s="14">
        <v>5</v>
      </c>
      <c r="G867" s="14">
        <v>472.72</v>
      </c>
      <c r="H867" s="14">
        <v>94.54</v>
      </c>
      <c r="I867" s="14">
        <v>30</v>
      </c>
      <c r="J867" s="14">
        <v>330.9</v>
      </c>
    </row>
    <row r="868" spans="1:10" hidden="1">
      <c r="A868" s="131" t="str">
        <f t="shared" si="13"/>
        <v>Lille Métropole Habitat_2018-07</v>
      </c>
      <c r="B868" s="14" t="s">
        <v>587</v>
      </c>
      <c r="C868" s="14" t="s">
        <v>757</v>
      </c>
      <c r="D868" s="14" t="s">
        <v>535</v>
      </c>
      <c r="E868" s="14" t="s">
        <v>2144</v>
      </c>
      <c r="F868" s="14">
        <v>3</v>
      </c>
      <c r="G868" s="14">
        <v>170</v>
      </c>
      <c r="H868" s="14">
        <v>56.67</v>
      </c>
      <c r="I868" s="14">
        <v>30</v>
      </c>
      <c r="J868" s="14">
        <v>119</v>
      </c>
    </row>
    <row r="869" spans="1:10">
      <c r="A869" s="131" t="str">
        <f t="shared" si="13"/>
        <v>Lille Métropole Habitat_2018-08</v>
      </c>
      <c r="B869" s="14" t="s">
        <v>587</v>
      </c>
      <c r="C869" s="14" t="s">
        <v>757</v>
      </c>
      <c r="D869" s="14" t="s">
        <v>535</v>
      </c>
      <c r="E869" s="14" t="s">
        <v>2189</v>
      </c>
      <c r="F869" s="14">
        <v>3</v>
      </c>
      <c r="G869" s="14">
        <v>170</v>
      </c>
      <c r="H869" s="14">
        <v>56.67</v>
      </c>
      <c r="I869" s="14">
        <v>30</v>
      </c>
      <c r="J869" s="14">
        <v>119</v>
      </c>
    </row>
    <row r="870" spans="1:10" hidden="1">
      <c r="A870" s="131" t="str">
        <f t="shared" si="13"/>
        <v>Lille Métropole Habitat_2018-09</v>
      </c>
      <c r="B870" s="14" t="s">
        <v>587</v>
      </c>
      <c r="C870" s="14" t="s">
        <v>757</v>
      </c>
      <c r="D870" s="14" t="s">
        <v>535</v>
      </c>
      <c r="E870" s="14" t="s">
        <v>2268</v>
      </c>
      <c r="F870" s="14">
        <v>3</v>
      </c>
      <c r="G870" s="14">
        <v>170</v>
      </c>
      <c r="H870" s="14">
        <v>56.67</v>
      </c>
      <c r="I870" s="14">
        <v>30</v>
      </c>
      <c r="J870" s="14">
        <v>119</v>
      </c>
    </row>
    <row r="871" spans="1:10" hidden="1">
      <c r="A871" s="131" t="str">
        <f t="shared" si="13"/>
        <v>Lille Métropole Habitat_2018-07</v>
      </c>
      <c r="B871" s="14" t="s">
        <v>587</v>
      </c>
      <c r="C871" s="14" t="s">
        <v>1906</v>
      </c>
      <c r="D871" s="14" t="s">
        <v>535</v>
      </c>
      <c r="E871" s="14" t="s">
        <v>2144</v>
      </c>
      <c r="F871" s="14">
        <v>4</v>
      </c>
      <c r="G871" s="14">
        <v>90</v>
      </c>
      <c r="H871" s="14">
        <v>22.5</v>
      </c>
      <c r="I871" s="14">
        <v>30</v>
      </c>
      <c r="J871" s="14">
        <v>63</v>
      </c>
    </row>
    <row r="872" spans="1:10">
      <c r="A872" s="131" t="str">
        <f t="shared" si="13"/>
        <v>Lille Métropole Habitat_2018-08</v>
      </c>
      <c r="B872" s="14" t="s">
        <v>587</v>
      </c>
      <c r="C872" s="14" t="s">
        <v>1906</v>
      </c>
      <c r="D872" s="14" t="s">
        <v>535</v>
      </c>
      <c r="E872" s="14" t="s">
        <v>2189</v>
      </c>
      <c r="F872" s="14">
        <v>4</v>
      </c>
      <c r="G872" s="14">
        <v>138.21</v>
      </c>
      <c r="H872" s="14">
        <v>34.549999999999997</v>
      </c>
      <c r="I872" s="14">
        <v>30</v>
      </c>
      <c r="J872" s="14">
        <v>96.75</v>
      </c>
    </row>
    <row r="873" spans="1:10" hidden="1">
      <c r="A873" s="131" t="str">
        <f t="shared" si="13"/>
        <v>Lille Métropole Habitat_2018-09</v>
      </c>
      <c r="B873" s="14" t="s">
        <v>587</v>
      </c>
      <c r="C873" s="14" t="s">
        <v>1906</v>
      </c>
      <c r="D873" s="14" t="s">
        <v>535</v>
      </c>
      <c r="E873" s="14" t="s">
        <v>2268</v>
      </c>
      <c r="F873" s="14">
        <v>4</v>
      </c>
      <c r="G873" s="14">
        <v>109.7</v>
      </c>
      <c r="H873" s="14">
        <v>27.43</v>
      </c>
      <c r="I873" s="14">
        <v>30</v>
      </c>
      <c r="J873" s="14">
        <v>76.790000000000006</v>
      </c>
    </row>
    <row r="874" spans="1:10" hidden="1">
      <c r="A874" s="131" t="str">
        <f t="shared" si="13"/>
        <v>Lille Métropole Habitat_2018-07</v>
      </c>
      <c r="B874" s="14" t="s">
        <v>587</v>
      </c>
      <c r="C874" s="14" t="s">
        <v>758</v>
      </c>
      <c r="D874" s="14" t="s">
        <v>759</v>
      </c>
      <c r="E874" s="14" t="s">
        <v>2144</v>
      </c>
      <c r="F874" s="14">
        <v>14</v>
      </c>
      <c r="G874" s="14">
        <v>225.13</v>
      </c>
      <c r="H874" s="14">
        <v>16.079999999999998</v>
      </c>
      <c r="I874" s="14">
        <v>30</v>
      </c>
      <c r="J874" s="14">
        <v>157.59</v>
      </c>
    </row>
    <row r="875" spans="1:10">
      <c r="A875" s="131" t="str">
        <f t="shared" ref="A875:A938" si="14">CONCATENATE(B875,"_",E875)</f>
        <v>Lille Métropole Habitat_2018-08</v>
      </c>
      <c r="B875" s="14" t="s">
        <v>587</v>
      </c>
      <c r="C875" s="14" t="s">
        <v>758</v>
      </c>
      <c r="D875" s="14" t="s">
        <v>759</v>
      </c>
      <c r="E875" s="14" t="s">
        <v>2189</v>
      </c>
      <c r="F875" s="14">
        <v>14</v>
      </c>
      <c r="G875" s="14">
        <v>235.89</v>
      </c>
      <c r="H875" s="14">
        <v>16.850000000000001</v>
      </c>
      <c r="I875" s="14">
        <v>30</v>
      </c>
      <c r="J875" s="14">
        <v>165.12</v>
      </c>
    </row>
    <row r="876" spans="1:10" hidden="1">
      <c r="A876" s="131" t="str">
        <f t="shared" si="14"/>
        <v>Lille Métropole Habitat_2018-09</v>
      </c>
      <c r="B876" s="14" t="s">
        <v>587</v>
      </c>
      <c r="C876" s="14" t="s">
        <v>758</v>
      </c>
      <c r="D876" s="14" t="s">
        <v>759</v>
      </c>
      <c r="E876" s="14" t="s">
        <v>2268</v>
      </c>
      <c r="F876" s="14">
        <v>14</v>
      </c>
      <c r="G876" s="14">
        <v>263.18</v>
      </c>
      <c r="H876" s="14">
        <v>18.8</v>
      </c>
      <c r="I876" s="14">
        <v>30</v>
      </c>
      <c r="J876" s="14">
        <v>184.23</v>
      </c>
    </row>
    <row r="877" spans="1:10" hidden="1">
      <c r="A877" s="131" t="str">
        <f t="shared" si="14"/>
        <v>Lille Métropole Habitat_2018-07</v>
      </c>
      <c r="B877" s="14" t="s">
        <v>587</v>
      </c>
      <c r="C877" s="14" t="s">
        <v>1272</v>
      </c>
      <c r="D877" s="14" t="s">
        <v>1273</v>
      </c>
      <c r="E877" s="14" t="s">
        <v>2144</v>
      </c>
      <c r="F877" s="14">
        <v>14</v>
      </c>
      <c r="G877" s="14">
        <v>1286.75</v>
      </c>
      <c r="H877" s="14">
        <v>91.91</v>
      </c>
      <c r="I877" s="14">
        <v>30</v>
      </c>
      <c r="J877" s="14">
        <v>900.73</v>
      </c>
    </row>
    <row r="878" spans="1:10">
      <c r="A878" s="131" t="str">
        <f t="shared" si="14"/>
        <v>Lille Métropole Habitat_2018-08</v>
      </c>
      <c r="B878" s="14" t="s">
        <v>587</v>
      </c>
      <c r="C878" s="14" t="s">
        <v>1272</v>
      </c>
      <c r="D878" s="14" t="s">
        <v>1273</v>
      </c>
      <c r="E878" s="14" t="s">
        <v>2189</v>
      </c>
      <c r="F878" s="14">
        <v>14</v>
      </c>
      <c r="G878" s="14">
        <v>938.6</v>
      </c>
      <c r="H878" s="14">
        <v>67.040000000000006</v>
      </c>
      <c r="I878" s="14">
        <v>30</v>
      </c>
      <c r="J878" s="14">
        <v>657.02</v>
      </c>
    </row>
    <row r="879" spans="1:10" hidden="1">
      <c r="A879" s="131" t="str">
        <f t="shared" si="14"/>
        <v>Lille Métropole Habitat_2018-09</v>
      </c>
      <c r="B879" s="14" t="s">
        <v>587</v>
      </c>
      <c r="C879" s="14" t="s">
        <v>1272</v>
      </c>
      <c r="D879" s="14" t="s">
        <v>1273</v>
      </c>
      <c r="E879" s="14" t="s">
        <v>2268</v>
      </c>
      <c r="F879" s="14">
        <v>14</v>
      </c>
      <c r="G879" s="14">
        <v>961.33</v>
      </c>
      <c r="H879" s="14">
        <v>68.67</v>
      </c>
      <c r="I879" s="14">
        <v>30</v>
      </c>
      <c r="J879" s="14">
        <v>672.93</v>
      </c>
    </row>
    <row r="880" spans="1:10" hidden="1">
      <c r="A880" s="131" t="str">
        <f t="shared" si="14"/>
        <v>Lille Métropole Habitat_2018-07</v>
      </c>
      <c r="B880" s="14" t="s">
        <v>587</v>
      </c>
      <c r="C880" s="14" t="s">
        <v>760</v>
      </c>
      <c r="D880" s="14" t="s">
        <v>761</v>
      </c>
      <c r="E880" s="14" t="s">
        <v>2144</v>
      </c>
      <c r="F880" s="14">
        <v>16</v>
      </c>
      <c r="G880" s="14">
        <v>1363.49</v>
      </c>
      <c r="H880" s="14">
        <v>85.22</v>
      </c>
      <c r="I880" s="14">
        <v>30</v>
      </c>
      <c r="J880" s="14">
        <v>954.44</v>
      </c>
    </row>
    <row r="881" spans="1:10">
      <c r="A881" s="131" t="str">
        <f t="shared" si="14"/>
        <v>Lille Métropole Habitat_2018-08</v>
      </c>
      <c r="B881" s="14" t="s">
        <v>587</v>
      </c>
      <c r="C881" s="14" t="s">
        <v>760</v>
      </c>
      <c r="D881" s="14" t="s">
        <v>761</v>
      </c>
      <c r="E881" s="14" t="s">
        <v>2189</v>
      </c>
      <c r="F881" s="14">
        <v>16</v>
      </c>
      <c r="G881" s="14">
        <v>1819</v>
      </c>
      <c r="H881" s="14">
        <v>113.69</v>
      </c>
      <c r="I881" s="14">
        <v>30</v>
      </c>
      <c r="J881" s="14">
        <v>1273.3</v>
      </c>
    </row>
    <row r="882" spans="1:10" hidden="1">
      <c r="A882" s="131" t="str">
        <f t="shared" si="14"/>
        <v>Lille Métropole Habitat_2018-09</v>
      </c>
      <c r="B882" s="14" t="s">
        <v>587</v>
      </c>
      <c r="C882" s="14" t="s">
        <v>760</v>
      </c>
      <c r="D882" s="14" t="s">
        <v>761</v>
      </c>
      <c r="E882" s="14" t="s">
        <v>2268</v>
      </c>
      <c r="F882" s="14">
        <v>16</v>
      </c>
      <c r="G882" s="14">
        <v>1172.05</v>
      </c>
      <c r="H882" s="14">
        <v>73.25</v>
      </c>
      <c r="I882" s="14">
        <v>30</v>
      </c>
      <c r="J882" s="14">
        <v>820.43</v>
      </c>
    </row>
    <row r="883" spans="1:10" hidden="1">
      <c r="A883" s="131" t="str">
        <f t="shared" si="14"/>
        <v>Lille Métropole Habitat_2018-07</v>
      </c>
      <c r="B883" s="14" t="s">
        <v>587</v>
      </c>
      <c r="C883" s="14" t="s">
        <v>1274</v>
      </c>
      <c r="D883" s="14" t="s">
        <v>535</v>
      </c>
      <c r="E883" s="14" t="s">
        <v>2144</v>
      </c>
      <c r="F883" s="14">
        <v>20</v>
      </c>
      <c r="G883" s="14">
        <v>145.22</v>
      </c>
      <c r="H883" s="14">
        <v>7.26</v>
      </c>
      <c r="I883" s="14">
        <v>30</v>
      </c>
      <c r="J883" s="14">
        <v>101.65</v>
      </c>
    </row>
    <row r="884" spans="1:10">
      <c r="A884" s="131" t="str">
        <f t="shared" si="14"/>
        <v>Lille Métropole Habitat_2018-08</v>
      </c>
      <c r="B884" s="14" t="s">
        <v>587</v>
      </c>
      <c r="C884" s="14" t="s">
        <v>1274</v>
      </c>
      <c r="D884" s="14" t="s">
        <v>535</v>
      </c>
      <c r="E884" s="14" t="s">
        <v>2189</v>
      </c>
      <c r="F884" s="14">
        <v>20</v>
      </c>
      <c r="G884" s="14">
        <v>95.06</v>
      </c>
      <c r="H884" s="14">
        <v>4.75</v>
      </c>
      <c r="I884" s="14">
        <v>30</v>
      </c>
      <c r="J884" s="14">
        <v>66.540000000000006</v>
      </c>
    </row>
    <row r="885" spans="1:10" hidden="1">
      <c r="A885" s="131" t="str">
        <f t="shared" si="14"/>
        <v>Lille Métropole Habitat_2018-09</v>
      </c>
      <c r="B885" s="14" t="s">
        <v>587</v>
      </c>
      <c r="C885" s="14" t="s">
        <v>1274</v>
      </c>
      <c r="D885" s="14" t="s">
        <v>535</v>
      </c>
      <c r="E885" s="14" t="s">
        <v>2268</v>
      </c>
      <c r="F885" s="14">
        <v>20</v>
      </c>
      <c r="G885" s="14">
        <v>111.05</v>
      </c>
      <c r="H885" s="14">
        <v>5.55</v>
      </c>
      <c r="I885" s="14">
        <v>30</v>
      </c>
      <c r="J885" s="14">
        <v>77.73</v>
      </c>
    </row>
    <row r="886" spans="1:10" hidden="1">
      <c r="A886" s="131" t="str">
        <f t="shared" si="14"/>
        <v>Lille Métropole Habitat_2018-07</v>
      </c>
      <c r="B886" s="14" t="s">
        <v>587</v>
      </c>
      <c r="C886" s="14" t="s">
        <v>1782</v>
      </c>
      <c r="D886" s="14" t="s">
        <v>1783</v>
      </c>
      <c r="E886" s="14" t="s">
        <v>2144</v>
      </c>
      <c r="F886" s="14">
        <v>9</v>
      </c>
      <c r="G886" s="14">
        <v>6</v>
      </c>
      <c r="H886" s="14">
        <v>0.67</v>
      </c>
      <c r="I886" s="14">
        <v>30</v>
      </c>
      <c r="J886" s="14">
        <v>4.2</v>
      </c>
    </row>
    <row r="887" spans="1:10">
      <c r="A887" s="131" t="str">
        <f t="shared" si="14"/>
        <v>Lille Métropole Habitat_2018-08</v>
      </c>
      <c r="B887" s="14" t="s">
        <v>587</v>
      </c>
      <c r="C887" s="14" t="s">
        <v>1782</v>
      </c>
      <c r="D887" s="14" t="s">
        <v>1783</v>
      </c>
      <c r="E887" s="14" t="s">
        <v>2189</v>
      </c>
      <c r="F887" s="14">
        <v>9</v>
      </c>
      <c r="G887" s="14">
        <v>45.58</v>
      </c>
      <c r="H887" s="14">
        <v>5.0599999999999996</v>
      </c>
      <c r="I887" s="14">
        <v>30</v>
      </c>
      <c r="J887" s="14">
        <v>31.91</v>
      </c>
    </row>
    <row r="888" spans="1:10" hidden="1">
      <c r="A888" s="131" t="str">
        <f t="shared" si="14"/>
        <v>Lille Métropole Habitat_2018-09</v>
      </c>
      <c r="B888" s="14" t="s">
        <v>587</v>
      </c>
      <c r="C888" s="14" t="s">
        <v>1782</v>
      </c>
      <c r="D888" s="14" t="s">
        <v>1783</v>
      </c>
      <c r="E888" s="14" t="s">
        <v>2268</v>
      </c>
      <c r="F888" s="14">
        <v>9</v>
      </c>
      <c r="G888" s="14">
        <v>94.34</v>
      </c>
      <c r="H888" s="14">
        <v>10.48</v>
      </c>
      <c r="I888" s="14">
        <v>30</v>
      </c>
      <c r="J888" s="14">
        <v>66.040000000000006</v>
      </c>
    </row>
    <row r="889" spans="1:10" hidden="1">
      <c r="A889" s="131" t="str">
        <f t="shared" si="14"/>
        <v>Lille Métropole Habitat_2018-07</v>
      </c>
      <c r="B889" s="14" t="s">
        <v>587</v>
      </c>
      <c r="C889" s="14" t="s">
        <v>762</v>
      </c>
      <c r="D889" s="14" t="s">
        <v>763</v>
      </c>
      <c r="E889" s="14" t="s">
        <v>2144</v>
      </c>
      <c r="F889" s="14">
        <v>7</v>
      </c>
      <c r="G889" s="14">
        <v>130.94</v>
      </c>
      <c r="H889" s="14">
        <v>18.71</v>
      </c>
      <c r="I889" s="14">
        <v>30</v>
      </c>
      <c r="J889" s="14">
        <v>91.66</v>
      </c>
    </row>
    <row r="890" spans="1:10">
      <c r="A890" s="131" t="str">
        <f t="shared" si="14"/>
        <v>Lille Métropole Habitat_2018-08</v>
      </c>
      <c r="B890" s="14" t="s">
        <v>587</v>
      </c>
      <c r="C890" s="14" t="s">
        <v>762</v>
      </c>
      <c r="D890" s="14" t="s">
        <v>763</v>
      </c>
      <c r="E890" s="14" t="s">
        <v>2189</v>
      </c>
      <c r="F890" s="14">
        <v>7</v>
      </c>
      <c r="G890" s="14">
        <v>120.26</v>
      </c>
      <c r="H890" s="14">
        <v>17.18</v>
      </c>
      <c r="I890" s="14">
        <v>30</v>
      </c>
      <c r="J890" s="14">
        <v>84.18</v>
      </c>
    </row>
    <row r="891" spans="1:10" hidden="1">
      <c r="A891" s="131" t="str">
        <f t="shared" si="14"/>
        <v>Lille Métropole Habitat_2018-09</v>
      </c>
      <c r="B891" s="14" t="s">
        <v>587</v>
      </c>
      <c r="C891" s="14" t="s">
        <v>762</v>
      </c>
      <c r="D891" s="14" t="s">
        <v>763</v>
      </c>
      <c r="E891" s="14" t="s">
        <v>2268</v>
      </c>
      <c r="F891" s="14">
        <v>7</v>
      </c>
      <c r="G891" s="14">
        <v>158.44</v>
      </c>
      <c r="H891" s="14">
        <v>22.63</v>
      </c>
      <c r="I891" s="14">
        <v>30</v>
      </c>
      <c r="J891" s="14">
        <v>110.91</v>
      </c>
    </row>
    <row r="892" spans="1:10" hidden="1">
      <c r="A892" s="131" t="str">
        <f t="shared" si="14"/>
        <v>L'institut Catholique de Lille_2018-09</v>
      </c>
      <c r="B892" s="14" t="s">
        <v>2298</v>
      </c>
      <c r="C892" s="14" t="s">
        <v>2299</v>
      </c>
      <c r="D892" s="14" t="s">
        <v>535</v>
      </c>
      <c r="E892" s="14" t="s">
        <v>2268</v>
      </c>
      <c r="F892" s="14">
        <v>32</v>
      </c>
      <c r="G892" s="14">
        <v>49.53</v>
      </c>
      <c r="H892" s="14">
        <v>1.55</v>
      </c>
      <c r="I892" s="14">
        <v>40</v>
      </c>
      <c r="J892" s="14">
        <v>29.72</v>
      </c>
    </row>
    <row r="893" spans="1:10" hidden="1">
      <c r="A893" s="131" t="str">
        <f t="shared" si="14"/>
        <v>Logement Bruxellois_2018-07</v>
      </c>
      <c r="B893" s="14" t="s">
        <v>1918</v>
      </c>
      <c r="C893" s="14" t="s">
        <v>1907</v>
      </c>
      <c r="D893" s="14" t="s">
        <v>535</v>
      </c>
      <c r="E893" s="14" t="s">
        <v>2144</v>
      </c>
      <c r="F893" s="14">
        <v>18</v>
      </c>
      <c r="G893" s="14">
        <v>357.62</v>
      </c>
      <c r="H893" s="14">
        <v>19.87</v>
      </c>
      <c r="I893" s="14">
        <v>40</v>
      </c>
      <c r="J893" s="14">
        <v>214.57</v>
      </c>
    </row>
    <row r="894" spans="1:10">
      <c r="A894" s="131" t="str">
        <f t="shared" si="14"/>
        <v>Logement Bruxellois_2018-08</v>
      </c>
      <c r="B894" s="14" t="s">
        <v>1918</v>
      </c>
      <c r="C894" s="14" t="s">
        <v>1907</v>
      </c>
      <c r="D894" s="14" t="s">
        <v>535</v>
      </c>
      <c r="E894" s="14" t="s">
        <v>2189</v>
      </c>
      <c r="F894" s="14">
        <v>18</v>
      </c>
      <c r="G894" s="14">
        <v>665.71</v>
      </c>
      <c r="H894" s="14">
        <v>36.979999999999997</v>
      </c>
      <c r="I894" s="14">
        <v>40</v>
      </c>
      <c r="J894" s="14">
        <v>399.43</v>
      </c>
    </row>
    <row r="895" spans="1:10" hidden="1">
      <c r="A895" s="131" t="str">
        <f t="shared" si="14"/>
        <v>Logement Bruxellois_2018-09</v>
      </c>
      <c r="B895" s="14" t="s">
        <v>1918</v>
      </c>
      <c r="C895" s="14" t="s">
        <v>1907</v>
      </c>
      <c r="D895" s="14" t="s">
        <v>535</v>
      </c>
      <c r="E895" s="14" t="s">
        <v>2268</v>
      </c>
      <c r="F895" s="14">
        <v>18</v>
      </c>
      <c r="G895" s="14">
        <v>195.87</v>
      </c>
      <c r="H895" s="14">
        <v>10.88</v>
      </c>
      <c r="I895" s="14">
        <v>40</v>
      </c>
      <c r="J895" s="14">
        <v>117.52</v>
      </c>
    </row>
    <row r="896" spans="1:10" hidden="1">
      <c r="A896" s="131" t="str">
        <f t="shared" si="14"/>
        <v>Logement Bruxellois_2018-07</v>
      </c>
      <c r="B896" s="14" t="s">
        <v>1918</v>
      </c>
      <c r="C896" s="14" t="s">
        <v>1994</v>
      </c>
      <c r="D896" s="14" t="s">
        <v>535</v>
      </c>
      <c r="E896" s="14" t="s">
        <v>2144</v>
      </c>
      <c r="F896" s="14">
        <v>7</v>
      </c>
      <c r="G896" s="14">
        <v>147.74</v>
      </c>
      <c r="H896" s="14">
        <v>21.11</v>
      </c>
      <c r="I896" s="14">
        <v>40</v>
      </c>
      <c r="J896" s="14">
        <v>88.64</v>
      </c>
    </row>
    <row r="897" spans="1:10">
      <c r="A897" s="131" t="str">
        <f t="shared" si="14"/>
        <v>Logement Bruxellois_2018-08</v>
      </c>
      <c r="B897" s="14" t="s">
        <v>1918</v>
      </c>
      <c r="C897" s="14" t="s">
        <v>1994</v>
      </c>
      <c r="D897" s="14" t="s">
        <v>535</v>
      </c>
      <c r="E897" s="14" t="s">
        <v>2189</v>
      </c>
      <c r="F897" s="14">
        <v>7</v>
      </c>
      <c r="G897" s="14">
        <v>122.32</v>
      </c>
      <c r="H897" s="14">
        <v>17.47</v>
      </c>
      <c r="I897" s="14">
        <v>40</v>
      </c>
      <c r="J897" s="14">
        <v>73.39</v>
      </c>
    </row>
    <row r="898" spans="1:10" hidden="1">
      <c r="A898" s="131" t="str">
        <f t="shared" si="14"/>
        <v>Logement Bruxellois_2018-09</v>
      </c>
      <c r="B898" s="14" t="s">
        <v>1918</v>
      </c>
      <c r="C898" s="14" t="s">
        <v>1994</v>
      </c>
      <c r="D898" s="14" t="s">
        <v>535</v>
      </c>
      <c r="E898" s="14" t="s">
        <v>2268</v>
      </c>
      <c r="F898" s="14">
        <v>7</v>
      </c>
      <c r="G898" s="14">
        <v>198.75</v>
      </c>
      <c r="H898" s="14">
        <v>28.39</v>
      </c>
      <c r="I898" s="14">
        <v>40</v>
      </c>
      <c r="J898" s="14">
        <v>119.25</v>
      </c>
    </row>
    <row r="899" spans="1:10" hidden="1">
      <c r="A899" s="131" t="str">
        <f t="shared" si="14"/>
        <v>Logement Francilien_2018-07</v>
      </c>
      <c r="B899" s="14" t="s">
        <v>764</v>
      </c>
      <c r="C899" s="14" t="s">
        <v>1131</v>
      </c>
      <c r="D899" s="14" t="s">
        <v>1132</v>
      </c>
      <c r="E899" s="14" t="s">
        <v>2144</v>
      </c>
      <c r="F899" s="14">
        <v>10</v>
      </c>
      <c r="G899" s="14">
        <v>78.5</v>
      </c>
      <c r="H899" s="14">
        <v>7.85</v>
      </c>
      <c r="I899" s="14">
        <v>35</v>
      </c>
      <c r="J899" s="14">
        <v>51.02</v>
      </c>
    </row>
    <row r="900" spans="1:10">
      <c r="A900" s="131" t="str">
        <f t="shared" si="14"/>
        <v>Logement Francilien_2018-08</v>
      </c>
      <c r="B900" s="14" t="s">
        <v>764</v>
      </c>
      <c r="C900" s="14" t="s">
        <v>1131</v>
      </c>
      <c r="D900" s="14" t="s">
        <v>1132</v>
      </c>
      <c r="E900" s="14" t="s">
        <v>2189</v>
      </c>
      <c r="F900" s="14">
        <v>10</v>
      </c>
      <c r="G900" s="14">
        <v>196.88</v>
      </c>
      <c r="H900" s="14">
        <v>19.690000000000001</v>
      </c>
      <c r="I900" s="14">
        <v>35</v>
      </c>
      <c r="J900" s="14">
        <v>127.97</v>
      </c>
    </row>
    <row r="901" spans="1:10" hidden="1">
      <c r="A901" s="131" t="str">
        <f t="shared" si="14"/>
        <v>Logement Francilien_2018-09</v>
      </c>
      <c r="B901" s="14" t="s">
        <v>764</v>
      </c>
      <c r="C901" s="14" t="s">
        <v>1131</v>
      </c>
      <c r="D901" s="14" t="s">
        <v>1132</v>
      </c>
      <c r="E901" s="14" t="s">
        <v>2268</v>
      </c>
      <c r="F901" s="14">
        <v>10</v>
      </c>
      <c r="G901" s="14">
        <v>67</v>
      </c>
      <c r="H901" s="14">
        <v>6.7</v>
      </c>
      <c r="I901" s="14">
        <v>35</v>
      </c>
      <c r="J901" s="14">
        <v>43.55</v>
      </c>
    </row>
    <row r="902" spans="1:10" hidden="1">
      <c r="A902" s="131" t="str">
        <f t="shared" si="14"/>
        <v>Logement Francilien_2018-07</v>
      </c>
      <c r="B902" s="14" t="s">
        <v>764</v>
      </c>
      <c r="C902" s="14" t="s">
        <v>765</v>
      </c>
      <c r="D902" s="14" t="s">
        <v>766</v>
      </c>
      <c r="E902" s="14" t="s">
        <v>2144</v>
      </c>
      <c r="F902" s="14">
        <v>5</v>
      </c>
      <c r="G902" s="14">
        <v>219.61</v>
      </c>
      <c r="H902" s="14">
        <v>43.92</v>
      </c>
      <c r="I902" s="14">
        <v>35</v>
      </c>
      <c r="J902" s="14">
        <v>142.75</v>
      </c>
    </row>
    <row r="903" spans="1:10">
      <c r="A903" s="131" t="str">
        <f t="shared" si="14"/>
        <v>Logement Francilien_2018-08</v>
      </c>
      <c r="B903" s="14" t="s">
        <v>764</v>
      </c>
      <c r="C903" s="14" t="s">
        <v>765</v>
      </c>
      <c r="D903" s="14" t="s">
        <v>766</v>
      </c>
      <c r="E903" s="14" t="s">
        <v>2189</v>
      </c>
      <c r="F903" s="14">
        <v>5</v>
      </c>
      <c r="G903" s="14">
        <v>365.51</v>
      </c>
      <c r="H903" s="14">
        <v>73.099999999999994</v>
      </c>
      <c r="I903" s="14">
        <v>35</v>
      </c>
      <c r="J903" s="14">
        <v>237.58</v>
      </c>
    </row>
    <row r="904" spans="1:10" hidden="1">
      <c r="A904" s="131" t="str">
        <f t="shared" si="14"/>
        <v>Logement Francilien_2018-09</v>
      </c>
      <c r="B904" s="14" t="s">
        <v>764</v>
      </c>
      <c r="C904" s="14" t="s">
        <v>765</v>
      </c>
      <c r="D904" s="14" t="s">
        <v>766</v>
      </c>
      <c r="E904" s="14" t="s">
        <v>2268</v>
      </c>
      <c r="F904" s="14">
        <v>5</v>
      </c>
      <c r="G904" s="14">
        <v>538.41999999999996</v>
      </c>
      <c r="H904" s="14">
        <v>107.68</v>
      </c>
      <c r="I904" s="14">
        <v>35</v>
      </c>
      <c r="J904" s="14">
        <v>349.97</v>
      </c>
    </row>
    <row r="905" spans="1:10" hidden="1">
      <c r="A905" s="131" t="str">
        <f t="shared" si="14"/>
        <v>Logement Francilien_2018-07</v>
      </c>
      <c r="B905" s="14" t="s">
        <v>764</v>
      </c>
      <c r="C905" s="14" t="s">
        <v>1538</v>
      </c>
      <c r="D905" s="14" t="s">
        <v>1539</v>
      </c>
      <c r="E905" s="14" t="s">
        <v>2144</v>
      </c>
      <c r="F905" s="14">
        <v>6</v>
      </c>
      <c r="G905" s="14">
        <v>299.55</v>
      </c>
      <c r="H905" s="14">
        <v>49.93</v>
      </c>
      <c r="I905" s="14">
        <v>35</v>
      </c>
      <c r="J905" s="14">
        <v>194.71</v>
      </c>
    </row>
    <row r="906" spans="1:10">
      <c r="A906" s="131" t="str">
        <f t="shared" si="14"/>
        <v>Logement Francilien_2018-08</v>
      </c>
      <c r="B906" s="14" t="s">
        <v>764</v>
      </c>
      <c r="C906" s="14" t="s">
        <v>1538</v>
      </c>
      <c r="D906" s="14" t="s">
        <v>1539</v>
      </c>
      <c r="E906" s="14" t="s">
        <v>2189</v>
      </c>
      <c r="F906" s="14">
        <v>6</v>
      </c>
      <c r="G906" s="14">
        <v>195.01</v>
      </c>
      <c r="H906" s="14">
        <v>32.5</v>
      </c>
      <c r="I906" s="14">
        <v>35</v>
      </c>
      <c r="J906" s="14">
        <v>126.76</v>
      </c>
    </row>
    <row r="907" spans="1:10" hidden="1">
      <c r="A907" s="131" t="str">
        <f t="shared" si="14"/>
        <v>Logement Francilien_2018-09</v>
      </c>
      <c r="B907" s="14" t="s">
        <v>764</v>
      </c>
      <c r="C907" s="14" t="s">
        <v>1538</v>
      </c>
      <c r="D907" s="14" t="s">
        <v>1539</v>
      </c>
      <c r="E907" s="14" t="s">
        <v>2268</v>
      </c>
      <c r="F907" s="14">
        <v>6</v>
      </c>
      <c r="G907" s="14">
        <v>198.61</v>
      </c>
      <c r="H907" s="14">
        <v>33.1</v>
      </c>
      <c r="I907" s="14">
        <v>35</v>
      </c>
      <c r="J907" s="14">
        <v>129.1</v>
      </c>
    </row>
    <row r="908" spans="1:10" hidden="1">
      <c r="A908" s="131" t="str">
        <f t="shared" si="14"/>
        <v>Logement Francilien_2018-07</v>
      </c>
      <c r="B908" s="14" t="s">
        <v>764</v>
      </c>
      <c r="C908" s="14" t="s">
        <v>767</v>
      </c>
      <c r="D908" s="14" t="s">
        <v>768</v>
      </c>
      <c r="E908" s="14" t="s">
        <v>2144</v>
      </c>
      <c r="F908" s="14">
        <v>9</v>
      </c>
      <c r="G908" s="14">
        <v>668.39</v>
      </c>
      <c r="H908" s="14">
        <v>74.27</v>
      </c>
      <c r="I908" s="14">
        <v>35</v>
      </c>
      <c r="J908" s="14">
        <v>434.45</v>
      </c>
    </row>
    <row r="909" spans="1:10">
      <c r="A909" s="131" t="str">
        <f t="shared" si="14"/>
        <v>Logement Francilien_2018-08</v>
      </c>
      <c r="B909" s="14" t="s">
        <v>764</v>
      </c>
      <c r="C909" s="14" t="s">
        <v>767</v>
      </c>
      <c r="D909" s="14" t="s">
        <v>768</v>
      </c>
      <c r="E909" s="14" t="s">
        <v>2189</v>
      </c>
      <c r="F909" s="14">
        <v>9</v>
      </c>
      <c r="G909" s="14">
        <v>511.76</v>
      </c>
      <c r="H909" s="14">
        <v>56.86</v>
      </c>
      <c r="I909" s="14">
        <v>35</v>
      </c>
      <c r="J909" s="14">
        <v>332.64</v>
      </c>
    </row>
    <row r="910" spans="1:10" hidden="1">
      <c r="A910" s="131" t="str">
        <f t="shared" si="14"/>
        <v>Logement Francilien_2018-09</v>
      </c>
      <c r="B910" s="14" t="s">
        <v>764</v>
      </c>
      <c r="C910" s="14" t="s">
        <v>767</v>
      </c>
      <c r="D910" s="14" t="s">
        <v>768</v>
      </c>
      <c r="E910" s="14" t="s">
        <v>2268</v>
      </c>
      <c r="F910" s="14">
        <v>8.17</v>
      </c>
      <c r="G910" s="14">
        <v>515.86</v>
      </c>
      <c r="H910" s="14">
        <v>63.14</v>
      </c>
      <c r="I910" s="14">
        <v>35</v>
      </c>
      <c r="J910" s="14">
        <v>335.31</v>
      </c>
    </row>
    <row r="911" spans="1:10" hidden="1">
      <c r="A911" s="131" t="str">
        <f t="shared" si="14"/>
        <v>Logement Francilien_2018-07</v>
      </c>
      <c r="B911" s="14" t="s">
        <v>764</v>
      </c>
      <c r="C911" s="14" t="s">
        <v>769</v>
      </c>
      <c r="D911" s="14" t="s">
        <v>770</v>
      </c>
      <c r="E911" s="14" t="s">
        <v>2144</v>
      </c>
      <c r="F911" s="14">
        <v>8</v>
      </c>
      <c r="G911" s="14">
        <v>546.19000000000005</v>
      </c>
      <c r="H911" s="14">
        <v>68.27</v>
      </c>
      <c r="I911" s="14">
        <v>35</v>
      </c>
      <c r="J911" s="14">
        <v>355.02</v>
      </c>
    </row>
    <row r="912" spans="1:10">
      <c r="A912" s="131" t="str">
        <f t="shared" si="14"/>
        <v>Logement Francilien_2018-08</v>
      </c>
      <c r="B912" s="14" t="s">
        <v>764</v>
      </c>
      <c r="C912" s="14" t="s">
        <v>769</v>
      </c>
      <c r="D912" s="14" t="s">
        <v>770</v>
      </c>
      <c r="E912" s="14" t="s">
        <v>2189</v>
      </c>
      <c r="F912" s="14">
        <v>8</v>
      </c>
      <c r="G912" s="14">
        <v>685.72</v>
      </c>
      <c r="H912" s="14">
        <v>85.72</v>
      </c>
      <c r="I912" s="14">
        <v>35</v>
      </c>
      <c r="J912" s="14">
        <v>445.72</v>
      </c>
    </row>
    <row r="913" spans="1:10" hidden="1">
      <c r="A913" s="131" t="str">
        <f t="shared" si="14"/>
        <v>Logement Francilien_2018-09</v>
      </c>
      <c r="B913" s="14" t="s">
        <v>764</v>
      </c>
      <c r="C913" s="14" t="s">
        <v>769</v>
      </c>
      <c r="D913" s="14" t="s">
        <v>770</v>
      </c>
      <c r="E913" s="14" t="s">
        <v>2268</v>
      </c>
      <c r="F913" s="14">
        <v>7.47</v>
      </c>
      <c r="G913" s="14">
        <v>504.32</v>
      </c>
      <c r="H913" s="14">
        <v>67.510000000000005</v>
      </c>
      <c r="I913" s="14">
        <v>35</v>
      </c>
      <c r="J913" s="14">
        <v>327.81</v>
      </c>
    </row>
    <row r="914" spans="1:10" hidden="1">
      <c r="A914" s="131" t="str">
        <f t="shared" si="14"/>
        <v>Logement Francilien_2018-07</v>
      </c>
      <c r="B914" s="14" t="s">
        <v>764</v>
      </c>
      <c r="C914" s="14" t="s">
        <v>771</v>
      </c>
      <c r="D914" s="14" t="s">
        <v>772</v>
      </c>
      <c r="E914" s="14" t="s">
        <v>2144</v>
      </c>
      <c r="F914" s="14">
        <v>8</v>
      </c>
      <c r="G914" s="14">
        <v>495.1</v>
      </c>
      <c r="H914" s="14">
        <v>61.89</v>
      </c>
      <c r="I914" s="14">
        <v>35</v>
      </c>
      <c r="J914" s="14">
        <v>321.81</v>
      </c>
    </row>
    <row r="915" spans="1:10">
      <c r="A915" s="131" t="str">
        <f t="shared" si="14"/>
        <v>Logement Francilien_2018-08</v>
      </c>
      <c r="B915" s="14" t="s">
        <v>764</v>
      </c>
      <c r="C915" s="14" t="s">
        <v>771</v>
      </c>
      <c r="D915" s="14" t="s">
        <v>772</v>
      </c>
      <c r="E915" s="14" t="s">
        <v>2189</v>
      </c>
      <c r="F915" s="14">
        <v>8</v>
      </c>
      <c r="G915" s="14">
        <v>219.23</v>
      </c>
      <c r="H915" s="14">
        <v>27.4</v>
      </c>
      <c r="I915" s="14">
        <v>35</v>
      </c>
      <c r="J915" s="14">
        <v>142.5</v>
      </c>
    </row>
    <row r="916" spans="1:10" hidden="1">
      <c r="A916" s="131" t="str">
        <f t="shared" si="14"/>
        <v>Logement Francilien_2018-09</v>
      </c>
      <c r="B916" s="14" t="s">
        <v>764</v>
      </c>
      <c r="C916" s="14" t="s">
        <v>771</v>
      </c>
      <c r="D916" s="14" t="s">
        <v>772</v>
      </c>
      <c r="E916" s="14" t="s">
        <v>2268</v>
      </c>
      <c r="F916" s="14">
        <v>8</v>
      </c>
      <c r="G916" s="14">
        <v>542.42999999999995</v>
      </c>
      <c r="H916" s="14">
        <v>67.8</v>
      </c>
      <c r="I916" s="14">
        <v>35</v>
      </c>
      <c r="J916" s="14">
        <v>352.58</v>
      </c>
    </row>
    <row r="917" spans="1:10" hidden="1">
      <c r="A917" s="131" t="str">
        <f t="shared" si="14"/>
        <v>LOGIREM _2018-07</v>
      </c>
      <c r="B917" s="154" t="s">
        <v>2028</v>
      </c>
      <c r="C917" s="14" t="s">
        <v>773</v>
      </c>
      <c r="D917" s="14" t="s">
        <v>1540</v>
      </c>
      <c r="E917" s="14" t="s">
        <v>2144</v>
      </c>
      <c r="F917" s="14">
        <v>5</v>
      </c>
      <c r="G917" s="14">
        <v>214.09</v>
      </c>
      <c r="H917" s="14">
        <v>42.82</v>
      </c>
      <c r="I917" s="14">
        <v>40</v>
      </c>
      <c r="J917" s="14">
        <v>128.44999999999999</v>
      </c>
    </row>
    <row r="918" spans="1:10">
      <c r="A918" s="131" t="str">
        <f t="shared" si="14"/>
        <v>LOGIREM _2018-08</v>
      </c>
      <c r="B918" s="154" t="s">
        <v>2028</v>
      </c>
      <c r="C918" s="14" t="s">
        <v>773</v>
      </c>
      <c r="D918" s="14" t="s">
        <v>1540</v>
      </c>
      <c r="E918" s="14" t="s">
        <v>2189</v>
      </c>
      <c r="F918" s="14">
        <v>5</v>
      </c>
      <c r="G918" s="14">
        <v>141.94</v>
      </c>
      <c r="H918" s="14">
        <v>28.39</v>
      </c>
      <c r="I918" s="14">
        <v>40</v>
      </c>
      <c r="J918" s="14">
        <v>85.16</v>
      </c>
    </row>
    <row r="919" spans="1:10" hidden="1">
      <c r="A919" s="131" t="str">
        <f t="shared" si="14"/>
        <v>LOGIREM _2018-09</v>
      </c>
      <c r="B919" s="14" t="s">
        <v>2028</v>
      </c>
      <c r="C919" s="14" t="s">
        <v>773</v>
      </c>
      <c r="D919" s="14" t="s">
        <v>1540</v>
      </c>
      <c r="E919" s="14" t="s">
        <v>2268</v>
      </c>
      <c r="F919" s="14">
        <v>5</v>
      </c>
      <c r="G919" s="14">
        <v>87.23</v>
      </c>
      <c r="H919" s="14">
        <v>17.45</v>
      </c>
      <c r="I919" s="14">
        <v>40</v>
      </c>
      <c r="J919" s="14">
        <v>52.34</v>
      </c>
    </row>
    <row r="920" spans="1:10" hidden="1">
      <c r="A920" s="131" t="str">
        <f t="shared" si="14"/>
        <v>LOGIREM _2018-07</v>
      </c>
      <c r="B920" s="14" t="s">
        <v>2028</v>
      </c>
      <c r="C920" s="14" t="s">
        <v>1133</v>
      </c>
      <c r="D920" s="14" t="s">
        <v>535</v>
      </c>
      <c r="E920" s="14" t="s">
        <v>2144</v>
      </c>
      <c r="F920" s="14">
        <v>3</v>
      </c>
      <c r="G920" s="14">
        <v>225</v>
      </c>
      <c r="H920" s="14">
        <v>75</v>
      </c>
      <c r="I920" s="14">
        <v>40</v>
      </c>
      <c r="J920" s="14">
        <v>135</v>
      </c>
    </row>
    <row r="921" spans="1:10">
      <c r="A921" s="131" t="str">
        <f t="shared" si="14"/>
        <v>LOGIREM _2018-08</v>
      </c>
      <c r="B921" s="14" t="s">
        <v>2028</v>
      </c>
      <c r="C921" s="14" t="s">
        <v>1133</v>
      </c>
      <c r="D921" s="14" t="s">
        <v>535</v>
      </c>
      <c r="E921" s="14" t="s">
        <v>2189</v>
      </c>
      <c r="F921" s="14">
        <v>3</v>
      </c>
      <c r="G921" s="14">
        <v>135</v>
      </c>
      <c r="H921" s="14">
        <v>45</v>
      </c>
      <c r="I921" s="14">
        <v>40</v>
      </c>
      <c r="J921" s="14">
        <v>81</v>
      </c>
    </row>
    <row r="922" spans="1:10" hidden="1">
      <c r="A922" s="131" t="str">
        <f t="shared" si="14"/>
        <v>LOGIREM _2018-09</v>
      </c>
      <c r="B922" s="14" t="s">
        <v>2028</v>
      </c>
      <c r="C922" s="14" t="s">
        <v>1133</v>
      </c>
      <c r="D922" s="14" t="s">
        <v>535</v>
      </c>
      <c r="E922" s="14" t="s">
        <v>2268</v>
      </c>
      <c r="F922" s="14">
        <v>3</v>
      </c>
      <c r="G922" s="14">
        <v>90</v>
      </c>
      <c r="H922" s="14">
        <v>30</v>
      </c>
      <c r="I922" s="14">
        <v>40</v>
      </c>
      <c r="J922" s="14">
        <v>54</v>
      </c>
    </row>
    <row r="923" spans="1:10" hidden="1">
      <c r="A923" s="131" t="str">
        <f t="shared" si="14"/>
        <v>LOGIREM _2018-07</v>
      </c>
      <c r="B923" s="14" t="s">
        <v>2028</v>
      </c>
      <c r="C923" s="14" t="s">
        <v>774</v>
      </c>
      <c r="D923" s="14" t="s">
        <v>1541</v>
      </c>
      <c r="E923" s="14" t="s">
        <v>2144</v>
      </c>
      <c r="F923" s="14">
        <v>10</v>
      </c>
      <c r="G923" s="14">
        <v>593.24</v>
      </c>
      <c r="H923" s="14">
        <v>59.32</v>
      </c>
      <c r="I923" s="14">
        <v>40</v>
      </c>
      <c r="J923" s="14">
        <v>355.94</v>
      </c>
    </row>
    <row r="924" spans="1:10">
      <c r="A924" s="131" t="str">
        <f t="shared" si="14"/>
        <v>LOGIREM _2018-08</v>
      </c>
      <c r="B924" s="14" t="s">
        <v>2028</v>
      </c>
      <c r="C924" s="14" t="s">
        <v>774</v>
      </c>
      <c r="D924" s="14" t="s">
        <v>1541</v>
      </c>
      <c r="E924" s="14" t="s">
        <v>2189</v>
      </c>
      <c r="F924" s="14">
        <v>10</v>
      </c>
      <c r="G924" s="14">
        <v>276.54000000000002</v>
      </c>
      <c r="H924" s="14">
        <v>27.65</v>
      </c>
      <c r="I924" s="14">
        <v>40</v>
      </c>
      <c r="J924" s="14">
        <v>165.92</v>
      </c>
    </row>
    <row r="925" spans="1:10" hidden="1">
      <c r="A925" s="131" t="str">
        <f t="shared" si="14"/>
        <v>LOGIREM _2018-09</v>
      </c>
      <c r="B925" s="14" t="s">
        <v>2028</v>
      </c>
      <c r="C925" s="14" t="s">
        <v>774</v>
      </c>
      <c r="D925" s="14" t="s">
        <v>1541</v>
      </c>
      <c r="E925" s="14" t="s">
        <v>2268</v>
      </c>
      <c r="F925" s="14">
        <v>10</v>
      </c>
      <c r="G925" s="14">
        <v>577.61</v>
      </c>
      <c r="H925" s="14">
        <v>57.76</v>
      </c>
      <c r="I925" s="14">
        <v>40</v>
      </c>
      <c r="J925" s="14">
        <v>346.57</v>
      </c>
    </row>
    <row r="926" spans="1:10" hidden="1">
      <c r="A926" s="131" t="str">
        <f t="shared" si="14"/>
        <v>Marseille Habitat_2018-07</v>
      </c>
      <c r="B926" s="14" t="s">
        <v>473</v>
      </c>
      <c r="C926" s="14" t="s">
        <v>775</v>
      </c>
      <c r="D926" s="14" t="s">
        <v>535</v>
      </c>
      <c r="E926" s="14" t="s">
        <v>2144</v>
      </c>
      <c r="F926" s="14">
        <v>50</v>
      </c>
      <c r="G926" s="14">
        <v>4248.8</v>
      </c>
      <c r="H926" s="14">
        <v>84.98</v>
      </c>
      <c r="I926" s="14">
        <v>35</v>
      </c>
      <c r="J926" s="14">
        <v>2761.72</v>
      </c>
    </row>
    <row r="927" spans="1:10">
      <c r="A927" s="131" t="str">
        <f t="shared" si="14"/>
        <v>Marseille Habitat_2018-08</v>
      </c>
      <c r="B927" s="14" t="s">
        <v>473</v>
      </c>
      <c r="C927" s="14" t="s">
        <v>775</v>
      </c>
      <c r="D927" s="14" t="s">
        <v>535</v>
      </c>
      <c r="E927" s="14" t="s">
        <v>2189</v>
      </c>
      <c r="F927" s="14">
        <v>50</v>
      </c>
      <c r="G927" s="14">
        <v>3879.92</v>
      </c>
      <c r="H927" s="14">
        <v>77.599999999999994</v>
      </c>
      <c r="I927" s="14">
        <v>35</v>
      </c>
      <c r="J927" s="14">
        <v>2521.9499999999998</v>
      </c>
    </row>
    <row r="928" spans="1:10" hidden="1">
      <c r="A928" s="131" t="str">
        <f t="shared" si="14"/>
        <v>Marseille Habitat_2018-09</v>
      </c>
      <c r="B928" s="14" t="s">
        <v>473</v>
      </c>
      <c r="C928" s="14" t="s">
        <v>775</v>
      </c>
      <c r="D928" s="14" t="s">
        <v>535</v>
      </c>
      <c r="E928" s="14" t="s">
        <v>2268</v>
      </c>
      <c r="F928" s="14">
        <v>50</v>
      </c>
      <c r="G928" s="14">
        <v>3718.09</v>
      </c>
      <c r="H928" s="14">
        <v>74.36</v>
      </c>
      <c r="I928" s="14">
        <v>35</v>
      </c>
      <c r="J928" s="14">
        <v>2416.7600000000002</v>
      </c>
    </row>
    <row r="929" spans="1:10" hidden="1">
      <c r="A929" s="131" t="str">
        <f t="shared" si="14"/>
        <v>Marseille Habitat_2018-09</v>
      </c>
      <c r="B929" s="14" t="s">
        <v>473</v>
      </c>
      <c r="C929" s="14" t="s">
        <v>2300</v>
      </c>
      <c r="D929" s="14" t="s">
        <v>535</v>
      </c>
      <c r="E929" s="14" t="s">
        <v>2268</v>
      </c>
      <c r="F929" s="14">
        <v>27.2</v>
      </c>
      <c r="G929" s="14">
        <v>646.62</v>
      </c>
      <c r="H929" s="14">
        <v>23.77</v>
      </c>
      <c r="I929" s="14">
        <v>40</v>
      </c>
      <c r="J929" s="14">
        <v>387.97</v>
      </c>
    </row>
    <row r="930" spans="1:10" hidden="1">
      <c r="A930" s="131" t="str">
        <f t="shared" si="14"/>
        <v>Marseille Habitat_2018-09</v>
      </c>
      <c r="B930" s="14" t="s">
        <v>473</v>
      </c>
      <c r="C930" s="14" t="s">
        <v>2301</v>
      </c>
      <c r="D930" s="14" t="s">
        <v>2302</v>
      </c>
      <c r="E930" s="14" t="s">
        <v>2268</v>
      </c>
      <c r="F930" s="14">
        <v>5</v>
      </c>
      <c r="G930" s="14">
        <v>595.79</v>
      </c>
      <c r="H930" s="14">
        <v>119.16</v>
      </c>
      <c r="I930" s="14">
        <v>40</v>
      </c>
      <c r="J930" s="14">
        <v>357.47</v>
      </c>
    </row>
    <row r="931" spans="1:10" hidden="1">
      <c r="A931" s="131" t="str">
        <f t="shared" si="14"/>
        <v>Mercure Bordeaux_2018-07</v>
      </c>
      <c r="B931" s="14" t="s">
        <v>2099</v>
      </c>
      <c r="C931" s="14" t="s">
        <v>776</v>
      </c>
      <c r="D931" s="14" t="s">
        <v>535</v>
      </c>
      <c r="E931" s="14" t="s">
        <v>2144</v>
      </c>
      <c r="F931" s="14">
        <v>8</v>
      </c>
      <c r="G931" s="14">
        <v>2578.14</v>
      </c>
      <c r="H931" s="14">
        <v>322.27</v>
      </c>
      <c r="I931" s="14">
        <v>25</v>
      </c>
      <c r="J931" s="14">
        <v>1933.61</v>
      </c>
    </row>
    <row r="932" spans="1:10">
      <c r="A932" s="131" t="str">
        <f t="shared" si="14"/>
        <v>Mercure Bordeaux_2018-08</v>
      </c>
      <c r="B932" s="14" t="s">
        <v>2099</v>
      </c>
      <c r="C932" s="14" t="s">
        <v>776</v>
      </c>
      <c r="D932" s="14" t="s">
        <v>535</v>
      </c>
      <c r="E932" s="14" t="s">
        <v>2189</v>
      </c>
      <c r="F932" s="14">
        <v>8</v>
      </c>
      <c r="G932" s="14">
        <v>2053.9299999999998</v>
      </c>
      <c r="H932" s="14">
        <v>256.74</v>
      </c>
      <c r="I932" s="14">
        <v>25</v>
      </c>
      <c r="J932" s="14">
        <v>1540.45</v>
      </c>
    </row>
    <row r="933" spans="1:10" hidden="1">
      <c r="A933" s="131" t="str">
        <f t="shared" si="14"/>
        <v>Mercure Bordeaux_2018-09</v>
      </c>
      <c r="B933" s="14" t="s">
        <v>2099</v>
      </c>
      <c r="C933" s="14" t="s">
        <v>776</v>
      </c>
      <c r="D933" s="14" t="s">
        <v>535</v>
      </c>
      <c r="E933" s="14" t="s">
        <v>2268</v>
      </c>
      <c r="F933" s="14">
        <v>8</v>
      </c>
      <c r="G933" s="14">
        <v>3164.74</v>
      </c>
      <c r="H933" s="14">
        <v>395.59</v>
      </c>
      <c r="I933" s="14">
        <v>25</v>
      </c>
      <c r="J933" s="14">
        <v>2373.5500000000002</v>
      </c>
    </row>
    <row r="934" spans="1:10" hidden="1">
      <c r="A934" s="131" t="str">
        <f t="shared" si="14"/>
        <v>Mercure Centre Rennes_2018-07</v>
      </c>
      <c r="B934" s="14" t="s">
        <v>2101</v>
      </c>
      <c r="C934" s="14" t="s">
        <v>1784</v>
      </c>
      <c r="D934" s="14" t="s">
        <v>535</v>
      </c>
      <c r="E934" s="14" t="s">
        <v>2144</v>
      </c>
      <c r="F934" s="14">
        <v>10</v>
      </c>
      <c r="G934" s="14">
        <v>17</v>
      </c>
      <c r="H934" s="14">
        <v>1.7</v>
      </c>
      <c r="I934" s="14">
        <v>30</v>
      </c>
      <c r="J934" s="14">
        <v>11.9</v>
      </c>
    </row>
    <row r="935" spans="1:10">
      <c r="A935" s="131" t="str">
        <f t="shared" si="14"/>
        <v>Mercure Centre Rennes_2018-08</v>
      </c>
      <c r="B935" s="14" t="s">
        <v>2101</v>
      </c>
      <c r="C935" s="14" t="s">
        <v>1784</v>
      </c>
      <c r="D935" s="14" t="s">
        <v>535</v>
      </c>
      <c r="E935" s="14" t="s">
        <v>2189</v>
      </c>
      <c r="F935" s="14">
        <v>10</v>
      </c>
      <c r="G935" s="14">
        <v>11</v>
      </c>
      <c r="H935" s="14">
        <v>1.1000000000000001</v>
      </c>
      <c r="I935" s="14">
        <v>30</v>
      </c>
      <c r="J935" s="14">
        <v>7.7</v>
      </c>
    </row>
    <row r="936" spans="1:10" hidden="1">
      <c r="A936" s="131" t="str">
        <f t="shared" si="14"/>
        <v>Mercure Centre Rennes_2018-09</v>
      </c>
      <c r="B936" s="14" t="s">
        <v>2101</v>
      </c>
      <c r="C936" s="14" t="s">
        <v>1784</v>
      </c>
      <c r="D936" s="14" t="s">
        <v>535</v>
      </c>
      <c r="E936" s="14" t="s">
        <v>2268</v>
      </c>
      <c r="F936" s="14">
        <v>10</v>
      </c>
      <c r="G936" s="14">
        <v>30.32</v>
      </c>
      <c r="H936" s="14">
        <v>3.03</v>
      </c>
      <c r="I936" s="14">
        <v>30</v>
      </c>
      <c r="J936" s="14">
        <v>21.22</v>
      </c>
    </row>
    <row r="937" spans="1:10" hidden="1">
      <c r="A937" s="131" t="str">
        <f t="shared" si="14"/>
        <v>Mercure Le Mans Centre_2018-07</v>
      </c>
      <c r="B937" s="14" t="s">
        <v>231</v>
      </c>
      <c r="C937" s="14" t="s">
        <v>2303</v>
      </c>
      <c r="D937" s="14" t="s">
        <v>535</v>
      </c>
      <c r="E937" s="14" t="s">
        <v>2144</v>
      </c>
      <c r="F937" s="14">
        <v>7</v>
      </c>
      <c r="G937" s="14">
        <v>0.23</v>
      </c>
      <c r="H937" s="14">
        <v>0.03</v>
      </c>
      <c r="I937" s="14">
        <v>25</v>
      </c>
      <c r="J937" s="14">
        <v>0.17</v>
      </c>
    </row>
    <row r="938" spans="1:10" hidden="1">
      <c r="A938" s="131" t="str">
        <f t="shared" si="14"/>
        <v>Mercure Le Mans Centre_2018-09</v>
      </c>
      <c r="B938" s="14" t="s">
        <v>231</v>
      </c>
      <c r="C938" s="14" t="s">
        <v>2303</v>
      </c>
      <c r="D938" s="14" t="s">
        <v>535</v>
      </c>
      <c r="E938" s="14" t="s">
        <v>2268</v>
      </c>
      <c r="F938" s="14">
        <v>7</v>
      </c>
      <c r="G938" s="14">
        <v>6.41</v>
      </c>
      <c r="H938" s="14">
        <v>0.92</v>
      </c>
      <c r="I938" s="14">
        <v>25</v>
      </c>
      <c r="J938" s="14">
        <v>4.8099999999999996</v>
      </c>
    </row>
    <row r="939" spans="1:10" hidden="1">
      <c r="A939" s="131" t="str">
        <f t="shared" ref="A939:A1002" si="15">CONCATENATE(B939,"_",E939)</f>
        <v>Mercure Nancy_2018-07</v>
      </c>
      <c r="B939" s="14" t="s">
        <v>2102</v>
      </c>
      <c r="C939" s="14" t="s">
        <v>1785</v>
      </c>
      <c r="D939" s="14" t="s">
        <v>535</v>
      </c>
      <c r="E939" s="14" t="s">
        <v>2144</v>
      </c>
      <c r="F939" s="14">
        <v>5</v>
      </c>
      <c r="G939" s="14">
        <v>38</v>
      </c>
      <c r="H939" s="14">
        <v>7.6</v>
      </c>
      <c r="I939" s="14">
        <v>30</v>
      </c>
      <c r="J939" s="14">
        <v>26.6</v>
      </c>
    </row>
    <row r="940" spans="1:10">
      <c r="A940" s="131" t="str">
        <f t="shared" si="15"/>
        <v>Mercure Nancy_2018-08</v>
      </c>
      <c r="B940" s="14" t="s">
        <v>2102</v>
      </c>
      <c r="C940" s="14" t="s">
        <v>1785</v>
      </c>
      <c r="D940" s="14" t="s">
        <v>535</v>
      </c>
      <c r="E940" s="14" t="s">
        <v>2189</v>
      </c>
      <c r="F940" s="14">
        <v>5</v>
      </c>
      <c r="G940" s="14">
        <v>113.03</v>
      </c>
      <c r="H940" s="14">
        <v>22.61</v>
      </c>
      <c r="I940" s="14">
        <v>30</v>
      </c>
      <c r="J940" s="14">
        <v>79.12</v>
      </c>
    </row>
    <row r="941" spans="1:10" hidden="1">
      <c r="A941" s="131" t="str">
        <f t="shared" si="15"/>
        <v>Mercure Nancy_2018-09</v>
      </c>
      <c r="B941" s="14" t="s">
        <v>2102</v>
      </c>
      <c r="C941" s="14" t="s">
        <v>1785</v>
      </c>
      <c r="D941" s="14" t="s">
        <v>535</v>
      </c>
      <c r="E941" s="14" t="s">
        <v>2268</v>
      </c>
      <c r="F941" s="14">
        <v>5</v>
      </c>
      <c r="G941" s="14">
        <v>107.25</v>
      </c>
      <c r="H941" s="14">
        <v>21.45</v>
      </c>
      <c r="I941" s="14">
        <v>30</v>
      </c>
      <c r="J941" s="14">
        <v>75.08</v>
      </c>
    </row>
    <row r="942" spans="1:10" hidden="1">
      <c r="A942" s="131" t="str">
        <f t="shared" si="15"/>
        <v>Mercure Porte de Saint-Ouen_2018-07</v>
      </c>
      <c r="B942" s="14" t="s">
        <v>2103</v>
      </c>
      <c r="C942" s="14" t="s">
        <v>1542</v>
      </c>
      <c r="D942" s="14" t="s">
        <v>535</v>
      </c>
      <c r="E942" s="14" t="s">
        <v>2144</v>
      </c>
      <c r="F942" s="14">
        <v>11.77</v>
      </c>
      <c r="G942" s="14">
        <v>1075.93</v>
      </c>
      <c r="H942" s="14">
        <v>91.41</v>
      </c>
      <c r="I942" s="14">
        <v>30</v>
      </c>
      <c r="J942" s="14">
        <v>753.15</v>
      </c>
    </row>
    <row r="943" spans="1:10">
      <c r="A943" s="131" t="str">
        <f t="shared" si="15"/>
        <v>Mercure Porte de Saint-Ouen_2018-08</v>
      </c>
      <c r="B943" s="14" t="s">
        <v>2103</v>
      </c>
      <c r="C943" s="14" t="s">
        <v>1542</v>
      </c>
      <c r="D943" s="14" t="s">
        <v>535</v>
      </c>
      <c r="E943" s="14" t="s">
        <v>2189</v>
      </c>
      <c r="F943" s="14">
        <v>13</v>
      </c>
      <c r="G943" s="14">
        <v>1303.8900000000001</v>
      </c>
      <c r="H943" s="14">
        <v>100.3</v>
      </c>
      <c r="I943" s="14">
        <v>30</v>
      </c>
      <c r="J943" s="14">
        <v>912.72</v>
      </c>
    </row>
    <row r="944" spans="1:10" hidden="1">
      <c r="A944" s="131" t="str">
        <f t="shared" si="15"/>
        <v>Mercure Porte de Saint-Ouen_2018-09</v>
      </c>
      <c r="B944" s="14" t="s">
        <v>2103</v>
      </c>
      <c r="C944" s="14" t="s">
        <v>1542</v>
      </c>
      <c r="D944" s="14" t="s">
        <v>535</v>
      </c>
      <c r="E944" s="14" t="s">
        <v>2268</v>
      </c>
      <c r="F944" s="14">
        <v>13</v>
      </c>
      <c r="G944" s="14">
        <v>1092.54</v>
      </c>
      <c r="H944" s="14">
        <v>84.04</v>
      </c>
      <c r="I944" s="14">
        <v>30</v>
      </c>
      <c r="J944" s="14">
        <v>764.78</v>
      </c>
    </row>
    <row r="945" spans="1:10" hidden="1">
      <c r="A945" s="131" t="str">
        <f t="shared" si="15"/>
        <v>Mercure Porte de St Cloud_2018-07</v>
      </c>
      <c r="B945" s="14" t="s">
        <v>2104</v>
      </c>
      <c r="C945" s="14" t="s">
        <v>777</v>
      </c>
      <c r="D945" s="14" t="s">
        <v>535</v>
      </c>
      <c r="E945" s="14" t="s">
        <v>2144</v>
      </c>
      <c r="F945" s="14">
        <v>15</v>
      </c>
      <c r="G945" s="14">
        <v>1496.73</v>
      </c>
      <c r="H945" s="14">
        <v>99.78</v>
      </c>
      <c r="I945" s="14">
        <v>30</v>
      </c>
      <c r="J945" s="14">
        <v>1047.71</v>
      </c>
    </row>
    <row r="946" spans="1:10">
      <c r="A946" s="131" t="str">
        <f t="shared" si="15"/>
        <v>Mercure Porte de St Cloud_2018-08</v>
      </c>
      <c r="B946" s="14" t="s">
        <v>2104</v>
      </c>
      <c r="C946" s="14" t="s">
        <v>777</v>
      </c>
      <c r="D946" s="14" t="s">
        <v>535</v>
      </c>
      <c r="E946" s="14" t="s">
        <v>2189</v>
      </c>
      <c r="F946" s="14">
        <v>15</v>
      </c>
      <c r="G946" s="14">
        <v>1078.72</v>
      </c>
      <c r="H946" s="14">
        <v>71.91</v>
      </c>
      <c r="I946" s="14">
        <v>30</v>
      </c>
      <c r="J946" s="14">
        <v>755.1</v>
      </c>
    </row>
    <row r="947" spans="1:10" hidden="1">
      <c r="A947" s="131" t="str">
        <f t="shared" si="15"/>
        <v>Mercure Porte de St Cloud_2018-09</v>
      </c>
      <c r="B947" s="14" t="s">
        <v>2104</v>
      </c>
      <c r="C947" s="14" t="s">
        <v>777</v>
      </c>
      <c r="D947" s="14" t="s">
        <v>535</v>
      </c>
      <c r="E947" s="14" t="s">
        <v>2268</v>
      </c>
      <c r="F947" s="14">
        <v>15</v>
      </c>
      <c r="G947" s="14">
        <v>1894.79</v>
      </c>
      <c r="H947" s="14">
        <v>126.32</v>
      </c>
      <c r="I947" s="14">
        <v>30</v>
      </c>
      <c r="J947" s="14">
        <v>1326.35</v>
      </c>
    </row>
    <row r="948" spans="1:10" hidden="1">
      <c r="A948" s="131" t="str">
        <f t="shared" si="15"/>
        <v>Mercure Reims_2018-07</v>
      </c>
      <c r="B948" s="14" t="s">
        <v>2105</v>
      </c>
      <c r="C948" s="14" t="s">
        <v>1383</v>
      </c>
      <c r="D948" s="14" t="s">
        <v>535</v>
      </c>
      <c r="E948" s="14" t="s">
        <v>2144</v>
      </c>
      <c r="F948" s="14">
        <v>5</v>
      </c>
      <c r="G948" s="14">
        <v>35.85</v>
      </c>
      <c r="H948" s="14">
        <v>7.17</v>
      </c>
      <c r="I948" s="14">
        <v>30</v>
      </c>
      <c r="J948" s="14">
        <v>25.09</v>
      </c>
    </row>
    <row r="949" spans="1:10">
      <c r="A949" s="131" t="str">
        <f t="shared" si="15"/>
        <v>Mercure Reims_2018-08</v>
      </c>
      <c r="B949" s="14" t="s">
        <v>2105</v>
      </c>
      <c r="C949" s="14" t="s">
        <v>1383</v>
      </c>
      <c r="D949" s="14" t="s">
        <v>535</v>
      </c>
      <c r="E949" s="14" t="s">
        <v>2189</v>
      </c>
      <c r="F949" s="14">
        <v>5</v>
      </c>
      <c r="G949" s="14">
        <v>39.299999999999997</v>
      </c>
      <c r="H949" s="14">
        <v>7.86</v>
      </c>
      <c r="I949" s="14">
        <v>30</v>
      </c>
      <c r="J949" s="14">
        <v>27.51</v>
      </c>
    </row>
    <row r="950" spans="1:10" hidden="1">
      <c r="A950" s="131" t="str">
        <f t="shared" si="15"/>
        <v>Mercure Roissy CDG_2018-07</v>
      </c>
      <c r="B950" s="14" t="s">
        <v>1683</v>
      </c>
      <c r="C950" s="14" t="s">
        <v>1825</v>
      </c>
      <c r="D950" s="14" t="s">
        <v>535</v>
      </c>
      <c r="E950" s="14" t="s">
        <v>2144</v>
      </c>
      <c r="F950" s="14">
        <v>15.97</v>
      </c>
      <c r="G950" s="14">
        <v>1420.8</v>
      </c>
      <c r="H950" s="14">
        <v>88.97</v>
      </c>
      <c r="I950" s="14">
        <v>20</v>
      </c>
      <c r="J950" s="14">
        <v>1136.6400000000001</v>
      </c>
    </row>
    <row r="951" spans="1:10">
      <c r="A951" s="131" t="str">
        <f t="shared" si="15"/>
        <v>Mercure Roissy CDG_2018-08</v>
      </c>
      <c r="B951" s="14" t="s">
        <v>1683</v>
      </c>
      <c r="C951" s="14" t="s">
        <v>1825</v>
      </c>
      <c r="D951" s="14" t="s">
        <v>535</v>
      </c>
      <c r="E951" s="14" t="s">
        <v>2189</v>
      </c>
      <c r="F951" s="14">
        <v>15</v>
      </c>
      <c r="G951" s="14">
        <v>2053.4</v>
      </c>
      <c r="H951" s="14">
        <v>136.88999999999999</v>
      </c>
      <c r="I951" s="14">
        <v>20</v>
      </c>
      <c r="J951" s="14">
        <v>1642.72</v>
      </c>
    </row>
    <row r="952" spans="1:10" hidden="1">
      <c r="A952" s="131" t="str">
        <f t="shared" si="15"/>
        <v>Mercure Roissy CDG_2018-09</v>
      </c>
      <c r="B952" s="14" t="s">
        <v>1683</v>
      </c>
      <c r="C952" s="14" t="s">
        <v>1825</v>
      </c>
      <c r="D952" s="14" t="s">
        <v>535</v>
      </c>
      <c r="E952" s="14" t="s">
        <v>2268</v>
      </c>
      <c r="F952" s="14">
        <v>20</v>
      </c>
      <c r="G952" s="14">
        <v>2849.6</v>
      </c>
      <c r="H952" s="14">
        <v>142.47999999999999</v>
      </c>
      <c r="I952" s="14">
        <v>20</v>
      </c>
      <c r="J952" s="14">
        <v>2279.6799999999998</v>
      </c>
    </row>
    <row r="953" spans="1:10" hidden="1">
      <c r="A953" s="131" t="str">
        <f t="shared" si="15"/>
        <v>Métropole Habitat_2018-07</v>
      </c>
      <c r="B953" s="14" t="s">
        <v>1275</v>
      </c>
      <c r="C953" s="14" t="s">
        <v>1384</v>
      </c>
      <c r="D953" s="14" t="s">
        <v>535</v>
      </c>
      <c r="E953" s="14" t="s">
        <v>2144</v>
      </c>
      <c r="F953" s="14">
        <v>10</v>
      </c>
      <c r="G953" s="14">
        <v>235.67</v>
      </c>
      <c r="H953" s="14">
        <v>23.57</v>
      </c>
      <c r="I953" s="14">
        <v>30</v>
      </c>
      <c r="J953" s="14">
        <v>164.97</v>
      </c>
    </row>
    <row r="954" spans="1:10">
      <c r="A954" s="131" t="str">
        <f t="shared" si="15"/>
        <v>Métropole Habitat_2018-08</v>
      </c>
      <c r="B954" s="14" t="s">
        <v>1275</v>
      </c>
      <c r="C954" s="14" t="s">
        <v>1384</v>
      </c>
      <c r="D954" s="14" t="s">
        <v>535</v>
      </c>
      <c r="E954" s="14" t="s">
        <v>2189</v>
      </c>
      <c r="F954" s="14">
        <v>10</v>
      </c>
      <c r="G954" s="14">
        <v>229.87</v>
      </c>
      <c r="H954" s="14">
        <v>22.99</v>
      </c>
      <c r="I954" s="14">
        <v>30</v>
      </c>
      <c r="J954" s="14">
        <v>160.91</v>
      </c>
    </row>
    <row r="955" spans="1:10" hidden="1">
      <c r="A955" s="131" t="str">
        <f t="shared" si="15"/>
        <v>Métropole Habitat_2018-09</v>
      </c>
      <c r="B955" s="14" t="s">
        <v>1275</v>
      </c>
      <c r="C955" s="14" t="s">
        <v>1384</v>
      </c>
      <c r="D955" s="14" t="s">
        <v>535</v>
      </c>
      <c r="E955" s="14" t="s">
        <v>2268</v>
      </c>
      <c r="F955" s="14">
        <v>10</v>
      </c>
      <c r="G955" s="14">
        <v>232.27</v>
      </c>
      <c r="H955" s="14">
        <v>23.23</v>
      </c>
      <c r="I955" s="14">
        <v>30</v>
      </c>
      <c r="J955" s="14">
        <v>162.59</v>
      </c>
    </row>
    <row r="956" spans="1:10" hidden="1">
      <c r="A956" s="131" t="str">
        <f t="shared" si="15"/>
        <v>Métropole Habitat_2018-07</v>
      </c>
      <c r="B956" s="14" t="s">
        <v>1275</v>
      </c>
      <c r="C956" s="14" t="s">
        <v>976</v>
      </c>
      <c r="D956" s="14" t="s">
        <v>535</v>
      </c>
      <c r="E956" s="14" t="s">
        <v>2144</v>
      </c>
      <c r="F956" s="14">
        <v>10</v>
      </c>
      <c r="G956" s="14">
        <v>246.17</v>
      </c>
      <c r="H956" s="14">
        <v>24.62</v>
      </c>
      <c r="I956" s="14">
        <v>30</v>
      </c>
      <c r="J956" s="14">
        <v>172.32</v>
      </c>
    </row>
    <row r="957" spans="1:10">
      <c r="A957" s="131" t="str">
        <f t="shared" si="15"/>
        <v>Métropole Habitat_2018-08</v>
      </c>
      <c r="B957" s="14" t="s">
        <v>1275</v>
      </c>
      <c r="C957" s="14" t="s">
        <v>976</v>
      </c>
      <c r="D957" s="14" t="s">
        <v>535</v>
      </c>
      <c r="E957" s="14" t="s">
        <v>2189</v>
      </c>
      <c r="F957" s="14">
        <v>8.32</v>
      </c>
      <c r="G957" s="14">
        <v>217.92</v>
      </c>
      <c r="H957" s="14">
        <v>26.19</v>
      </c>
      <c r="I957" s="14">
        <v>30</v>
      </c>
      <c r="J957" s="14">
        <v>152.54</v>
      </c>
    </row>
    <row r="958" spans="1:10" hidden="1">
      <c r="A958" s="131" t="str">
        <f t="shared" si="15"/>
        <v>Métropole Habitat_2018-09</v>
      </c>
      <c r="B958" s="14" t="s">
        <v>1275</v>
      </c>
      <c r="C958" s="14" t="s">
        <v>976</v>
      </c>
      <c r="D958" s="14" t="s">
        <v>535</v>
      </c>
      <c r="E958" s="14" t="s">
        <v>2268</v>
      </c>
      <c r="F958" s="14">
        <v>10</v>
      </c>
      <c r="G958" s="14">
        <v>216.56</v>
      </c>
      <c r="H958" s="14">
        <v>21.66</v>
      </c>
      <c r="I958" s="14">
        <v>30</v>
      </c>
      <c r="J958" s="14">
        <v>151.59</v>
      </c>
    </row>
    <row r="959" spans="1:10" hidden="1">
      <c r="A959" s="131" t="str">
        <f t="shared" si="15"/>
        <v>Métropole Habitat_2018-07</v>
      </c>
      <c r="B959" s="14" t="s">
        <v>1275</v>
      </c>
      <c r="C959" s="14" t="s">
        <v>1276</v>
      </c>
      <c r="D959" s="14" t="s">
        <v>535</v>
      </c>
      <c r="E959" s="14" t="s">
        <v>2144</v>
      </c>
      <c r="F959" s="14">
        <v>10</v>
      </c>
      <c r="G959" s="14">
        <v>54.11</v>
      </c>
      <c r="H959" s="14">
        <v>5.41</v>
      </c>
      <c r="I959" s="14">
        <v>30</v>
      </c>
      <c r="J959" s="14">
        <v>37.880000000000003</v>
      </c>
    </row>
    <row r="960" spans="1:10">
      <c r="A960" s="131" t="str">
        <f t="shared" si="15"/>
        <v>Métropole Habitat_2018-08</v>
      </c>
      <c r="B960" s="14" t="s">
        <v>1275</v>
      </c>
      <c r="C960" s="14" t="s">
        <v>1276</v>
      </c>
      <c r="D960" s="14" t="s">
        <v>535</v>
      </c>
      <c r="E960" s="14" t="s">
        <v>2189</v>
      </c>
      <c r="F960" s="14">
        <v>10</v>
      </c>
      <c r="G960" s="14">
        <v>188.76</v>
      </c>
      <c r="H960" s="14">
        <v>18.88</v>
      </c>
      <c r="I960" s="14">
        <v>30</v>
      </c>
      <c r="J960" s="14">
        <v>132.13</v>
      </c>
    </row>
    <row r="961" spans="1:10" hidden="1">
      <c r="A961" s="131" t="str">
        <f t="shared" si="15"/>
        <v>Métropole Habitat_2018-09</v>
      </c>
      <c r="B961" s="14" t="s">
        <v>1275</v>
      </c>
      <c r="C961" s="14" t="s">
        <v>1276</v>
      </c>
      <c r="D961" s="14" t="s">
        <v>535</v>
      </c>
      <c r="E961" s="14" t="s">
        <v>2268</v>
      </c>
      <c r="F961" s="14">
        <v>10</v>
      </c>
      <c r="G961" s="14">
        <v>249.35</v>
      </c>
      <c r="H961" s="14">
        <v>24.93</v>
      </c>
      <c r="I961" s="14">
        <v>30</v>
      </c>
      <c r="J961" s="14">
        <v>174.54</v>
      </c>
    </row>
    <row r="962" spans="1:10" hidden="1">
      <c r="A962" s="131" t="str">
        <f t="shared" si="15"/>
        <v>Métropole Habitat_2018-07</v>
      </c>
      <c r="B962" s="14" t="s">
        <v>1275</v>
      </c>
      <c r="C962" s="14" t="s">
        <v>1627</v>
      </c>
      <c r="D962" s="14" t="s">
        <v>535</v>
      </c>
      <c r="E962" s="14" t="s">
        <v>2144</v>
      </c>
      <c r="F962" s="14">
        <v>10</v>
      </c>
      <c r="G962" s="14">
        <v>29.35</v>
      </c>
      <c r="H962" s="14">
        <v>2.94</v>
      </c>
      <c r="I962" s="14">
        <v>30</v>
      </c>
      <c r="J962" s="14">
        <v>20.55</v>
      </c>
    </row>
    <row r="963" spans="1:10">
      <c r="A963" s="131" t="str">
        <f t="shared" si="15"/>
        <v>Métropole Habitat_2018-08</v>
      </c>
      <c r="B963" s="14" t="s">
        <v>1275</v>
      </c>
      <c r="C963" s="14" t="s">
        <v>1627</v>
      </c>
      <c r="D963" s="14" t="s">
        <v>535</v>
      </c>
      <c r="E963" s="14" t="s">
        <v>2189</v>
      </c>
      <c r="F963" s="14">
        <v>10</v>
      </c>
      <c r="G963" s="14">
        <v>67.260000000000005</v>
      </c>
      <c r="H963" s="14">
        <v>6.73</v>
      </c>
      <c r="I963" s="14">
        <v>30</v>
      </c>
      <c r="J963" s="14">
        <v>47.08</v>
      </c>
    </row>
    <row r="964" spans="1:10" hidden="1">
      <c r="A964" s="131" t="str">
        <f t="shared" si="15"/>
        <v>Métropole Habitat_2018-09</v>
      </c>
      <c r="B964" s="14" t="s">
        <v>1275</v>
      </c>
      <c r="C964" s="14" t="s">
        <v>1627</v>
      </c>
      <c r="D964" s="14" t="s">
        <v>535</v>
      </c>
      <c r="E964" s="14" t="s">
        <v>2268</v>
      </c>
      <c r="F964" s="14">
        <v>10</v>
      </c>
      <c r="G964" s="14">
        <v>206.53</v>
      </c>
      <c r="H964" s="14">
        <v>20.65</v>
      </c>
      <c r="I964" s="14">
        <v>30</v>
      </c>
      <c r="J964" s="14">
        <v>144.57</v>
      </c>
    </row>
    <row r="965" spans="1:10" hidden="1">
      <c r="A965" s="131" t="str">
        <f t="shared" si="15"/>
        <v>Métropole Habitat_2018-07</v>
      </c>
      <c r="B965" s="14" t="s">
        <v>1275</v>
      </c>
      <c r="C965" s="14" t="s">
        <v>1188</v>
      </c>
      <c r="D965" s="14" t="s">
        <v>535</v>
      </c>
      <c r="E965" s="14" t="s">
        <v>2144</v>
      </c>
      <c r="F965" s="14">
        <v>8</v>
      </c>
      <c r="G965" s="14">
        <v>175.97</v>
      </c>
      <c r="H965" s="14">
        <v>22</v>
      </c>
      <c r="I965" s="14">
        <v>40</v>
      </c>
      <c r="J965" s="14">
        <v>105.58</v>
      </c>
    </row>
    <row r="966" spans="1:10">
      <c r="A966" s="131" t="str">
        <f t="shared" si="15"/>
        <v>Métropole Habitat_2018-08</v>
      </c>
      <c r="B966" s="14" t="s">
        <v>1275</v>
      </c>
      <c r="C966" s="14" t="s">
        <v>1188</v>
      </c>
      <c r="D966" s="14" t="s">
        <v>535</v>
      </c>
      <c r="E966" s="14" t="s">
        <v>2189</v>
      </c>
      <c r="F966" s="14">
        <v>8</v>
      </c>
      <c r="G966" s="14">
        <v>175</v>
      </c>
      <c r="H966" s="14">
        <v>21.88</v>
      </c>
      <c r="I966" s="14">
        <v>30</v>
      </c>
      <c r="J966" s="14">
        <v>122.5</v>
      </c>
    </row>
    <row r="967" spans="1:10" hidden="1">
      <c r="A967" s="131" t="str">
        <f t="shared" si="15"/>
        <v>Métropole Habitat_2018-09</v>
      </c>
      <c r="B967" s="14" t="s">
        <v>1275</v>
      </c>
      <c r="C967" s="14" t="s">
        <v>1188</v>
      </c>
      <c r="D967" s="14" t="s">
        <v>535</v>
      </c>
      <c r="E967" s="14" t="s">
        <v>2268</v>
      </c>
      <c r="F967" s="14">
        <v>8</v>
      </c>
      <c r="G967" s="14">
        <v>175</v>
      </c>
      <c r="H967" s="14">
        <v>21.88</v>
      </c>
      <c r="I967" s="14">
        <v>30</v>
      </c>
      <c r="J967" s="14">
        <v>122.5</v>
      </c>
    </row>
    <row r="968" spans="1:10" hidden="1">
      <c r="A968" s="131" t="str">
        <f t="shared" si="15"/>
        <v>Métropole Habitat_2018-07</v>
      </c>
      <c r="B968" s="14" t="s">
        <v>1275</v>
      </c>
      <c r="C968" s="14" t="s">
        <v>1052</v>
      </c>
      <c r="D968" s="14" t="s">
        <v>535</v>
      </c>
      <c r="E968" s="14" t="s">
        <v>2144</v>
      </c>
      <c r="F968" s="14">
        <v>8</v>
      </c>
      <c r="G968" s="14">
        <v>4</v>
      </c>
      <c r="H968" s="14">
        <v>0.5</v>
      </c>
      <c r="I968" s="14">
        <v>30</v>
      </c>
      <c r="J968" s="14">
        <v>2.8</v>
      </c>
    </row>
    <row r="969" spans="1:10">
      <c r="A969" s="131" t="str">
        <f t="shared" si="15"/>
        <v>Métropole Habitat_2018-08</v>
      </c>
      <c r="B969" s="14" t="s">
        <v>1275</v>
      </c>
      <c r="C969" s="14" t="s">
        <v>1052</v>
      </c>
      <c r="D969" s="14" t="s">
        <v>535</v>
      </c>
      <c r="E969" s="14" t="s">
        <v>2189</v>
      </c>
      <c r="F969" s="14">
        <v>8</v>
      </c>
      <c r="G969" s="14">
        <v>24.14</v>
      </c>
      <c r="H969" s="14">
        <v>3.02</v>
      </c>
      <c r="I969" s="14">
        <v>30</v>
      </c>
      <c r="J969" s="14">
        <v>16.899999999999999</v>
      </c>
    </row>
    <row r="970" spans="1:10" hidden="1">
      <c r="A970" s="131" t="str">
        <f t="shared" si="15"/>
        <v>Métropole Habitat_2018-09</v>
      </c>
      <c r="B970" s="14" t="s">
        <v>1275</v>
      </c>
      <c r="C970" s="14" t="s">
        <v>1052</v>
      </c>
      <c r="D970" s="14" t="s">
        <v>535</v>
      </c>
      <c r="E970" s="14" t="s">
        <v>2268</v>
      </c>
      <c r="F970" s="14">
        <v>8</v>
      </c>
      <c r="G970" s="14">
        <v>21.9</v>
      </c>
      <c r="H970" s="14">
        <v>2.74</v>
      </c>
      <c r="I970" s="14">
        <v>30</v>
      </c>
      <c r="J970" s="14">
        <v>15.33</v>
      </c>
    </row>
    <row r="971" spans="1:10" hidden="1">
      <c r="A971" s="131" t="str">
        <f t="shared" si="15"/>
        <v>Métropole Habitat_2018-07</v>
      </c>
      <c r="B971" s="14" t="s">
        <v>1275</v>
      </c>
      <c r="C971" s="14" t="s">
        <v>1189</v>
      </c>
      <c r="D971" s="14" t="s">
        <v>535</v>
      </c>
      <c r="E971" s="14" t="s">
        <v>2144</v>
      </c>
      <c r="F971" s="14">
        <v>10</v>
      </c>
      <c r="G971" s="14">
        <v>8</v>
      </c>
      <c r="H971" s="14">
        <v>0.8</v>
      </c>
      <c r="I971" s="14">
        <v>30</v>
      </c>
      <c r="J971" s="14">
        <v>5.6</v>
      </c>
    </row>
    <row r="972" spans="1:10">
      <c r="A972" s="131" t="str">
        <f t="shared" si="15"/>
        <v>Métropole Habitat_2018-08</v>
      </c>
      <c r="B972" s="14" t="s">
        <v>1275</v>
      </c>
      <c r="C972" s="14" t="s">
        <v>1189</v>
      </c>
      <c r="D972" s="14" t="s">
        <v>535</v>
      </c>
      <c r="E972" s="14" t="s">
        <v>2189</v>
      </c>
      <c r="F972" s="14">
        <v>10</v>
      </c>
      <c r="G972" s="14">
        <v>6</v>
      </c>
      <c r="H972" s="14">
        <v>0.6</v>
      </c>
      <c r="I972" s="14">
        <v>30</v>
      </c>
      <c r="J972" s="14">
        <v>4.2</v>
      </c>
    </row>
    <row r="973" spans="1:10" hidden="1">
      <c r="A973" s="131" t="str">
        <f t="shared" si="15"/>
        <v>Métropole Habitat_2018-09</v>
      </c>
      <c r="B973" s="14" t="s">
        <v>1275</v>
      </c>
      <c r="C973" s="14" t="s">
        <v>1189</v>
      </c>
      <c r="D973" s="14" t="s">
        <v>535</v>
      </c>
      <c r="E973" s="14" t="s">
        <v>2268</v>
      </c>
      <c r="F973" s="14">
        <v>10</v>
      </c>
      <c r="G973" s="14">
        <v>25.33</v>
      </c>
      <c r="H973" s="14">
        <v>2.5299999999999998</v>
      </c>
      <c r="I973" s="14">
        <v>30</v>
      </c>
      <c r="J973" s="14">
        <v>17.73</v>
      </c>
    </row>
    <row r="974" spans="1:10">
      <c r="A974" s="131" t="str">
        <f t="shared" si="15"/>
        <v>Nantes Habitat_2018-08</v>
      </c>
      <c r="B974" s="14" t="s">
        <v>401</v>
      </c>
      <c r="C974" s="14" t="s">
        <v>778</v>
      </c>
      <c r="D974" s="14" t="s">
        <v>2220</v>
      </c>
      <c r="E974" s="14" t="s">
        <v>2189</v>
      </c>
      <c r="F974" s="14">
        <v>8.35</v>
      </c>
      <c r="G974" s="14">
        <v>24</v>
      </c>
      <c r="H974" s="14">
        <v>2.87</v>
      </c>
      <c r="I974" s="14">
        <v>35</v>
      </c>
      <c r="J974" s="14">
        <v>15.6</v>
      </c>
    </row>
    <row r="975" spans="1:10" hidden="1">
      <c r="A975" s="131" t="str">
        <f t="shared" si="15"/>
        <v>Nantes Habitat_2018-07</v>
      </c>
      <c r="B975" s="14" t="s">
        <v>401</v>
      </c>
      <c r="C975" s="14" t="s">
        <v>779</v>
      </c>
      <c r="D975" s="14" t="s">
        <v>780</v>
      </c>
      <c r="E975" s="14" t="s">
        <v>2144</v>
      </c>
      <c r="F975" s="14">
        <v>8</v>
      </c>
      <c r="G975" s="14">
        <v>333.44</v>
      </c>
      <c r="H975" s="14">
        <v>41.68</v>
      </c>
      <c r="I975" s="14">
        <v>35</v>
      </c>
      <c r="J975" s="14">
        <v>216.74</v>
      </c>
    </row>
    <row r="976" spans="1:10">
      <c r="A976" s="131" t="str">
        <f t="shared" si="15"/>
        <v>Nantes Habitat_2018-08</v>
      </c>
      <c r="B976" s="14" t="s">
        <v>401</v>
      </c>
      <c r="C976" s="14" t="s">
        <v>779</v>
      </c>
      <c r="D976" s="14" t="s">
        <v>780</v>
      </c>
      <c r="E976" s="14" t="s">
        <v>2189</v>
      </c>
      <c r="F976" s="14">
        <v>8</v>
      </c>
      <c r="G976" s="14">
        <v>280.38</v>
      </c>
      <c r="H976" s="14">
        <v>35.049999999999997</v>
      </c>
      <c r="I976" s="14">
        <v>35</v>
      </c>
      <c r="J976" s="14">
        <v>182.25</v>
      </c>
    </row>
    <row r="977" spans="1:10" hidden="1">
      <c r="A977" s="131" t="str">
        <f t="shared" si="15"/>
        <v>Nantes Habitat_2018-09</v>
      </c>
      <c r="B977" s="14" t="s">
        <v>401</v>
      </c>
      <c r="C977" s="14" t="s">
        <v>779</v>
      </c>
      <c r="D977" s="14" t="s">
        <v>780</v>
      </c>
      <c r="E977" s="14" t="s">
        <v>2268</v>
      </c>
      <c r="F977" s="14">
        <v>8</v>
      </c>
      <c r="G977" s="14">
        <v>184.68</v>
      </c>
      <c r="H977" s="14">
        <v>23.09</v>
      </c>
      <c r="I977" s="14">
        <v>35</v>
      </c>
      <c r="J977" s="14">
        <v>120.04</v>
      </c>
    </row>
    <row r="978" spans="1:10" hidden="1">
      <c r="A978" s="131" t="str">
        <f t="shared" si="15"/>
        <v>Nantes Habitat_2018-07</v>
      </c>
      <c r="B978" s="14" t="s">
        <v>401</v>
      </c>
      <c r="C978" s="14" t="s">
        <v>781</v>
      </c>
      <c r="D978" s="14" t="s">
        <v>782</v>
      </c>
      <c r="E978" s="14" t="s">
        <v>2144</v>
      </c>
      <c r="F978" s="14">
        <v>5</v>
      </c>
      <c r="G978" s="14">
        <v>831.31</v>
      </c>
      <c r="H978" s="14">
        <v>166.26</v>
      </c>
      <c r="I978" s="14">
        <v>35</v>
      </c>
      <c r="J978" s="14">
        <v>540.35</v>
      </c>
    </row>
    <row r="979" spans="1:10">
      <c r="A979" s="131" t="str">
        <f t="shared" si="15"/>
        <v>Nantes Habitat_2018-08</v>
      </c>
      <c r="B979" s="14" t="s">
        <v>401</v>
      </c>
      <c r="C979" s="14" t="s">
        <v>781</v>
      </c>
      <c r="D979" s="14" t="s">
        <v>782</v>
      </c>
      <c r="E979" s="14" t="s">
        <v>2189</v>
      </c>
      <c r="F979" s="14">
        <v>5</v>
      </c>
      <c r="G979" s="14">
        <v>768.59</v>
      </c>
      <c r="H979" s="14">
        <v>153.72</v>
      </c>
      <c r="I979" s="14">
        <v>35</v>
      </c>
      <c r="J979" s="14">
        <v>499.58</v>
      </c>
    </row>
    <row r="980" spans="1:10" hidden="1">
      <c r="A980" s="131" t="str">
        <f t="shared" si="15"/>
        <v>Nantes Habitat_2018-09</v>
      </c>
      <c r="B980" s="14" t="s">
        <v>401</v>
      </c>
      <c r="C980" s="14" t="s">
        <v>781</v>
      </c>
      <c r="D980" s="14" t="s">
        <v>782</v>
      </c>
      <c r="E980" s="14" t="s">
        <v>2268</v>
      </c>
      <c r="F980" s="14">
        <v>5</v>
      </c>
      <c r="G980" s="14">
        <v>1034.51</v>
      </c>
      <c r="H980" s="14">
        <v>206.9</v>
      </c>
      <c r="I980" s="14">
        <v>35</v>
      </c>
      <c r="J980" s="14">
        <v>672.43</v>
      </c>
    </row>
    <row r="981" spans="1:10" hidden="1">
      <c r="A981" s="131" t="str">
        <f t="shared" si="15"/>
        <v>Nantes Habitat_2018-07</v>
      </c>
      <c r="B981" s="14" t="s">
        <v>401</v>
      </c>
      <c r="C981" s="14" t="s">
        <v>783</v>
      </c>
      <c r="D981" s="14" t="s">
        <v>784</v>
      </c>
      <c r="E981" s="14" t="s">
        <v>2144</v>
      </c>
      <c r="F981" s="14">
        <v>4</v>
      </c>
      <c r="G981" s="14">
        <v>292.54000000000002</v>
      </c>
      <c r="H981" s="14">
        <v>73.14</v>
      </c>
      <c r="I981" s="14">
        <v>35</v>
      </c>
      <c r="J981" s="14">
        <v>190.15</v>
      </c>
    </row>
    <row r="982" spans="1:10">
      <c r="A982" s="131" t="str">
        <f t="shared" si="15"/>
        <v>Nantes Habitat_2018-08</v>
      </c>
      <c r="B982" s="14" t="s">
        <v>401</v>
      </c>
      <c r="C982" s="14" t="s">
        <v>783</v>
      </c>
      <c r="D982" s="14" t="s">
        <v>784</v>
      </c>
      <c r="E982" s="14" t="s">
        <v>2189</v>
      </c>
      <c r="F982" s="14">
        <v>3.48</v>
      </c>
      <c r="G982" s="14">
        <v>557.42999999999995</v>
      </c>
      <c r="H982" s="14">
        <v>160.18</v>
      </c>
      <c r="I982" s="14">
        <v>35</v>
      </c>
      <c r="J982" s="14">
        <v>362.33</v>
      </c>
    </row>
    <row r="983" spans="1:10" hidden="1">
      <c r="A983" s="131" t="str">
        <f t="shared" si="15"/>
        <v>Nantes Habitat_2018-09</v>
      </c>
      <c r="B983" s="14" t="s">
        <v>401</v>
      </c>
      <c r="C983" s="14" t="s">
        <v>783</v>
      </c>
      <c r="D983" s="14" t="s">
        <v>784</v>
      </c>
      <c r="E983" s="14" t="s">
        <v>2268</v>
      </c>
      <c r="F983" s="14">
        <v>3</v>
      </c>
      <c r="G983" s="14">
        <v>374.91</v>
      </c>
      <c r="H983" s="14">
        <v>124.97</v>
      </c>
      <c r="I983" s="14">
        <v>35</v>
      </c>
      <c r="J983" s="14">
        <v>243.69</v>
      </c>
    </row>
    <row r="984" spans="1:10" hidden="1">
      <c r="A984" s="131" t="str">
        <f t="shared" si="15"/>
        <v>Nantes Habitat_2018-07</v>
      </c>
      <c r="B984" s="14" t="s">
        <v>401</v>
      </c>
      <c r="C984" s="14" t="s">
        <v>785</v>
      </c>
      <c r="D984" s="14" t="s">
        <v>786</v>
      </c>
      <c r="E984" s="14" t="s">
        <v>2144</v>
      </c>
      <c r="F984" s="14">
        <v>7</v>
      </c>
      <c r="G984" s="14">
        <v>1345.89</v>
      </c>
      <c r="H984" s="14">
        <v>192.27</v>
      </c>
      <c r="I984" s="14">
        <v>35</v>
      </c>
      <c r="J984" s="14">
        <v>874.83</v>
      </c>
    </row>
    <row r="985" spans="1:10">
      <c r="A985" s="131" t="str">
        <f t="shared" si="15"/>
        <v>Nantes Habitat_2018-08</v>
      </c>
      <c r="B985" s="14" t="s">
        <v>401</v>
      </c>
      <c r="C985" s="14" t="s">
        <v>785</v>
      </c>
      <c r="D985" s="14" t="s">
        <v>786</v>
      </c>
      <c r="E985" s="14" t="s">
        <v>2189</v>
      </c>
      <c r="F985" s="14">
        <v>7</v>
      </c>
      <c r="G985" s="14">
        <v>1691.65</v>
      </c>
      <c r="H985" s="14">
        <v>241.66</v>
      </c>
      <c r="I985" s="14">
        <v>35</v>
      </c>
      <c r="J985" s="14">
        <v>1099.57</v>
      </c>
    </row>
    <row r="986" spans="1:10" hidden="1">
      <c r="A986" s="131" t="str">
        <f t="shared" si="15"/>
        <v>Nantes Habitat_2018-09</v>
      </c>
      <c r="B986" s="14" t="s">
        <v>401</v>
      </c>
      <c r="C986" s="14" t="s">
        <v>785</v>
      </c>
      <c r="D986" s="14" t="s">
        <v>786</v>
      </c>
      <c r="E986" s="14" t="s">
        <v>2268</v>
      </c>
      <c r="F986" s="14">
        <v>7</v>
      </c>
      <c r="G986" s="14">
        <v>2015.34</v>
      </c>
      <c r="H986" s="14">
        <v>287.91000000000003</v>
      </c>
      <c r="I986" s="14">
        <v>35</v>
      </c>
      <c r="J986" s="14">
        <v>1309.97</v>
      </c>
    </row>
    <row r="987" spans="1:10" hidden="1">
      <c r="A987" s="131" t="str">
        <f t="shared" si="15"/>
        <v>Nantes Habitat_2018-07</v>
      </c>
      <c r="B987" s="14" t="s">
        <v>401</v>
      </c>
      <c r="C987" s="14" t="s">
        <v>787</v>
      </c>
      <c r="D987" s="14" t="s">
        <v>788</v>
      </c>
      <c r="E987" s="14" t="s">
        <v>2144</v>
      </c>
      <c r="F987" s="14">
        <v>9</v>
      </c>
      <c r="G987" s="14">
        <v>275.88</v>
      </c>
      <c r="H987" s="14">
        <v>30.65</v>
      </c>
      <c r="I987" s="14">
        <v>35</v>
      </c>
      <c r="J987" s="14">
        <v>179.32</v>
      </c>
    </row>
    <row r="988" spans="1:10">
      <c r="A988" s="131" t="str">
        <f t="shared" si="15"/>
        <v>Nantes Habitat_2018-08</v>
      </c>
      <c r="B988" s="14" t="s">
        <v>401</v>
      </c>
      <c r="C988" s="14" t="s">
        <v>787</v>
      </c>
      <c r="D988" s="14" t="s">
        <v>788</v>
      </c>
      <c r="E988" s="14" t="s">
        <v>2189</v>
      </c>
      <c r="F988" s="14">
        <v>9</v>
      </c>
      <c r="G988" s="14">
        <v>347.97</v>
      </c>
      <c r="H988" s="14">
        <v>38.659999999999997</v>
      </c>
      <c r="I988" s="14">
        <v>35</v>
      </c>
      <c r="J988" s="14">
        <v>226.18</v>
      </c>
    </row>
    <row r="989" spans="1:10" hidden="1">
      <c r="A989" s="131" t="str">
        <f t="shared" si="15"/>
        <v>Nantes Habitat_2018-09</v>
      </c>
      <c r="B989" s="14" t="s">
        <v>401</v>
      </c>
      <c r="C989" s="14" t="s">
        <v>787</v>
      </c>
      <c r="D989" s="14" t="s">
        <v>788</v>
      </c>
      <c r="E989" s="14" t="s">
        <v>2268</v>
      </c>
      <c r="F989" s="14">
        <v>9</v>
      </c>
      <c r="G989" s="14">
        <v>172.72</v>
      </c>
      <c r="H989" s="14">
        <v>19.190000000000001</v>
      </c>
      <c r="I989" s="14">
        <v>35</v>
      </c>
      <c r="J989" s="14">
        <v>112.27</v>
      </c>
    </row>
    <row r="990" spans="1:10" hidden="1">
      <c r="A990" s="131" t="str">
        <f t="shared" si="15"/>
        <v>Nantes Habitat_2018-07</v>
      </c>
      <c r="B990" s="14" t="s">
        <v>401</v>
      </c>
      <c r="C990" s="14" t="s">
        <v>789</v>
      </c>
      <c r="D990" s="14" t="s">
        <v>1418</v>
      </c>
      <c r="E990" s="14" t="s">
        <v>2144</v>
      </c>
      <c r="F990" s="14">
        <v>14</v>
      </c>
      <c r="G990" s="14">
        <v>265.66000000000003</v>
      </c>
      <c r="H990" s="14">
        <v>18.98</v>
      </c>
      <c r="I990" s="14">
        <v>35</v>
      </c>
      <c r="J990" s="14">
        <v>172.68</v>
      </c>
    </row>
    <row r="991" spans="1:10">
      <c r="A991" s="131" t="str">
        <f t="shared" si="15"/>
        <v>Nantes Habitat_2018-08</v>
      </c>
      <c r="B991" s="14" t="s">
        <v>401</v>
      </c>
      <c r="C991" s="14" t="s">
        <v>789</v>
      </c>
      <c r="D991" s="14" t="s">
        <v>1418</v>
      </c>
      <c r="E991" s="14" t="s">
        <v>2189</v>
      </c>
      <c r="F991" s="14">
        <v>14</v>
      </c>
      <c r="G991" s="14">
        <v>153.75</v>
      </c>
      <c r="H991" s="14">
        <v>10.98</v>
      </c>
      <c r="I991" s="14">
        <v>35</v>
      </c>
      <c r="J991" s="14">
        <v>99.94</v>
      </c>
    </row>
    <row r="992" spans="1:10" hidden="1">
      <c r="A992" s="131" t="str">
        <f t="shared" si="15"/>
        <v>Nantes Habitat_2018-09</v>
      </c>
      <c r="B992" s="14" t="s">
        <v>401</v>
      </c>
      <c r="C992" s="14" t="s">
        <v>789</v>
      </c>
      <c r="D992" s="14" t="s">
        <v>1418</v>
      </c>
      <c r="E992" s="14" t="s">
        <v>2268</v>
      </c>
      <c r="F992" s="14">
        <v>14</v>
      </c>
      <c r="G992" s="14">
        <v>164.21</v>
      </c>
      <c r="H992" s="14">
        <v>11.73</v>
      </c>
      <c r="I992" s="14">
        <v>35</v>
      </c>
      <c r="J992" s="14">
        <v>106.74</v>
      </c>
    </row>
    <row r="993" spans="1:10" hidden="1">
      <c r="A993" s="131" t="str">
        <f t="shared" si="15"/>
        <v>Neolia_2018-09</v>
      </c>
      <c r="B993" s="14" t="s">
        <v>2304</v>
      </c>
      <c r="C993" s="14" t="s">
        <v>2305</v>
      </c>
      <c r="D993" s="14" t="s">
        <v>535</v>
      </c>
      <c r="E993" s="14" t="s">
        <v>2268</v>
      </c>
      <c r="F993" s="14">
        <v>14.17</v>
      </c>
      <c r="G993" s="14">
        <v>99.41</v>
      </c>
      <c r="H993" s="14">
        <v>7.02</v>
      </c>
      <c r="I993" s="14">
        <v>39.39</v>
      </c>
      <c r="J993" s="167">
        <f>G993*(100-I993)/100</f>
        <v>60.252400999999999</v>
      </c>
    </row>
    <row r="994" spans="1:10" hidden="1">
      <c r="A994" s="131" t="str">
        <f t="shared" si="15"/>
        <v>NEOTOA_2018-07</v>
      </c>
      <c r="B994" s="14" t="s">
        <v>350</v>
      </c>
      <c r="C994" s="14" t="s">
        <v>790</v>
      </c>
      <c r="D994" s="14" t="s">
        <v>535</v>
      </c>
      <c r="E994" s="14" t="s">
        <v>2144</v>
      </c>
      <c r="F994" s="14">
        <v>30</v>
      </c>
      <c r="G994" s="14">
        <v>164.24</v>
      </c>
      <c r="H994" s="14">
        <v>5.47</v>
      </c>
      <c r="I994" s="14">
        <v>50</v>
      </c>
      <c r="J994" s="14">
        <v>82.12</v>
      </c>
    </row>
    <row r="995" spans="1:10">
      <c r="A995" s="131" t="str">
        <f t="shared" si="15"/>
        <v>NEOTOA_2018-08</v>
      </c>
      <c r="B995" s="14" t="s">
        <v>350</v>
      </c>
      <c r="C995" s="14" t="s">
        <v>790</v>
      </c>
      <c r="D995" s="14" t="s">
        <v>535</v>
      </c>
      <c r="E995" s="14" t="s">
        <v>2189</v>
      </c>
      <c r="F995" s="14">
        <v>30</v>
      </c>
      <c r="G995" s="14">
        <v>53.17</v>
      </c>
      <c r="H995" s="14">
        <v>1.77</v>
      </c>
      <c r="I995" s="14">
        <v>50</v>
      </c>
      <c r="J995" s="14">
        <v>26.59</v>
      </c>
    </row>
    <row r="996" spans="1:10" hidden="1">
      <c r="A996" s="131" t="str">
        <f t="shared" si="15"/>
        <v>NEOTOA_2018-09</v>
      </c>
      <c r="B996" s="14" t="s">
        <v>350</v>
      </c>
      <c r="C996" s="14" t="s">
        <v>790</v>
      </c>
      <c r="D996" s="14" t="s">
        <v>535</v>
      </c>
      <c r="E996" s="14" t="s">
        <v>2268</v>
      </c>
      <c r="F996" s="14">
        <v>30</v>
      </c>
      <c r="G996" s="14">
        <v>116.47</v>
      </c>
      <c r="H996" s="14">
        <v>3.88</v>
      </c>
      <c r="I996" s="14">
        <v>50</v>
      </c>
      <c r="J996" s="14">
        <v>58.23</v>
      </c>
    </row>
    <row r="997" spans="1:10" hidden="1">
      <c r="A997" s="131" t="str">
        <f t="shared" si="15"/>
        <v>Newco Appart Bry_2018-07</v>
      </c>
      <c r="B997" s="14" t="s">
        <v>28</v>
      </c>
      <c r="C997" s="14" t="s">
        <v>791</v>
      </c>
      <c r="D997" s="14" t="s">
        <v>535</v>
      </c>
      <c r="E997" s="14" t="s">
        <v>2144</v>
      </c>
      <c r="F997" s="14">
        <v>28</v>
      </c>
      <c r="G997" s="14">
        <v>158.63</v>
      </c>
      <c r="H997" s="14">
        <v>5.67</v>
      </c>
      <c r="I997" s="14">
        <v>50</v>
      </c>
      <c r="J997" s="14">
        <v>79.31</v>
      </c>
    </row>
    <row r="998" spans="1:10">
      <c r="A998" s="131" t="str">
        <f t="shared" si="15"/>
        <v>Newco Appart Bry_2018-08</v>
      </c>
      <c r="B998" s="14" t="s">
        <v>28</v>
      </c>
      <c r="C998" s="14" t="s">
        <v>791</v>
      </c>
      <c r="D998" s="14" t="s">
        <v>535</v>
      </c>
      <c r="E998" s="14" t="s">
        <v>2189</v>
      </c>
      <c r="F998" s="14">
        <v>28</v>
      </c>
      <c r="G998" s="14">
        <v>100.15</v>
      </c>
      <c r="H998" s="14">
        <v>3.58</v>
      </c>
      <c r="I998" s="14">
        <v>50</v>
      </c>
      <c r="J998" s="14">
        <v>50.08</v>
      </c>
    </row>
    <row r="999" spans="1:10" hidden="1">
      <c r="A999" s="131" t="str">
        <f t="shared" si="15"/>
        <v>Newco Appart Bry_2018-09</v>
      </c>
      <c r="B999" s="14" t="s">
        <v>28</v>
      </c>
      <c r="C999" s="14" t="s">
        <v>791</v>
      </c>
      <c r="D999" s="14" t="s">
        <v>535</v>
      </c>
      <c r="E999" s="14" t="s">
        <v>2268</v>
      </c>
      <c r="F999" s="14">
        <v>28</v>
      </c>
      <c r="G999" s="14">
        <v>181.2</v>
      </c>
      <c r="H999" s="14">
        <v>6.47</v>
      </c>
      <c r="I999" s="14">
        <v>50</v>
      </c>
      <c r="J999" s="14">
        <v>90.6</v>
      </c>
    </row>
    <row r="1000" spans="1:10" hidden="1">
      <c r="A1000" s="131" t="str">
        <f t="shared" si="15"/>
        <v>Nexity Groupe_2018-07</v>
      </c>
      <c r="B1000" s="14" t="s">
        <v>1135</v>
      </c>
      <c r="C1000" s="14" t="s">
        <v>1628</v>
      </c>
      <c r="D1000" s="14" t="s">
        <v>535</v>
      </c>
      <c r="E1000" s="14" t="s">
        <v>2144</v>
      </c>
      <c r="F1000" s="14">
        <v>5</v>
      </c>
      <c r="G1000" s="14">
        <v>2308.0300000000002</v>
      </c>
      <c r="H1000" s="14">
        <v>461.61</v>
      </c>
      <c r="I1000" s="14">
        <v>40</v>
      </c>
      <c r="J1000" s="14">
        <v>1384.82</v>
      </c>
    </row>
    <row r="1001" spans="1:10">
      <c r="A1001" s="131" t="str">
        <f t="shared" si="15"/>
        <v>Nexity Groupe_2018-08</v>
      </c>
      <c r="B1001" s="14" t="s">
        <v>1135</v>
      </c>
      <c r="C1001" s="14" t="s">
        <v>1628</v>
      </c>
      <c r="D1001" s="14" t="s">
        <v>535</v>
      </c>
      <c r="E1001" s="14" t="s">
        <v>2189</v>
      </c>
      <c r="F1001" s="14">
        <v>5</v>
      </c>
      <c r="G1001" s="14">
        <v>1610.11</v>
      </c>
      <c r="H1001" s="14">
        <v>322.02</v>
      </c>
      <c r="I1001" s="14">
        <v>40</v>
      </c>
      <c r="J1001" s="14">
        <v>966.07</v>
      </c>
    </row>
    <row r="1002" spans="1:10" hidden="1">
      <c r="A1002" s="131" t="str">
        <f t="shared" si="15"/>
        <v>Nexity Groupe_2018-09</v>
      </c>
      <c r="B1002" s="14" t="s">
        <v>1135</v>
      </c>
      <c r="C1002" s="14" t="s">
        <v>1628</v>
      </c>
      <c r="D1002" s="14" t="s">
        <v>535</v>
      </c>
      <c r="E1002" s="14" t="s">
        <v>2268</v>
      </c>
      <c r="F1002" s="14">
        <v>5</v>
      </c>
      <c r="G1002" s="14">
        <v>1861.5</v>
      </c>
      <c r="H1002" s="14">
        <v>372.3</v>
      </c>
      <c r="I1002" s="14">
        <v>40</v>
      </c>
      <c r="J1002" s="14">
        <v>1116.9000000000001</v>
      </c>
    </row>
    <row r="1003" spans="1:10" hidden="1">
      <c r="A1003" s="131" t="str">
        <f t="shared" ref="A1003:A1066" si="16">CONCATENATE(B1003,"_",E1003)</f>
        <v>NH Hotel du Grand Sablon_2018-07</v>
      </c>
      <c r="B1003" s="14" t="s">
        <v>1419</v>
      </c>
      <c r="C1003" s="14" t="s">
        <v>1420</v>
      </c>
      <c r="D1003" s="14" t="s">
        <v>535</v>
      </c>
      <c r="E1003" s="14" t="s">
        <v>2144</v>
      </c>
      <c r="F1003" s="14">
        <v>4.84</v>
      </c>
      <c r="G1003" s="14">
        <v>209.76</v>
      </c>
      <c r="H1003" s="14">
        <v>43.34</v>
      </c>
      <c r="I1003" s="14">
        <v>30</v>
      </c>
      <c r="J1003" s="14">
        <v>146.83000000000001</v>
      </c>
    </row>
    <row r="1004" spans="1:10">
      <c r="A1004" s="131" t="str">
        <f t="shared" si="16"/>
        <v>NH Hotel du Grand Sablon_2018-08</v>
      </c>
      <c r="B1004" s="14" t="s">
        <v>1419</v>
      </c>
      <c r="C1004" s="14" t="s">
        <v>1420</v>
      </c>
      <c r="D1004" s="14" t="s">
        <v>535</v>
      </c>
      <c r="E1004" s="14" t="s">
        <v>2189</v>
      </c>
      <c r="F1004" s="14">
        <v>4.5199999999999996</v>
      </c>
      <c r="G1004" s="14">
        <v>123.68</v>
      </c>
      <c r="H1004" s="14">
        <v>27.36</v>
      </c>
      <c r="I1004" s="14">
        <v>30</v>
      </c>
      <c r="J1004" s="14">
        <v>86.58</v>
      </c>
    </row>
    <row r="1005" spans="1:10" hidden="1">
      <c r="A1005" s="131" t="str">
        <f t="shared" si="16"/>
        <v>NH Hotel du Grand Sablon_2018-09</v>
      </c>
      <c r="B1005" s="14" t="s">
        <v>1419</v>
      </c>
      <c r="C1005" s="14" t="s">
        <v>1420</v>
      </c>
      <c r="D1005" s="14" t="s">
        <v>535</v>
      </c>
      <c r="E1005" s="14" t="s">
        <v>2268</v>
      </c>
      <c r="F1005" s="14">
        <v>5</v>
      </c>
      <c r="G1005" s="14">
        <v>102.61</v>
      </c>
      <c r="H1005" s="14">
        <v>20.52</v>
      </c>
      <c r="I1005" s="14">
        <v>30</v>
      </c>
      <c r="J1005" s="14">
        <v>71.83</v>
      </c>
    </row>
    <row r="1006" spans="1:10" hidden="1">
      <c r="A1006" s="131" t="str">
        <f t="shared" si="16"/>
        <v>Notre Logis_2018-07</v>
      </c>
      <c r="B1006" s="14" t="s">
        <v>1278</v>
      </c>
      <c r="C1006" s="14" t="s">
        <v>2321</v>
      </c>
      <c r="D1006" s="14" t="s">
        <v>535</v>
      </c>
      <c r="E1006" s="14" t="s">
        <v>2144</v>
      </c>
      <c r="F1006" s="14">
        <v>5.23</v>
      </c>
      <c r="G1006" s="14">
        <v>87.1</v>
      </c>
      <c r="H1006" s="14">
        <v>16.649999999999999</v>
      </c>
      <c r="I1006" s="14">
        <v>40</v>
      </c>
      <c r="J1006" s="14">
        <v>52.26</v>
      </c>
    </row>
    <row r="1007" spans="1:10" hidden="1">
      <c r="A1007" s="131" t="str">
        <f t="shared" si="16"/>
        <v>Notre Logis_2018-07</v>
      </c>
      <c r="B1007" s="14" t="s">
        <v>1278</v>
      </c>
      <c r="C1007" s="14" t="s">
        <v>1279</v>
      </c>
      <c r="D1007" s="14" t="s">
        <v>535</v>
      </c>
      <c r="E1007" s="14" t="s">
        <v>2144</v>
      </c>
      <c r="F1007" s="14">
        <v>10</v>
      </c>
      <c r="G1007" s="14">
        <v>58</v>
      </c>
      <c r="H1007" s="14">
        <v>5.8</v>
      </c>
      <c r="I1007" s="14">
        <v>40</v>
      </c>
      <c r="J1007" s="14">
        <v>34.799999999999997</v>
      </c>
    </row>
    <row r="1008" spans="1:10">
      <c r="A1008" s="131" t="str">
        <f t="shared" si="16"/>
        <v>Notre Logis_2018-08</v>
      </c>
      <c r="B1008" s="14" t="s">
        <v>1278</v>
      </c>
      <c r="C1008" s="14" t="s">
        <v>1279</v>
      </c>
      <c r="D1008" s="14" t="s">
        <v>535</v>
      </c>
      <c r="E1008" s="14" t="s">
        <v>2189</v>
      </c>
      <c r="F1008" s="14">
        <v>10</v>
      </c>
      <c r="G1008" s="14">
        <v>64.55</v>
      </c>
      <c r="H1008" s="14">
        <v>6.46</v>
      </c>
      <c r="I1008" s="14">
        <v>40</v>
      </c>
      <c r="J1008" s="14">
        <v>38.729999999999997</v>
      </c>
    </row>
    <row r="1009" spans="1:10" hidden="1">
      <c r="A1009" s="131" t="str">
        <f t="shared" si="16"/>
        <v>Notre Logis_2018-09</v>
      </c>
      <c r="B1009" s="14" t="s">
        <v>1278</v>
      </c>
      <c r="C1009" s="14" t="s">
        <v>1279</v>
      </c>
      <c r="D1009" s="14" t="s">
        <v>535</v>
      </c>
      <c r="E1009" s="14" t="s">
        <v>2268</v>
      </c>
      <c r="F1009" s="14">
        <v>10</v>
      </c>
      <c r="G1009" s="14">
        <v>91.68</v>
      </c>
      <c r="H1009" s="14">
        <v>9.17</v>
      </c>
      <c r="I1009" s="14">
        <v>35</v>
      </c>
      <c r="J1009" s="14">
        <v>59.59</v>
      </c>
    </row>
    <row r="1010" spans="1:10" hidden="1">
      <c r="A1010" s="131" t="str">
        <f t="shared" si="16"/>
        <v>Novotel Avignon_2018-07</v>
      </c>
      <c r="B1010" s="14" t="s">
        <v>2113</v>
      </c>
      <c r="C1010" s="14" t="s">
        <v>2011</v>
      </c>
      <c r="D1010" s="14" t="s">
        <v>535</v>
      </c>
      <c r="E1010" s="14" t="s">
        <v>2144</v>
      </c>
      <c r="F1010" s="14">
        <v>5</v>
      </c>
      <c r="G1010" s="14">
        <v>246.16</v>
      </c>
      <c r="H1010" s="14">
        <v>49.23</v>
      </c>
      <c r="I1010" s="14">
        <v>30</v>
      </c>
      <c r="J1010" s="14">
        <v>172.31</v>
      </c>
    </row>
    <row r="1011" spans="1:10">
      <c r="A1011" s="131" t="str">
        <f t="shared" si="16"/>
        <v>Novotel Avignon_2018-08</v>
      </c>
      <c r="B1011" s="14" t="s">
        <v>2113</v>
      </c>
      <c r="C1011" s="14" t="s">
        <v>2011</v>
      </c>
      <c r="D1011" s="14" t="s">
        <v>535</v>
      </c>
      <c r="E1011" s="14" t="s">
        <v>2189</v>
      </c>
      <c r="F1011" s="14">
        <v>5</v>
      </c>
      <c r="G1011" s="14">
        <v>76.23</v>
      </c>
      <c r="H1011" s="14">
        <v>15.25</v>
      </c>
      <c r="I1011" s="14">
        <v>30</v>
      </c>
      <c r="J1011" s="14">
        <v>53.36</v>
      </c>
    </row>
    <row r="1012" spans="1:10" hidden="1">
      <c r="A1012" s="131" t="str">
        <f t="shared" si="16"/>
        <v>Novotel Avignon_2018-09</v>
      </c>
      <c r="B1012" s="14" t="s">
        <v>2113</v>
      </c>
      <c r="C1012" s="14" t="s">
        <v>2011</v>
      </c>
      <c r="D1012" s="14" t="s">
        <v>535</v>
      </c>
      <c r="E1012" s="14" t="s">
        <v>2268</v>
      </c>
      <c r="F1012" s="14">
        <v>5</v>
      </c>
      <c r="G1012" s="14">
        <v>4.4000000000000004</v>
      </c>
      <c r="H1012" s="14">
        <v>0.88</v>
      </c>
      <c r="I1012" s="14">
        <v>30</v>
      </c>
      <c r="J1012" s="14">
        <v>3.08</v>
      </c>
    </row>
    <row r="1013" spans="1:10" hidden="1">
      <c r="A1013" s="131" t="str">
        <f t="shared" si="16"/>
        <v>Novotel Montreuil Vincennes_2018-07</v>
      </c>
      <c r="B1013" s="14" t="s">
        <v>2162</v>
      </c>
      <c r="C1013" s="14" t="s">
        <v>1786</v>
      </c>
      <c r="D1013" s="14" t="s">
        <v>535</v>
      </c>
      <c r="E1013" s="14" t="s">
        <v>2144</v>
      </c>
      <c r="F1013" s="14">
        <v>10</v>
      </c>
      <c r="G1013" s="14">
        <v>373.06</v>
      </c>
      <c r="H1013" s="14">
        <v>37.31</v>
      </c>
      <c r="I1013" s="14">
        <v>30</v>
      </c>
      <c r="J1013" s="14">
        <v>261.14</v>
      </c>
    </row>
    <row r="1014" spans="1:10">
      <c r="A1014" s="131" t="str">
        <f t="shared" si="16"/>
        <v>Novotel Montreuil Vincennes_2018-08</v>
      </c>
      <c r="B1014" s="14" t="s">
        <v>2162</v>
      </c>
      <c r="C1014" s="14" t="s">
        <v>1786</v>
      </c>
      <c r="D1014" s="14" t="s">
        <v>535</v>
      </c>
      <c r="E1014" s="14" t="s">
        <v>2189</v>
      </c>
      <c r="F1014" s="14">
        <v>10</v>
      </c>
      <c r="G1014" s="14">
        <v>454.41</v>
      </c>
      <c r="H1014" s="14">
        <v>45.44</v>
      </c>
      <c r="I1014" s="14">
        <v>30</v>
      </c>
      <c r="J1014" s="14">
        <v>318.08999999999997</v>
      </c>
    </row>
    <row r="1015" spans="1:10" hidden="1">
      <c r="A1015" s="131" t="str">
        <f t="shared" si="16"/>
        <v>Novotel Montreuil Vincennes_2018-09</v>
      </c>
      <c r="B1015" s="14" t="s">
        <v>2162</v>
      </c>
      <c r="C1015" s="14" t="s">
        <v>1786</v>
      </c>
      <c r="D1015" s="14" t="s">
        <v>535</v>
      </c>
      <c r="E1015" s="14" t="s">
        <v>2268</v>
      </c>
      <c r="F1015" s="14">
        <v>10</v>
      </c>
      <c r="G1015" s="14">
        <v>625.24</v>
      </c>
      <c r="H1015" s="14">
        <v>62.52</v>
      </c>
      <c r="I1015" s="14">
        <v>30</v>
      </c>
      <c r="J1015" s="14">
        <v>437.67</v>
      </c>
    </row>
    <row r="1016" spans="1:10" hidden="1">
      <c r="A1016" s="131" t="str">
        <f t="shared" si="16"/>
        <v>Novotel Nantes_2018-07</v>
      </c>
      <c r="B1016" s="14" t="s">
        <v>2112</v>
      </c>
      <c r="C1016" s="14" t="s">
        <v>977</v>
      </c>
      <c r="D1016" s="14" t="s">
        <v>792</v>
      </c>
      <c r="E1016" s="14" t="s">
        <v>2144</v>
      </c>
      <c r="F1016" s="14">
        <v>10</v>
      </c>
      <c r="G1016" s="14">
        <v>269.64999999999998</v>
      </c>
      <c r="H1016" s="14">
        <v>26.96</v>
      </c>
      <c r="I1016" s="14">
        <v>25</v>
      </c>
      <c r="J1016" s="14">
        <v>202.24</v>
      </c>
    </row>
    <row r="1017" spans="1:10">
      <c r="A1017" s="131" t="str">
        <f t="shared" si="16"/>
        <v>Novotel Nantes_2018-08</v>
      </c>
      <c r="B1017" s="14" t="s">
        <v>2112</v>
      </c>
      <c r="C1017" s="14" t="s">
        <v>977</v>
      </c>
      <c r="D1017" s="14" t="s">
        <v>792</v>
      </c>
      <c r="E1017" s="14" t="s">
        <v>2189</v>
      </c>
      <c r="F1017" s="14">
        <v>10</v>
      </c>
      <c r="G1017" s="14">
        <v>356.53</v>
      </c>
      <c r="H1017" s="14">
        <v>35.65</v>
      </c>
      <c r="I1017" s="14">
        <v>25</v>
      </c>
      <c r="J1017" s="14">
        <v>267.39999999999998</v>
      </c>
    </row>
    <row r="1018" spans="1:10" hidden="1">
      <c r="A1018" s="131" t="str">
        <f t="shared" si="16"/>
        <v>Novotel Nantes_2018-09</v>
      </c>
      <c r="B1018" s="14" t="s">
        <v>2112</v>
      </c>
      <c r="C1018" s="14" t="s">
        <v>977</v>
      </c>
      <c r="D1018" s="14" t="s">
        <v>792</v>
      </c>
      <c r="E1018" s="14" t="s">
        <v>2268</v>
      </c>
      <c r="F1018" s="14">
        <v>10</v>
      </c>
      <c r="G1018" s="14">
        <v>499.85</v>
      </c>
      <c r="H1018" s="14">
        <v>49.98</v>
      </c>
      <c r="I1018" s="14">
        <v>25</v>
      </c>
      <c r="J1018" s="14">
        <v>374.89</v>
      </c>
    </row>
    <row r="1019" spans="1:10" hidden="1">
      <c r="A1019" s="131" t="str">
        <f t="shared" si="16"/>
        <v>Novotel Rennes Gare SNCF_2018-07</v>
      </c>
      <c r="B1019" s="154" t="s">
        <v>232</v>
      </c>
      <c r="C1019" s="14" t="s">
        <v>793</v>
      </c>
      <c r="D1019" s="14" t="s">
        <v>535</v>
      </c>
      <c r="E1019" s="14" t="s">
        <v>2144</v>
      </c>
      <c r="F1019" s="14">
        <v>5</v>
      </c>
      <c r="G1019" s="14">
        <v>8.09</v>
      </c>
      <c r="H1019" s="14">
        <v>1.62</v>
      </c>
      <c r="I1019" s="14">
        <v>25</v>
      </c>
      <c r="J1019" s="14">
        <v>6.07</v>
      </c>
    </row>
    <row r="1020" spans="1:10">
      <c r="A1020" s="131" t="str">
        <f t="shared" si="16"/>
        <v>Novotel Rennes Gare SNCF_2018-08</v>
      </c>
      <c r="B1020" s="154" t="s">
        <v>232</v>
      </c>
      <c r="C1020" s="14" t="s">
        <v>793</v>
      </c>
      <c r="D1020" s="14" t="s">
        <v>535</v>
      </c>
      <c r="E1020" s="14" t="s">
        <v>2189</v>
      </c>
      <c r="F1020" s="14">
        <v>5</v>
      </c>
      <c r="G1020" s="14">
        <v>4.8</v>
      </c>
      <c r="H1020" s="14">
        <v>0.96</v>
      </c>
      <c r="I1020" s="14">
        <v>25</v>
      </c>
      <c r="J1020" s="14">
        <v>3.6</v>
      </c>
    </row>
    <row r="1021" spans="1:10" hidden="1">
      <c r="A1021" s="131" t="str">
        <f t="shared" si="16"/>
        <v>Novotel Rennes Gare SNCF_2018-09</v>
      </c>
      <c r="B1021" s="154" t="s">
        <v>232</v>
      </c>
      <c r="C1021" s="14" t="s">
        <v>793</v>
      </c>
      <c r="D1021" s="14" t="s">
        <v>535</v>
      </c>
      <c r="E1021" s="14" t="s">
        <v>2268</v>
      </c>
      <c r="F1021" s="14">
        <v>5</v>
      </c>
      <c r="G1021" s="14">
        <v>3.14</v>
      </c>
      <c r="H1021" s="14">
        <v>0.63</v>
      </c>
      <c r="I1021" s="14">
        <v>25</v>
      </c>
      <c r="J1021" s="14">
        <v>2.35</v>
      </c>
    </row>
    <row r="1022" spans="1:10" hidden="1">
      <c r="A1022" s="131" t="str">
        <f t="shared" si="16"/>
        <v>Odalys Aix Le Tholonet_2018-07</v>
      </c>
      <c r="B1022" s="14" t="s">
        <v>2114</v>
      </c>
      <c r="C1022" s="14" t="s">
        <v>1630</v>
      </c>
      <c r="D1022" s="14" t="s">
        <v>535</v>
      </c>
      <c r="E1022" s="14" t="s">
        <v>2144</v>
      </c>
      <c r="F1022" s="14">
        <v>10</v>
      </c>
      <c r="G1022" s="14">
        <v>50</v>
      </c>
      <c r="H1022" s="14">
        <v>5</v>
      </c>
      <c r="I1022" s="14">
        <v>35</v>
      </c>
      <c r="J1022" s="14">
        <v>32.5</v>
      </c>
    </row>
    <row r="1023" spans="1:10">
      <c r="A1023" s="131" t="str">
        <f t="shared" si="16"/>
        <v>Odalys Aix Le Tholonet_2018-08</v>
      </c>
      <c r="B1023" s="14" t="s">
        <v>2114</v>
      </c>
      <c r="C1023" s="14" t="s">
        <v>1630</v>
      </c>
      <c r="D1023" s="14" t="s">
        <v>535</v>
      </c>
      <c r="E1023" s="14" t="s">
        <v>2189</v>
      </c>
      <c r="F1023" s="14">
        <v>10</v>
      </c>
      <c r="G1023" s="14">
        <v>50</v>
      </c>
      <c r="H1023" s="14">
        <v>5</v>
      </c>
      <c r="I1023" s="14">
        <v>35</v>
      </c>
      <c r="J1023" s="14">
        <v>32.5</v>
      </c>
    </row>
    <row r="1024" spans="1:10" hidden="1">
      <c r="A1024" s="131" t="str">
        <f t="shared" si="16"/>
        <v>Odalys Aix Le Tholonet_2018-09</v>
      </c>
      <c r="B1024" s="14" t="s">
        <v>2114</v>
      </c>
      <c r="C1024" s="14" t="s">
        <v>1630</v>
      </c>
      <c r="D1024" s="14" t="s">
        <v>535</v>
      </c>
      <c r="E1024" s="14" t="s">
        <v>2268</v>
      </c>
      <c r="F1024" s="14">
        <v>10</v>
      </c>
      <c r="G1024" s="14">
        <v>50</v>
      </c>
      <c r="H1024" s="14">
        <v>5</v>
      </c>
      <c r="I1024" s="14">
        <v>35</v>
      </c>
      <c r="J1024" s="14">
        <v>32.5</v>
      </c>
    </row>
    <row r="1025" spans="1:10" hidden="1">
      <c r="A1025" s="131" t="str">
        <f t="shared" si="16"/>
        <v>Odalys Aix Les Floridianes_2018-07</v>
      </c>
      <c r="B1025" s="14" t="s">
        <v>2115</v>
      </c>
      <c r="C1025" s="14" t="s">
        <v>1629</v>
      </c>
      <c r="D1025" s="14" t="s">
        <v>535</v>
      </c>
      <c r="E1025" s="14" t="s">
        <v>2144</v>
      </c>
      <c r="F1025" s="14">
        <v>6</v>
      </c>
      <c r="G1025" s="14">
        <v>169.72</v>
      </c>
      <c r="H1025" s="14">
        <v>28.29</v>
      </c>
      <c r="I1025" s="14">
        <v>35</v>
      </c>
      <c r="J1025" s="14">
        <v>110.32</v>
      </c>
    </row>
    <row r="1026" spans="1:10">
      <c r="A1026" s="131" t="str">
        <f t="shared" si="16"/>
        <v>Odalys Aix Les Floridianes_2018-08</v>
      </c>
      <c r="B1026" s="14" t="s">
        <v>2115</v>
      </c>
      <c r="C1026" s="14" t="s">
        <v>1629</v>
      </c>
      <c r="D1026" s="14" t="s">
        <v>535</v>
      </c>
      <c r="E1026" s="14" t="s">
        <v>2189</v>
      </c>
      <c r="F1026" s="14">
        <v>6</v>
      </c>
      <c r="G1026" s="14">
        <v>222.8</v>
      </c>
      <c r="H1026" s="14">
        <v>37.130000000000003</v>
      </c>
      <c r="I1026" s="14">
        <v>35</v>
      </c>
      <c r="J1026" s="14">
        <v>144.82</v>
      </c>
    </row>
    <row r="1027" spans="1:10" hidden="1">
      <c r="A1027" s="131" t="str">
        <f t="shared" si="16"/>
        <v>Odalys Aix Les Floridianes_2018-09</v>
      </c>
      <c r="B1027" s="14" t="s">
        <v>2115</v>
      </c>
      <c r="C1027" s="14" t="s">
        <v>1629</v>
      </c>
      <c r="D1027" s="14" t="s">
        <v>535</v>
      </c>
      <c r="E1027" s="14" t="s">
        <v>2268</v>
      </c>
      <c r="F1027" s="14">
        <v>6</v>
      </c>
      <c r="G1027" s="14">
        <v>381.69</v>
      </c>
      <c r="H1027" s="14">
        <v>63.62</v>
      </c>
      <c r="I1027" s="14">
        <v>35</v>
      </c>
      <c r="J1027" s="14">
        <v>248.1</v>
      </c>
    </row>
    <row r="1028" spans="1:10" hidden="1">
      <c r="A1028" s="131" t="str">
        <f t="shared" si="16"/>
        <v>Odalys Genève_2018-07</v>
      </c>
      <c r="B1028" s="14" t="s">
        <v>351</v>
      </c>
      <c r="C1028" s="14" t="s">
        <v>1826</v>
      </c>
      <c r="D1028" s="14" t="s">
        <v>535</v>
      </c>
      <c r="E1028" s="14" t="s">
        <v>2144</v>
      </c>
      <c r="F1028" s="14">
        <v>38</v>
      </c>
      <c r="G1028" s="14">
        <v>4301.76</v>
      </c>
      <c r="H1028" s="14">
        <v>113.2</v>
      </c>
      <c r="I1028" s="14">
        <v>40</v>
      </c>
      <c r="J1028" s="14">
        <v>2581.06</v>
      </c>
    </row>
    <row r="1029" spans="1:10">
      <c r="A1029" s="131" t="str">
        <f t="shared" si="16"/>
        <v>Odalys Genève_2018-08</v>
      </c>
      <c r="B1029" s="14" t="s">
        <v>351</v>
      </c>
      <c r="C1029" s="14" t="s">
        <v>1826</v>
      </c>
      <c r="D1029" s="14" t="s">
        <v>535</v>
      </c>
      <c r="E1029" s="14" t="s">
        <v>2189</v>
      </c>
      <c r="F1029" s="14">
        <v>15.94</v>
      </c>
      <c r="G1029" s="14">
        <v>1053.24</v>
      </c>
      <c r="H1029" s="14">
        <v>66.08</v>
      </c>
      <c r="I1029" s="14">
        <v>40</v>
      </c>
      <c r="J1029" s="14">
        <v>631.94000000000005</v>
      </c>
    </row>
    <row r="1030" spans="1:10" hidden="1">
      <c r="A1030" s="131" t="str">
        <f t="shared" si="16"/>
        <v>Odalys Genève_2018-09</v>
      </c>
      <c r="B1030" s="14" t="s">
        <v>351</v>
      </c>
      <c r="C1030" s="14" t="s">
        <v>1826</v>
      </c>
      <c r="D1030" s="14" t="s">
        <v>535</v>
      </c>
      <c r="E1030" s="14" t="s">
        <v>2268</v>
      </c>
      <c r="F1030" s="14">
        <v>0</v>
      </c>
      <c r="G1030" s="14">
        <v>378.17</v>
      </c>
      <c r="H1030" s="14" t="s">
        <v>535</v>
      </c>
      <c r="I1030" s="14">
        <v>40</v>
      </c>
      <c r="J1030" s="14">
        <v>226.9</v>
      </c>
    </row>
    <row r="1031" spans="1:10" hidden="1">
      <c r="A1031" s="131" t="str">
        <f t="shared" si="16"/>
        <v>Odalys Levallois-Perret_2018-07</v>
      </c>
      <c r="B1031" s="14" t="s">
        <v>1687</v>
      </c>
      <c r="C1031" s="14" t="s">
        <v>1421</v>
      </c>
      <c r="D1031" s="14" t="s">
        <v>535</v>
      </c>
      <c r="E1031" s="14" t="s">
        <v>2144</v>
      </c>
      <c r="F1031" s="14">
        <v>20</v>
      </c>
      <c r="G1031" s="14">
        <v>486.88</v>
      </c>
      <c r="H1031" s="14">
        <v>24.34</v>
      </c>
      <c r="I1031" s="14">
        <v>35</v>
      </c>
      <c r="J1031" s="14">
        <v>316.47000000000003</v>
      </c>
    </row>
    <row r="1032" spans="1:10">
      <c r="A1032" s="131" t="str">
        <f t="shared" si="16"/>
        <v>Odalys Levallois-Perret_2018-08</v>
      </c>
      <c r="B1032" s="14" t="s">
        <v>1687</v>
      </c>
      <c r="C1032" s="14" t="s">
        <v>1421</v>
      </c>
      <c r="D1032" s="14" t="s">
        <v>535</v>
      </c>
      <c r="E1032" s="14" t="s">
        <v>2189</v>
      </c>
      <c r="F1032" s="14">
        <v>20</v>
      </c>
      <c r="G1032" s="14">
        <v>480.94</v>
      </c>
      <c r="H1032" s="14">
        <v>24.05</v>
      </c>
      <c r="I1032" s="14">
        <v>35</v>
      </c>
      <c r="J1032" s="14">
        <v>312.61</v>
      </c>
    </row>
    <row r="1033" spans="1:10" hidden="1">
      <c r="A1033" s="131" t="str">
        <f t="shared" si="16"/>
        <v>Odalys Levallois-Perret_2018-09</v>
      </c>
      <c r="B1033" s="14" t="s">
        <v>1687</v>
      </c>
      <c r="C1033" s="14" t="s">
        <v>1421</v>
      </c>
      <c r="D1033" s="14" t="s">
        <v>535</v>
      </c>
      <c r="E1033" s="14" t="s">
        <v>2268</v>
      </c>
      <c r="F1033" s="14">
        <v>20</v>
      </c>
      <c r="G1033" s="14">
        <v>884.91</v>
      </c>
      <c r="H1033" s="14">
        <v>44.25</v>
      </c>
      <c r="I1033" s="14">
        <v>35</v>
      </c>
      <c r="J1033" s="14">
        <v>575.19000000000005</v>
      </c>
    </row>
    <row r="1034" spans="1:10" hidden="1">
      <c r="A1034" s="131" t="str">
        <f t="shared" si="16"/>
        <v>Odalys Lyon Bioparc_2018-07</v>
      </c>
      <c r="B1034" s="14" t="s">
        <v>1688</v>
      </c>
      <c r="C1034" s="14" t="s">
        <v>794</v>
      </c>
      <c r="D1034" s="14" t="s">
        <v>535</v>
      </c>
      <c r="E1034" s="14" t="s">
        <v>2144</v>
      </c>
      <c r="F1034" s="14">
        <v>10</v>
      </c>
      <c r="G1034" s="14">
        <v>153.34</v>
      </c>
      <c r="H1034" s="14">
        <v>15.33</v>
      </c>
      <c r="I1034" s="14">
        <v>40</v>
      </c>
      <c r="J1034" s="14">
        <v>92</v>
      </c>
    </row>
    <row r="1035" spans="1:10">
      <c r="A1035" s="131" t="str">
        <f t="shared" si="16"/>
        <v>Odalys Lyon Bioparc_2018-08</v>
      </c>
      <c r="B1035" s="14" t="s">
        <v>1688</v>
      </c>
      <c r="C1035" s="14" t="s">
        <v>794</v>
      </c>
      <c r="D1035" s="14" t="s">
        <v>535</v>
      </c>
      <c r="E1035" s="14" t="s">
        <v>2189</v>
      </c>
      <c r="F1035" s="14">
        <v>10</v>
      </c>
      <c r="G1035" s="14">
        <v>120.22</v>
      </c>
      <c r="H1035" s="14">
        <v>12.02</v>
      </c>
      <c r="I1035" s="14">
        <v>40</v>
      </c>
      <c r="J1035" s="14">
        <v>72.13</v>
      </c>
    </row>
    <row r="1036" spans="1:10" hidden="1">
      <c r="A1036" s="131" t="str">
        <f t="shared" si="16"/>
        <v>Odalys Lyon Bioparc_2018-09</v>
      </c>
      <c r="B1036" s="14" t="s">
        <v>1688</v>
      </c>
      <c r="C1036" s="14" t="s">
        <v>794</v>
      </c>
      <c r="D1036" s="14" t="s">
        <v>535</v>
      </c>
      <c r="E1036" s="14" t="s">
        <v>2268</v>
      </c>
      <c r="F1036" s="14">
        <v>10</v>
      </c>
      <c r="G1036" s="14">
        <v>122.22</v>
      </c>
      <c r="H1036" s="14">
        <v>12.22</v>
      </c>
      <c r="I1036" s="14">
        <v>40</v>
      </c>
      <c r="J1036" s="14">
        <v>73.33</v>
      </c>
    </row>
    <row r="1037" spans="1:10" hidden="1">
      <c r="A1037" s="131" t="str">
        <f t="shared" si="16"/>
        <v>Odalys Lyon Confluence_2018-07</v>
      </c>
      <c r="B1037" s="14" t="s">
        <v>1689</v>
      </c>
      <c r="C1037" s="14" t="s">
        <v>1521</v>
      </c>
      <c r="D1037" s="14" t="s">
        <v>535</v>
      </c>
      <c r="E1037" s="14" t="s">
        <v>2144</v>
      </c>
      <c r="F1037" s="14">
        <v>1</v>
      </c>
      <c r="G1037" s="14">
        <v>134.5</v>
      </c>
      <c r="H1037" s="14">
        <v>134.5</v>
      </c>
      <c r="I1037" s="14">
        <v>35</v>
      </c>
      <c r="J1037" s="14">
        <v>87.42</v>
      </c>
    </row>
    <row r="1038" spans="1:10">
      <c r="A1038" s="131" t="str">
        <f t="shared" si="16"/>
        <v>Odalys Lyon Confluence_2018-08</v>
      </c>
      <c r="B1038" s="14" t="s">
        <v>1689</v>
      </c>
      <c r="C1038" s="14" t="s">
        <v>1521</v>
      </c>
      <c r="D1038" s="14" t="s">
        <v>535</v>
      </c>
      <c r="E1038" s="14" t="s">
        <v>2189</v>
      </c>
      <c r="F1038" s="14">
        <v>1</v>
      </c>
      <c r="G1038" s="14">
        <v>35.5</v>
      </c>
      <c r="H1038" s="14">
        <v>35.5</v>
      </c>
      <c r="I1038" s="14">
        <v>35</v>
      </c>
      <c r="J1038" s="14">
        <v>23.07</v>
      </c>
    </row>
    <row r="1039" spans="1:10" hidden="1">
      <c r="A1039" s="131" t="str">
        <f t="shared" si="16"/>
        <v>Odalys Lyon Confluence_2018-09</v>
      </c>
      <c r="B1039" s="14" t="s">
        <v>1689</v>
      </c>
      <c r="C1039" s="14" t="s">
        <v>1521</v>
      </c>
      <c r="D1039" s="14" t="s">
        <v>535</v>
      </c>
      <c r="E1039" s="14" t="s">
        <v>2268</v>
      </c>
      <c r="F1039" s="14">
        <v>1</v>
      </c>
      <c r="G1039" s="14">
        <v>153.29</v>
      </c>
      <c r="H1039" s="14">
        <v>153.29</v>
      </c>
      <c r="I1039" s="14">
        <v>35</v>
      </c>
      <c r="J1039" s="14">
        <v>99.64</v>
      </c>
    </row>
    <row r="1040" spans="1:10" hidden="1">
      <c r="A1040" s="131" t="str">
        <f t="shared" si="16"/>
        <v>Odalys Marseille_2018-07</v>
      </c>
      <c r="B1040" s="14" t="s">
        <v>2116</v>
      </c>
      <c r="C1040" s="14" t="s">
        <v>795</v>
      </c>
      <c r="D1040" s="14" t="s">
        <v>535</v>
      </c>
      <c r="E1040" s="14" t="s">
        <v>2144</v>
      </c>
      <c r="F1040" s="14">
        <v>6</v>
      </c>
      <c r="G1040" s="14">
        <v>357</v>
      </c>
      <c r="H1040" s="14">
        <v>59.5</v>
      </c>
      <c r="I1040" s="14">
        <v>30</v>
      </c>
      <c r="J1040" s="14">
        <v>249.9</v>
      </c>
    </row>
    <row r="1041" spans="1:10">
      <c r="A1041" s="131" t="str">
        <f t="shared" si="16"/>
        <v>Odalys Marseille_2018-08</v>
      </c>
      <c r="B1041" s="14" t="s">
        <v>2116</v>
      </c>
      <c r="C1041" s="14" t="s">
        <v>795</v>
      </c>
      <c r="D1041" s="14" t="s">
        <v>535</v>
      </c>
      <c r="E1041" s="14" t="s">
        <v>2189</v>
      </c>
      <c r="F1041" s="14">
        <v>6</v>
      </c>
      <c r="G1041" s="14">
        <v>396.12</v>
      </c>
      <c r="H1041" s="14">
        <v>66.02</v>
      </c>
      <c r="I1041" s="14">
        <v>30</v>
      </c>
      <c r="J1041" s="14">
        <v>277.27999999999997</v>
      </c>
    </row>
    <row r="1042" spans="1:10" hidden="1">
      <c r="A1042" s="131" t="str">
        <f t="shared" si="16"/>
        <v>Odalys Marseille_2018-09</v>
      </c>
      <c r="B1042" s="14" t="s">
        <v>2116</v>
      </c>
      <c r="C1042" s="14" t="s">
        <v>795</v>
      </c>
      <c r="D1042" s="14" t="s">
        <v>535</v>
      </c>
      <c r="E1042" s="14" t="s">
        <v>2268</v>
      </c>
      <c r="F1042" s="14">
        <v>6</v>
      </c>
      <c r="G1042" s="14">
        <v>332.03</v>
      </c>
      <c r="H1042" s="14">
        <v>55.34</v>
      </c>
      <c r="I1042" s="14">
        <v>30</v>
      </c>
      <c r="J1042" s="14">
        <v>232.42</v>
      </c>
    </row>
    <row r="1043" spans="1:10" hidden="1">
      <c r="A1043" s="131" t="str">
        <f t="shared" si="16"/>
        <v>OPH de Bobigny_2018-07</v>
      </c>
      <c r="B1043" s="14" t="s">
        <v>2117</v>
      </c>
      <c r="C1043" s="14" t="s">
        <v>1280</v>
      </c>
      <c r="D1043" s="14" t="s">
        <v>535</v>
      </c>
      <c r="E1043" s="14" t="s">
        <v>2144</v>
      </c>
      <c r="F1043" s="14">
        <v>15</v>
      </c>
      <c r="G1043" s="14">
        <v>150</v>
      </c>
      <c r="H1043" s="14">
        <v>10</v>
      </c>
      <c r="I1043" s="14">
        <v>40</v>
      </c>
      <c r="J1043" s="14">
        <v>90</v>
      </c>
    </row>
    <row r="1044" spans="1:10">
      <c r="A1044" s="131" t="str">
        <f t="shared" si="16"/>
        <v>OPH de Bobigny_2018-08</v>
      </c>
      <c r="B1044" s="14" t="s">
        <v>2117</v>
      </c>
      <c r="C1044" s="14" t="s">
        <v>1280</v>
      </c>
      <c r="D1044" s="14" t="s">
        <v>535</v>
      </c>
      <c r="E1044" s="14" t="s">
        <v>2189</v>
      </c>
      <c r="F1044" s="14">
        <v>15</v>
      </c>
      <c r="G1044" s="14">
        <v>94.85</v>
      </c>
      <c r="H1044" s="14">
        <v>6.32</v>
      </c>
      <c r="I1044" s="14">
        <v>35</v>
      </c>
      <c r="J1044" s="14">
        <v>61.65</v>
      </c>
    </row>
    <row r="1045" spans="1:10" hidden="1">
      <c r="A1045" s="131" t="str">
        <f t="shared" si="16"/>
        <v>OPH de Bobigny_2018-09</v>
      </c>
      <c r="B1045" s="14" t="s">
        <v>2117</v>
      </c>
      <c r="C1045" s="14" t="s">
        <v>1280</v>
      </c>
      <c r="D1045" s="14" t="s">
        <v>535</v>
      </c>
      <c r="E1045" s="14" t="s">
        <v>2268</v>
      </c>
      <c r="F1045" s="14">
        <v>15</v>
      </c>
      <c r="G1045" s="14">
        <v>156.75</v>
      </c>
      <c r="H1045" s="14">
        <v>10.45</v>
      </c>
      <c r="I1045" s="14">
        <v>35</v>
      </c>
      <c r="J1045" s="14">
        <v>101.89</v>
      </c>
    </row>
    <row r="1046" spans="1:10" hidden="1">
      <c r="A1046" s="131" t="str">
        <f t="shared" si="16"/>
        <v>OPH de Bobigny_2018-07</v>
      </c>
      <c r="B1046" s="14" t="s">
        <v>2117</v>
      </c>
      <c r="C1046" s="14" t="s">
        <v>1281</v>
      </c>
      <c r="D1046" s="14" t="s">
        <v>535</v>
      </c>
      <c r="E1046" s="14" t="s">
        <v>2144</v>
      </c>
      <c r="F1046" s="14">
        <v>10</v>
      </c>
      <c r="G1046" s="14">
        <v>271</v>
      </c>
      <c r="H1046" s="14">
        <v>27.1</v>
      </c>
      <c r="I1046" s="14">
        <v>40</v>
      </c>
      <c r="J1046" s="14">
        <v>162.6</v>
      </c>
    </row>
    <row r="1047" spans="1:10">
      <c r="A1047" s="131" t="str">
        <f t="shared" si="16"/>
        <v>OPH de Bobigny_2018-08</v>
      </c>
      <c r="B1047" s="14" t="s">
        <v>2117</v>
      </c>
      <c r="C1047" s="14" t="s">
        <v>1281</v>
      </c>
      <c r="D1047" s="14" t="s">
        <v>535</v>
      </c>
      <c r="E1047" s="14" t="s">
        <v>2189</v>
      </c>
      <c r="F1047" s="14">
        <v>10</v>
      </c>
      <c r="G1047" s="14">
        <v>279.06</v>
      </c>
      <c r="H1047" s="14">
        <v>27.91</v>
      </c>
      <c r="I1047" s="14">
        <v>35</v>
      </c>
      <c r="J1047" s="14">
        <v>181.39</v>
      </c>
    </row>
    <row r="1048" spans="1:10" hidden="1">
      <c r="A1048" s="131" t="str">
        <f t="shared" si="16"/>
        <v>OPH de Bobigny_2018-09</v>
      </c>
      <c r="B1048" s="14" t="s">
        <v>2117</v>
      </c>
      <c r="C1048" s="14" t="s">
        <v>1281</v>
      </c>
      <c r="D1048" s="14" t="s">
        <v>535</v>
      </c>
      <c r="E1048" s="14" t="s">
        <v>2268</v>
      </c>
      <c r="F1048" s="14">
        <v>10</v>
      </c>
      <c r="G1048" s="14">
        <v>259</v>
      </c>
      <c r="H1048" s="14">
        <v>25.9</v>
      </c>
      <c r="I1048" s="14">
        <v>35</v>
      </c>
      <c r="J1048" s="14">
        <v>168.35</v>
      </c>
    </row>
    <row r="1049" spans="1:10" hidden="1">
      <c r="A1049" s="131" t="str">
        <f t="shared" si="16"/>
        <v>OPH de Bobigny_2018-07</v>
      </c>
      <c r="B1049" s="14" t="s">
        <v>2117</v>
      </c>
      <c r="C1049" s="14" t="s">
        <v>1543</v>
      </c>
      <c r="D1049" s="14" t="s">
        <v>535</v>
      </c>
      <c r="E1049" s="14" t="s">
        <v>2144</v>
      </c>
      <c r="F1049" s="14">
        <v>37</v>
      </c>
      <c r="G1049" s="14">
        <v>86.55</v>
      </c>
      <c r="H1049" s="14">
        <v>2.34</v>
      </c>
      <c r="I1049" s="14">
        <v>40</v>
      </c>
      <c r="J1049" s="14">
        <v>51.93</v>
      </c>
    </row>
    <row r="1050" spans="1:10">
      <c r="A1050" s="131" t="str">
        <f t="shared" si="16"/>
        <v>OPH de Bobigny_2018-08</v>
      </c>
      <c r="B1050" s="14" t="s">
        <v>2117</v>
      </c>
      <c r="C1050" s="14" t="s">
        <v>1543</v>
      </c>
      <c r="D1050" s="14" t="s">
        <v>535</v>
      </c>
      <c r="E1050" s="14" t="s">
        <v>2189</v>
      </c>
      <c r="F1050" s="14">
        <v>37</v>
      </c>
      <c r="G1050" s="14">
        <v>76.5</v>
      </c>
      <c r="H1050" s="14">
        <v>2.0699999999999998</v>
      </c>
      <c r="I1050" s="14">
        <v>40</v>
      </c>
      <c r="J1050" s="14">
        <v>45.9</v>
      </c>
    </row>
    <row r="1051" spans="1:10" hidden="1">
      <c r="A1051" s="131" t="str">
        <f t="shared" si="16"/>
        <v>OPH de Bobigny_2018-09</v>
      </c>
      <c r="B1051" s="14" t="s">
        <v>2117</v>
      </c>
      <c r="C1051" s="14" t="s">
        <v>1543</v>
      </c>
      <c r="D1051" s="14" t="s">
        <v>535</v>
      </c>
      <c r="E1051" s="14" t="s">
        <v>2268</v>
      </c>
      <c r="F1051" s="14">
        <v>37</v>
      </c>
      <c r="G1051" s="14">
        <v>88</v>
      </c>
      <c r="H1051" s="14">
        <v>2.38</v>
      </c>
      <c r="I1051" s="14">
        <v>40</v>
      </c>
      <c r="J1051" s="14">
        <v>52.8</v>
      </c>
    </row>
    <row r="1052" spans="1:10" hidden="1">
      <c r="A1052" s="131" t="str">
        <f t="shared" si="16"/>
        <v>OPH Montreuillois_2018-07</v>
      </c>
      <c r="B1052" s="14" t="s">
        <v>474</v>
      </c>
      <c r="C1052" s="14" t="s">
        <v>475</v>
      </c>
      <c r="D1052" s="14" t="s">
        <v>946</v>
      </c>
      <c r="E1052" s="14" t="s">
        <v>2144</v>
      </c>
      <c r="F1052" s="14">
        <v>19</v>
      </c>
      <c r="G1052" s="14">
        <v>986.09</v>
      </c>
      <c r="H1052" s="14">
        <v>51.9</v>
      </c>
      <c r="I1052" s="14">
        <v>30</v>
      </c>
      <c r="J1052" s="14">
        <v>690.26</v>
      </c>
    </row>
    <row r="1053" spans="1:10">
      <c r="A1053" s="131" t="str">
        <f t="shared" si="16"/>
        <v>OPH Montreuillois_2018-08</v>
      </c>
      <c r="B1053" s="14" t="s">
        <v>474</v>
      </c>
      <c r="C1053" s="14" t="s">
        <v>475</v>
      </c>
      <c r="D1053" s="14" t="s">
        <v>946</v>
      </c>
      <c r="E1053" s="14" t="s">
        <v>2189</v>
      </c>
      <c r="F1053" s="14">
        <v>19</v>
      </c>
      <c r="G1053" s="14">
        <v>844.4</v>
      </c>
      <c r="H1053" s="14">
        <v>44.44</v>
      </c>
      <c r="I1053" s="14">
        <v>30</v>
      </c>
      <c r="J1053" s="14">
        <v>591.08000000000004</v>
      </c>
    </row>
    <row r="1054" spans="1:10" hidden="1">
      <c r="A1054" s="131" t="str">
        <f t="shared" si="16"/>
        <v>OPH Montreuillois_2018-09</v>
      </c>
      <c r="B1054" s="14" t="s">
        <v>474</v>
      </c>
      <c r="C1054" s="14" t="s">
        <v>475</v>
      </c>
      <c r="D1054" s="14" t="s">
        <v>946</v>
      </c>
      <c r="E1054" s="14" t="s">
        <v>2268</v>
      </c>
      <c r="F1054" s="14">
        <v>18.37</v>
      </c>
      <c r="G1054" s="14">
        <v>942.63</v>
      </c>
      <c r="H1054" s="14">
        <v>51.31</v>
      </c>
      <c r="I1054" s="14">
        <v>30</v>
      </c>
      <c r="J1054" s="14">
        <v>659.84</v>
      </c>
    </row>
    <row r="1055" spans="1:10" hidden="1">
      <c r="A1055" s="131" t="str">
        <f t="shared" si="16"/>
        <v>OPH Montreuillois_2018-09</v>
      </c>
      <c r="B1055" s="14" t="s">
        <v>474</v>
      </c>
      <c r="C1055" s="14" t="s">
        <v>2306</v>
      </c>
      <c r="D1055" s="14" t="s">
        <v>2307</v>
      </c>
      <c r="E1055" s="14" t="s">
        <v>2268</v>
      </c>
      <c r="F1055" s="14">
        <v>5</v>
      </c>
      <c r="G1055" s="14">
        <v>51</v>
      </c>
      <c r="H1055" s="14">
        <v>10.199999999999999</v>
      </c>
      <c r="I1055" s="14">
        <v>40</v>
      </c>
      <c r="J1055" s="14">
        <v>30.6</v>
      </c>
    </row>
    <row r="1056" spans="1:10" hidden="1">
      <c r="A1056" s="131" t="str">
        <f t="shared" si="16"/>
        <v>OPH Montreuillois_2018-07</v>
      </c>
      <c r="B1056" s="14" t="s">
        <v>474</v>
      </c>
      <c r="C1056" s="14" t="s">
        <v>1908</v>
      </c>
      <c r="D1056" s="14" t="s">
        <v>1909</v>
      </c>
      <c r="E1056" s="14" t="s">
        <v>2144</v>
      </c>
      <c r="F1056" s="14">
        <v>10</v>
      </c>
      <c r="G1056" s="14">
        <v>412.23</v>
      </c>
      <c r="H1056" s="14">
        <v>41.22</v>
      </c>
      <c r="I1056" s="14">
        <v>40</v>
      </c>
      <c r="J1056" s="14">
        <v>247.34</v>
      </c>
    </row>
    <row r="1057" spans="1:10">
      <c r="A1057" s="131" t="str">
        <f t="shared" si="16"/>
        <v>OPH Montreuillois_2018-08</v>
      </c>
      <c r="B1057" s="14" t="s">
        <v>474</v>
      </c>
      <c r="C1057" s="14" t="s">
        <v>1908</v>
      </c>
      <c r="D1057" s="14" t="s">
        <v>1909</v>
      </c>
      <c r="E1057" s="14" t="s">
        <v>2189</v>
      </c>
      <c r="F1057" s="14">
        <v>10</v>
      </c>
      <c r="G1057" s="14">
        <v>296.94</v>
      </c>
      <c r="H1057" s="14">
        <v>29.69</v>
      </c>
      <c r="I1057" s="14">
        <v>40</v>
      </c>
      <c r="J1057" s="14">
        <v>178.16</v>
      </c>
    </row>
    <row r="1058" spans="1:10" hidden="1">
      <c r="A1058" s="131" t="str">
        <f t="shared" si="16"/>
        <v>OPH Montreuillois_2018-09</v>
      </c>
      <c r="B1058" s="14" t="s">
        <v>474</v>
      </c>
      <c r="C1058" s="14" t="s">
        <v>1908</v>
      </c>
      <c r="D1058" s="14" t="s">
        <v>1909</v>
      </c>
      <c r="E1058" s="14" t="s">
        <v>2268</v>
      </c>
      <c r="F1058" s="14">
        <v>10</v>
      </c>
      <c r="G1058" s="14">
        <v>639.63</v>
      </c>
      <c r="H1058" s="14">
        <v>63.96</v>
      </c>
      <c r="I1058" s="14">
        <v>40</v>
      </c>
      <c r="J1058" s="14">
        <v>383.78</v>
      </c>
    </row>
    <row r="1059" spans="1:10" hidden="1">
      <c r="A1059" s="131" t="str">
        <f t="shared" si="16"/>
        <v>OPH Montreuillois_2018-07</v>
      </c>
      <c r="B1059" s="14" t="s">
        <v>474</v>
      </c>
      <c r="C1059" s="14" t="s">
        <v>476</v>
      </c>
      <c r="D1059" s="14" t="s">
        <v>947</v>
      </c>
      <c r="E1059" s="14" t="s">
        <v>2144</v>
      </c>
      <c r="F1059" s="14">
        <v>30</v>
      </c>
      <c r="G1059" s="14">
        <v>1206.1600000000001</v>
      </c>
      <c r="H1059" s="14">
        <v>40.21</v>
      </c>
      <c r="I1059" s="14">
        <v>30</v>
      </c>
      <c r="J1059" s="14">
        <v>844.31</v>
      </c>
    </row>
    <row r="1060" spans="1:10">
      <c r="A1060" s="131" t="str">
        <f t="shared" si="16"/>
        <v>OPH Montreuillois_2018-08</v>
      </c>
      <c r="B1060" s="14" t="s">
        <v>474</v>
      </c>
      <c r="C1060" s="14" t="s">
        <v>476</v>
      </c>
      <c r="D1060" s="14" t="s">
        <v>947</v>
      </c>
      <c r="E1060" s="14" t="s">
        <v>2189</v>
      </c>
      <c r="F1060" s="14">
        <v>30</v>
      </c>
      <c r="G1060" s="14">
        <v>1288.0899999999999</v>
      </c>
      <c r="H1060" s="14">
        <v>42.94</v>
      </c>
      <c r="I1060" s="14">
        <v>30</v>
      </c>
      <c r="J1060" s="14">
        <v>901.66</v>
      </c>
    </row>
    <row r="1061" spans="1:10" hidden="1">
      <c r="A1061" s="131" t="str">
        <f t="shared" si="16"/>
        <v>OPH Montreuillois_2018-09</v>
      </c>
      <c r="B1061" s="14" t="s">
        <v>474</v>
      </c>
      <c r="C1061" s="14" t="s">
        <v>476</v>
      </c>
      <c r="D1061" s="14" t="s">
        <v>947</v>
      </c>
      <c r="E1061" s="14" t="s">
        <v>2268</v>
      </c>
      <c r="F1061" s="14">
        <v>30</v>
      </c>
      <c r="G1061" s="14">
        <v>1197.1500000000001</v>
      </c>
      <c r="H1061" s="14">
        <v>39.909999999999997</v>
      </c>
      <c r="I1061" s="14">
        <v>30</v>
      </c>
      <c r="J1061" s="14">
        <v>838</v>
      </c>
    </row>
    <row r="1062" spans="1:10" hidden="1">
      <c r="A1062" s="131" t="str">
        <f t="shared" si="16"/>
        <v>OPH Montreuillois_2018-09</v>
      </c>
      <c r="B1062" s="14" t="s">
        <v>474</v>
      </c>
      <c r="C1062" s="14" t="s">
        <v>2308</v>
      </c>
      <c r="D1062" s="14" t="s">
        <v>2309</v>
      </c>
      <c r="E1062" s="14" t="s">
        <v>2268</v>
      </c>
      <c r="F1062" s="14">
        <v>10</v>
      </c>
      <c r="G1062" s="14">
        <v>242</v>
      </c>
      <c r="H1062" s="14">
        <v>24.2</v>
      </c>
      <c r="I1062" s="14">
        <v>40</v>
      </c>
      <c r="J1062" s="14">
        <v>145.19999999999999</v>
      </c>
    </row>
    <row r="1063" spans="1:10" hidden="1">
      <c r="A1063" s="131" t="str">
        <f t="shared" si="16"/>
        <v>OPH Montreuillois_2018-07</v>
      </c>
      <c r="B1063" s="14" t="s">
        <v>474</v>
      </c>
      <c r="C1063" s="14" t="s">
        <v>1910</v>
      </c>
      <c r="D1063" s="14" t="s">
        <v>1911</v>
      </c>
      <c r="E1063" s="14" t="s">
        <v>2144</v>
      </c>
      <c r="F1063" s="14">
        <v>51</v>
      </c>
      <c r="G1063" s="14">
        <v>110.9</v>
      </c>
      <c r="H1063" s="14">
        <v>2.17</v>
      </c>
      <c r="I1063" s="14">
        <v>40</v>
      </c>
      <c r="J1063" s="14">
        <v>66.540000000000006</v>
      </c>
    </row>
    <row r="1064" spans="1:10">
      <c r="A1064" s="131" t="str">
        <f t="shared" si="16"/>
        <v>OPH Montreuillois_2018-08</v>
      </c>
      <c r="B1064" s="14" t="s">
        <v>474</v>
      </c>
      <c r="C1064" s="14" t="s">
        <v>1910</v>
      </c>
      <c r="D1064" s="14" t="s">
        <v>1911</v>
      </c>
      <c r="E1064" s="14" t="s">
        <v>2189</v>
      </c>
      <c r="F1064" s="14">
        <v>51</v>
      </c>
      <c r="G1064" s="14">
        <v>21.63</v>
      </c>
      <c r="H1064" s="14">
        <v>0.42</v>
      </c>
      <c r="I1064" s="14">
        <v>40</v>
      </c>
      <c r="J1064" s="14">
        <v>12.98</v>
      </c>
    </row>
    <row r="1065" spans="1:10" hidden="1">
      <c r="A1065" s="131" t="str">
        <f t="shared" si="16"/>
        <v>OPH Montreuillois_2018-09</v>
      </c>
      <c r="B1065" s="14" t="s">
        <v>474</v>
      </c>
      <c r="C1065" s="14" t="s">
        <v>1910</v>
      </c>
      <c r="D1065" s="14" t="s">
        <v>1911</v>
      </c>
      <c r="E1065" s="14" t="s">
        <v>2268</v>
      </c>
      <c r="F1065" s="14">
        <v>51</v>
      </c>
      <c r="G1065" s="14">
        <v>47.33</v>
      </c>
      <c r="H1065" s="14">
        <v>0.93</v>
      </c>
      <c r="I1065" s="14">
        <v>40</v>
      </c>
      <c r="J1065" s="14">
        <v>28.4</v>
      </c>
    </row>
    <row r="1066" spans="1:10" hidden="1">
      <c r="A1066" s="131" t="str">
        <f t="shared" si="16"/>
        <v>OPH Montreuillois_2018-07</v>
      </c>
      <c r="B1066" s="14" t="s">
        <v>474</v>
      </c>
      <c r="C1066" s="14" t="s">
        <v>978</v>
      </c>
      <c r="D1066" s="14" t="s">
        <v>979</v>
      </c>
      <c r="E1066" s="14" t="s">
        <v>2144</v>
      </c>
      <c r="F1066" s="14">
        <v>18</v>
      </c>
      <c r="G1066" s="14">
        <v>565.14</v>
      </c>
      <c r="H1066" s="14">
        <v>31.4</v>
      </c>
      <c r="I1066" s="14">
        <v>30</v>
      </c>
      <c r="J1066" s="14">
        <v>395.6</v>
      </c>
    </row>
    <row r="1067" spans="1:10">
      <c r="A1067" s="131" t="str">
        <f t="shared" ref="A1067:A1130" si="17">CONCATENATE(B1067,"_",E1067)</f>
        <v>OPH Montreuillois_2018-08</v>
      </c>
      <c r="B1067" s="14" t="s">
        <v>474</v>
      </c>
      <c r="C1067" s="14" t="s">
        <v>978</v>
      </c>
      <c r="D1067" s="14" t="s">
        <v>979</v>
      </c>
      <c r="E1067" s="14" t="s">
        <v>2189</v>
      </c>
      <c r="F1067" s="14">
        <v>18</v>
      </c>
      <c r="G1067" s="14">
        <v>494.96</v>
      </c>
      <c r="H1067" s="14">
        <v>27.5</v>
      </c>
      <c r="I1067" s="14">
        <v>30</v>
      </c>
      <c r="J1067" s="14">
        <v>346.47</v>
      </c>
    </row>
    <row r="1068" spans="1:10" hidden="1">
      <c r="A1068" s="131" t="str">
        <f t="shared" si="17"/>
        <v>OPH Montreuillois_2018-09</v>
      </c>
      <c r="B1068" s="14" t="s">
        <v>474</v>
      </c>
      <c r="C1068" s="14" t="s">
        <v>978</v>
      </c>
      <c r="D1068" s="14" t="s">
        <v>979</v>
      </c>
      <c r="E1068" s="14" t="s">
        <v>2268</v>
      </c>
      <c r="F1068" s="14">
        <v>18</v>
      </c>
      <c r="G1068" s="14">
        <v>710.11</v>
      </c>
      <c r="H1068" s="14">
        <v>39.450000000000003</v>
      </c>
      <c r="I1068" s="14">
        <v>30</v>
      </c>
      <c r="J1068" s="14">
        <v>497.08</v>
      </c>
    </row>
    <row r="1069" spans="1:10" hidden="1">
      <c r="A1069" s="131" t="str">
        <f t="shared" si="17"/>
        <v>OPH Montreuillois_2018-07</v>
      </c>
      <c r="B1069" s="14" t="s">
        <v>474</v>
      </c>
      <c r="C1069" s="14" t="s">
        <v>980</v>
      </c>
      <c r="D1069" s="14" t="s">
        <v>981</v>
      </c>
      <c r="E1069" s="14" t="s">
        <v>2144</v>
      </c>
      <c r="F1069" s="14">
        <v>15</v>
      </c>
      <c r="G1069" s="14">
        <v>912.78</v>
      </c>
      <c r="H1069" s="14">
        <v>60.85</v>
      </c>
      <c r="I1069" s="14">
        <v>30</v>
      </c>
      <c r="J1069" s="14">
        <v>638.95000000000005</v>
      </c>
    </row>
    <row r="1070" spans="1:10">
      <c r="A1070" s="131" t="str">
        <f t="shared" si="17"/>
        <v>OPH Montreuillois_2018-08</v>
      </c>
      <c r="B1070" s="14" t="s">
        <v>474</v>
      </c>
      <c r="C1070" s="14" t="s">
        <v>980</v>
      </c>
      <c r="D1070" s="14" t="s">
        <v>981</v>
      </c>
      <c r="E1070" s="14" t="s">
        <v>2189</v>
      </c>
      <c r="F1070" s="14">
        <v>15</v>
      </c>
      <c r="G1070" s="14">
        <v>979.13</v>
      </c>
      <c r="H1070" s="14">
        <v>65.28</v>
      </c>
      <c r="I1070" s="14">
        <v>30</v>
      </c>
      <c r="J1070" s="14">
        <v>685.39</v>
      </c>
    </row>
    <row r="1071" spans="1:10" hidden="1">
      <c r="A1071" s="131" t="str">
        <f t="shared" si="17"/>
        <v>OPH Montreuillois_2018-09</v>
      </c>
      <c r="B1071" s="14" t="s">
        <v>474</v>
      </c>
      <c r="C1071" s="14" t="s">
        <v>980</v>
      </c>
      <c r="D1071" s="14" t="s">
        <v>981</v>
      </c>
      <c r="E1071" s="14" t="s">
        <v>2268</v>
      </c>
      <c r="F1071" s="14">
        <v>15</v>
      </c>
      <c r="G1071" s="14">
        <v>756.81</v>
      </c>
      <c r="H1071" s="14">
        <v>50.45</v>
      </c>
      <c r="I1071" s="14">
        <v>30</v>
      </c>
      <c r="J1071" s="14">
        <v>529.77</v>
      </c>
    </row>
    <row r="1072" spans="1:10">
      <c r="A1072" s="131" t="str">
        <f t="shared" si="17"/>
        <v>OPH Montreuillois_2018-08</v>
      </c>
      <c r="B1072" s="14" t="s">
        <v>474</v>
      </c>
      <c r="C1072" s="14" t="s">
        <v>2221</v>
      </c>
      <c r="D1072" s="14" t="s">
        <v>2222</v>
      </c>
      <c r="E1072" s="14" t="s">
        <v>2189</v>
      </c>
      <c r="F1072" s="14">
        <v>6.45</v>
      </c>
      <c r="G1072" s="14">
        <v>5.16</v>
      </c>
      <c r="H1072" s="14">
        <v>0.8</v>
      </c>
      <c r="I1072" s="14">
        <v>40</v>
      </c>
      <c r="J1072" s="14">
        <v>3.1</v>
      </c>
    </row>
    <row r="1073" spans="1:10" hidden="1">
      <c r="A1073" s="131" t="str">
        <f t="shared" si="17"/>
        <v>OPH Montreuillois_2018-09</v>
      </c>
      <c r="B1073" s="14" t="s">
        <v>474</v>
      </c>
      <c r="C1073" s="14" t="s">
        <v>2221</v>
      </c>
      <c r="D1073" s="14" t="s">
        <v>2222</v>
      </c>
      <c r="E1073" s="14" t="s">
        <v>2268</v>
      </c>
      <c r="F1073" s="14">
        <v>8</v>
      </c>
      <c r="G1073" s="14">
        <v>192</v>
      </c>
      <c r="H1073" s="14">
        <v>24</v>
      </c>
      <c r="I1073" s="14">
        <v>40</v>
      </c>
      <c r="J1073" s="14">
        <v>115.2</v>
      </c>
    </row>
    <row r="1074" spans="1:10" hidden="1">
      <c r="A1074" s="131" t="str">
        <f t="shared" si="17"/>
        <v>Parcorly_2018-07</v>
      </c>
      <c r="B1074" s="14" t="s">
        <v>1156</v>
      </c>
      <c r="C1074" s="14" t="s">
        <v>1787</v>
      </c>
      <c r="D1074" s="14" t="s">
        <v>535</v>
      </c>
      <c r="E1074" s="14" t="s">
        <v>2144</v>
      </c>
      <c r="F1074" s="14">
        <v>42.58</v>
      </c>
      <c r="G1074" s="14">
        <v>4645.3</v>
      </c>
      <c r="H1074" s="14">
        <v>109.1</v>
      </c>
      <c r="I1074" s="14">
        <v>25</v>
      </c>
      <c r="J1074" s="14">
        <v>3483.97</v>
      </c>
    </row>
    <row r="1075" spans="1:10">
      <c r="A1075" s="131" t="str">
        <f t="shared" si="17"/>
        <v>Parcorly_2018-08</v>
      </c>
      <c r="B1075" s="14" t="s">
        <v>1156</v>
      </c>
      <c r="C1075" s="14" t="s">
        <v>1787</v>
      </c>
      <c r="D1075" s="14" t="s">
        <v>535</v>
      </c>
      <c r="E1075" s="14" t="s">
        <v>2189</v>
      </c>
      <c r="F1075" s="14">
        <v>32.35</v>
      </c>
      <c r="G1075" s="14">
        <v>1216.2</v>
      </c>
      <c r="H1075" s="14">
        <v>37.6</v>
      </c>
      <c r="I1075" s="14">
        <v>22.5</v>
      </c>
      <c r="J1075" s="14">
        <v>942.55</v>
      </c>
    </row>
    <row r="1076" spans="1:10" hidden="1">
      <c r="A1076" s="131" t="str">
        <f t="shared" si="17"/>
        <v>Parcorly_2018-09</v>
      </c>
      <c r="B1076" s="14" t="s">
        <v>1156</v>
      </c>
      <c r="C1076" s="14" t="s">
        <v>1787</v>
      </c>
      <c r="D1076" s="14" t="s">
        <v>535</v>
      </c>
      <c r="E1076" s="14" t="s">
        <v>2268</v>
      </c>
      <c r="F1076" s="14">
        <v>50</v>
      </c>
      <c r="G1076" s="14">
        <v>4385</v>
      </c>
      <c r="H1076" s="14">
        <v>87.7</v>
      </c>
      <c r="I1076" s="14">
        <v>22.5</v>
      </c>
      <c r="J1076" s="14">
        <v>3398.38</v>
      </c>
    </row>
    <row r="1077" spans="1:10" hidden="1">
      <c r="A1077" s="131" t="str">
        <f t="shared" si="17"/>
        <v>Paris Habitat_2018-07</v>
      </c>
      <c r="B1077" s="14" t="s">
        <v>303</v>
      </c>
      <c r="C1077" s="14" t="s">
        <v>526</v>
      </c>
      <c r="D1077" s="14" t="s">
        <v>796</v>
      </c>
      <c r="E1077" s="14" t="s">
        <v>2144</v>
      </c>
      <c r="F1077" s="14">
        <v>5</v>
      </c>
      <c r="G1077" s="14">
        <v>731</v>
      </c>
      <c r="H1077" s="14">
        <v>146.19999999999999</v>
      </c>
      <c r="I1077" s="14">
        <v>50</v>
      </c>
      <c r="J1077" s="14">
        <v>365.5</v>
      </c>
    </row>
    <row r="1078" spans="1:10">
      <c r="A1078" s="131" t="str">
        <f t="shared" si="17"/>
        <v>Paris Habitat_2018-08</v>
      </c>
      <c r="B1078" s="14" t="s">
        <v>303</v>
      </c>
      <c r="C1078" s="14" t="s">
        <v>526</v>
      </c>
      <c r="D1078" s="14" t="s">
        <v>796</v>
      </c>
      <c r="E1078" s="14" t="s">
        <v>2189</v>
      </c>
      <c r="F1078" s="14">
        <v>0</v>
      </c>
      <c r="G1078" s="14">
        <v>144</v>
      </c>
      <c r="H1078" s="14" t="s">
        <v>535</v>
      </c>
      <c r="I1078" s="14">
        <v>50</v>
      </c>
      <c r="J1078" s="14">
        <v>72</v>
      </c>
    </row>
    <row r="1079" spans="1:10" hidden="1">
      <c r="A1079" s="131" t="str">
        <f t="shared" si="17"/>
        <v>Paris Habitat_2018-09</v>
      </c>
      <c r="B1079" s="14" t="s">
        <v>303</v>
      </c>
      <c r="C1079" s="14" t="s">
        <v>526</v>
      </c>
      <c r="D1079" s="14" t="s">
        <v>796</v>
      </c>
      <c r="E1079" s="14" t="s">
        <v>2268</v>
      </c>
      <c r="F1079" s="14">
        <v>0</v>
      </c>
      <c r="G1079" s="14">
        <v>-9</v>
      </c>
      <c r="H1079" s="14" t="s">
        <v>535</v>
      </c>
      <c r="I1079" s="14">
        <v>50</v>
      </c>
      <c r="J1079" s="14">
        <v>-4.5</v>
      </c>
    </row>
    <row r="1080" spans="1:10" hidden="1">
      <c r="A1080" s="131" t="str">
        <f t="shared" si="17"/>
        <v>Paris Habitat_2018-07</v>
      </c>
      <c r="B1080" s="14" t="s">
        <v>303</v>
      </c>
      <c r="C1080" s="14" t="s">
        <v>477</v>
      </c>
      <c r="D1080" s="14" t="s">
        <v>982</v>
      </c>
      <c r="E1080" s="14" t="s">
        <v>2144</v>
      </c>
      <c r="F1080" s="14">
        <v>20</v>
      </c>
      <c r="G1080" s="14">
        <v>2510.09</v>
      </c>
      <c r="H1080" s="14">
        <v>125.5</v>
      </c>
      <c r="I1080" s="14">
        <v>50</v>
      </c>
      <c r="J1080" s="14">
        <v>1255.05</v>
      </c>
    </row>
    <row r="1081" spans="1:10">
      <c r="A1081" s="131" t="str">
        <f t="shared" si="17"/>
        <v>Paris Habitat_2018-08</v>
      </c>
      <c r="B1081" s="14" t="s">
        <v>303</v>
      </c>
      <c r="C1081" s="14" t="s">
        <v>477</v>
      </c>
      <c r="D1081" s="14" t="s">
        <v>982</v>
      </c>
      <c r="E1081" s="14" t="s">
        <v>2189</v>
      </c>
      <c r="F1081" s="14">
        <v>0</v>
      </c>
      <c r="G1081" s="14">
        <v>73.61</v>
      </c>
      <c r="H1081" s="14" t="s">
        <v>535</v>
      </c>
      <c r="I1081" s="14">
        <v>50</v>
      </c>
      <c r="J1081" s="14">
        <v>36.799999999999997</v>
      </c>
    </row>
    <row r="1082" spans="1:10" hidden="1">
      <c r="A1082" s="131" t="str">
        <f t="shared" si="17"/>
        <v>Paris Habitat_2018-09</v>
      </c>
      <c r="B1082" s="14" t="s">
        <v>303</v>
      </c>
      <c r="C1082" s="14" t="s">
        <v>477</v>
      </c>
      <c r="D1082" s="14" t="s">
        <v>982</v>
      </c>
      <c r="E1082" s="14" t="s">
        <v>2268</v>
      </c>
      <c r="F1082" s="14">
        <v>0</v>
      </c>
      <c r="G1082" s="14">
        <v>0</v>
      </c>
      <c r="H1082" s="14" t="s">
        <v>535</v>
      </c>
      <c r="I1082" s="14">
        <v>50</v>
      </c>
      <c r="J1082" s="14">
        <v>0</v>
      </c>
    </row>
    <row r="1083" spans="1:10" hidden="1">
      <c r="A1083" s="131" t="str">
        <f t="shared" si="17"/>
        <v>Paris Habitat_2018-07</v>
      </c>
      <c r="B1083" s="14" t="s">
        <v>303</v>
      </c>
      <c r="C1083" s="14" t="s">
        <v>352</v>
      </c>
      <c r="D1083" s="14" t="s">
        <v>1827</v>
      </c>
      <c r="E1083" s="14" t="s">
        <v>2144</v>
      </c>
      <c r="F1083" s="14">
        <v>22</v>
      </c>
      <c r="G1083" s="14">
        <v>1088.8499999999999</v>
      </c>
      <c r="H1083" s="14">
        <v>49.49</v>
      </c>
      <c r="I1083" s="14">
        <v>50</v>
      </c>
      <c r="J1083" s="14">
        <v>544.41999999999996</v>
      </c>
    </row>
    <row r="1084" spans="1:10">
      <c r="A1084" s="131" t="str">
        <f t="shared" si="17"/>
        <v>Paris Habitat_2018-08</v>
      </c>
      <c r="B1084" s="14" t="s">
        <v>303</v>
      </c>
      <c r="C1084" s="14" t="s">
        <v>352</v>
      </c>
      <c r="D1084" s="14" t="s">
        <v>1827</v>
      </c>
      <c r="E1084" s="14" t="s">
        <v>2189</v>
      </c>
      <c r="F1084" s="14">
        <v>0</v>
      </c>
      <c r="G1084" s="14">
        <v>153.55000000000001</v>
      </c>
      <c r="H1084" s="14" t="s">
        <v>535</v>
      </c>
      <c r="I1084" s="14">
        <v>50</v>
      </c>
      <c r="J1084" s="14">
        <v>76.78</v>
      </c>
    </row>
    <row r="1085" spans="1:10" hidden="1">
      <c r="A1085" s="131" t="str">
        <f t="shared" si="17"/>
        <v>Paris Habitat_2018-07</v>
      </c>
      <c r="B1085" s="14" t="s">
        <v>303</v>
      </c>
      <c r="C1085" s="14" t="s">
        <v>424</v>
      </c>
      <c r="D1085" s="14" t="s">
        <v>1828</v>
      </c>
      <c r="E1085" s="14" t="s">
        <v>2144</v>
      </c>
      <c r="F1085" s="14">
        <v>25</v>
      </c>
      <c r="G1085" s="14">
        <v>255</v>
      </c>
      <c r="H1085" s="14">
        <v>10.199999999999999</v>
      </c>
      <c r="I1085" s="14">
        <v>50</v>
      </c>
      <c r="J1085" s="14">
        <v>127.5</v>
      </c>
    </row>
    <row r="1086" spans="1:10">
      <c r="A1086" s="131" t="str">
        <f t="shared" si="17"/>
        <v>Paris Habitat_2018-08</v>
      </c>
      <c r="B1086" s="14" t="s">
        <v>303</v>
      </c>
      <c r="C1086" s="14" t="s">
        <v>424</v>
      </c>
      <c r="D1086" s="14" t="s">
        <v>1828</v>
      </c>
      <c r="E1086" s="14" t="s">
        <v>2189</v>
      </c>
      <c r="F1086" s="14">
        <v>0</v>
      </c>
      <c r="G1086" s="14">
        <v>5.13</v>
      </c>
      <c r="H1086" s="14" t="s">
        <v>535</v>
      </c>
      <c r="I1086" s="14">
        <v>50</v>
      </c>
      <c r="J1086" s="14">
        <v>2.56</v>
      </c>
    </row>
    <row r="1087" spans="1:10" hidden="1">
      <c r="A1087" s="131" t="str">
        <f t="shared" si="17"/>
        <v>Paris Hotel Louis Blanc_2018-07</v>
      </c>
      <c r="B1087" s="14" t="s">
        <v>446</v>
      </c>
      <c r="C1087" s="14" t="s">
        <v>797</v>
      </c>
      <c r="D1087" s="14" t="s">
        <v>535</v>
      </c>
      <c r="E1087" s="14" t="s">
        <v>2144</v>
      </c>
      <c r="F1087" s="14">
        <v>6</v>
      </c>
      <c r="G1087" s="14">
        <v>1708.6</v>
      </c>
      <c r="H1087" s="14">
        <v>284.77</v>
      </c>
      <c r="I1087" s="14">
        <v>40</v>
      </c>
      <c r="J1087" s="14">
        <v>1025.1600000000001</v>
      </c>
    </row>
    <row r="1088" spans="1:10">
      <c r="A1088" s="131" t="str">
        <f t="shared" si="17"/>
        <v>Paris Hotel Louis Blanc_2018-08</v>
      </c>
      <c r="B1088" s="14" t="s">
        <v>446</v>
      </c>
      <c r="C1088" s="14" t="s">
        <v>797</v>
      </c>
      <c r="D1088" s="14" t="s">
        <v>535</v>
      </c>
      <c r="E1088" s="14" t="s">
        <v>2189</v>
      </c>
      <c r="F1088" s="14">
        <v>5.48</v>
      </c>
      <c r="G1088" s="14">
        <v>1520.89</v>
      </c>
      <c r="H1088" s="14">
        <v>277.52999999999997</v>
      </c>
      <c r="I1088" s="14">
        <v>40</v>
      </c>
      <c r="J1088" s="14">
        <v>912.53</v>
      </c>
    </row>
    <row r="1089" spans="1:10" hidden="1">
      <c r="A1089" s="131" t="str">
        <f t="shared" si="17"/>
        <v>Paris Hotel Louis Blanc_2018-09</v>
      </c>
      <c r="B1089" s="14" t="s">
        <v>446</v>
      </c>
      <c r="C1089" s="14" t="s">
        <v>797</v>
      </c>
      <c r="D1089" s="14" t="s">
        <v>535</v>
      </c>
      <c r="E1089" s="14" t="s">
        <v>2268</v>
      </c>
      <c r="F1089" s="14">
        <v>2.27</v>
      </c>
      <c r="G1089" s="14">
        <v>1190.57</v>
      </c>
      <c r="H1089" s="14">
        <v>524.48</v>
      </c>
      <c r="I1089" s="14">
        <v>40</v>
      </c>
      <c r="J1089" s="14">
        <v>714.34</v>
      </c>
    </row>
    <row r="1090" spans="1:10">
      <c r="A1090" s="131" t="str">
        <f t="shared" si="17"/>
        <v>Parking Cheap_2018-08</v>
      </c>
      <c r="B1090" s="14" t="s">
        <v>1829</v>
      </c>
      <c r="C1090" s="14" t="s">
        <v>2223</v>
      </c>
      <c r="D1090" s="14" t="s">
        <v>535</v>
      </c>
      <c r="E1090" s="14" t="s">
        <v>2189</v>
      </c>
      <c r="F1090" s="14">
        <v>10</v>
      </c>
      <c r="G1090" s="14">
        <v>1818</v>
      </c>
      <c r="H1090" s="14">
        <v>181.8</v>
      </c>
      <c r="I1090" s="14">
        <v>20</v>
      </c>
      <c r="J1090" s="14">
        <v>1454.4</v>
      </c>
    </row>
    <row r="1091" spans="1:10" hidden="1">
      <c r="A1091" s="131" t="str">
        <f t="shared" si="17"/>
        <v>Parking Cheap_2018-09</v>
      </c>
      <c r="B1091" s="14" t="s">
        <v>1829</v>
      </c>
      <c r="C1091" s="14" t="s">
        <v>2223</v>
      </c>
      <c r="D1091" s="14" t="s">
        <v>535</v>
      </c>
      <c r="E1091" s="14" t="s">
        <v>2268</v>
      </c>
      <c r="F1091" s="14">
        <v>10</v>
      </c>
      <c r="G1091" s="14">
        <v>330</v>
      </c>
      <c r="H1091" s="14">
        <v>33</v>
      </c>
      <c r="I1091" s="14">
        <v>20</v>
      </c>
      <c r="J1091" s="14">
        <v>264</v>
      </c>
    </row>
    <row r="1092" spans="1:10" hidden="1">
      <c r="A1092" s="131" t="str">
        <f t="shared" si="17"/>
        <v>Parking La Courneuve_2018-07</v>
      </c>
      <c r="B1092" s="14" t="s">
        <v>264</v>
      </c>
      <c r="C1092" s="14" t="s">
        <v>2322</v>
      </c>
      <c r="D1092" s="14" t="s">
        <v>535</v>
      </c>
      <c r="E1092" s="14" t="s">
        <v>2144</v>
      </c>
      <c r="F1092" s="14">
        <v>7.74</v>
      </c>
      <c r="G1092" s="14">
        <v>376.5</v>
      </c>
      <c r="H1092" s="14">
        <v>48.64</v>
      </c>
      <c r="I1092" s="14">
        <v>20</v>
      </c>
      <c r="J1092" s="14">
        <v>301.2</v>
      </c>
    </row>
    <row r="1093" spans="1:10" hidden="1">
      <c r="A1093" s="131" t="str">
        <f t="shared" si="17"/>
        <v>Parking Roissy Tarif_2018-07</v>
      </c>
      <c r="B1093" s="14" t="s">
        <v>1282</v>
      </c>
      <c r="C1093" s="14" t="s">
        <v>2323</v>
      </c>
      <c r="D1093" s="14" t="s">
        <v>535</v>
      </c>
      <c r="E1093" s="14" t="s">
        <v>2144</v>
      </c>
      <c r="F1093" s="14">
        <v>3.23</v>
      </c>
      <c r="G1093" s="14">
        <v>39</v>
      </c>
      <c r="H1093" s="14">
        <v>12.07</v>
      </c>
      <c r="I1093" s="14">
        <v>20</v>
      </c>
      <c r="J1093" s="14">
        <v>31.2</v>
      </c>
    </row>
    <row r="1094" spans="1:10" hidden="1">
      <c r="A1094" s="131" t="str">
        <f t="shared" si="17"/>
        <v>Parking Services_2018-07</v>
      </c>
      <c r="B1094" s="14" t="s">
        <v>2163</v>
      </c>
      <c r="C1094" s="14" t="s">
        <v>2164</v>
      </c>
      <c r="D1094" s="14" t="s">
        <v>535</v>
      </c>
      <c r="E1094" s="14" t="s">
        <v>2144</v>
      </c>
      <c r="F1094" s="14">
        <v>9.35</v>
      </c>
      <c r="G1094" s="14">
        <v>44</v>
      </c>
      <c r="H1094" s="14">
        <v>4.71</v>
      </c>
      <c r="I1094" s="14">
        <v>25</v>
      </c>
      <c r="J1094" s="14">
        <v>33</v>
      </c>
    </row>
    <row r="1095" spans="1:10">
      <c r="A1095" s="131" t="str">
        <f t="shared" si="17"/>
        <v>Parking Services_2018-08</v>
      </c>
      <c r="B1095" s="14" t="s">
        <v>2163</v>
      </c>
      <c r="C1095" s="14" t="s">
        <v>2164</v>
      </c>
      <c r="D1095" s="14" t="s">
        <v>535</v>
      </c>
      <c r="E1095" s="14" t="s">
        <v>2189</v>
      </c>
      <c r="F1095" s="14">
        <v>10</v>
      </c>
      <c r="G1095" s="14">
        <v>449</v>
      </c>
      <c r="H1095" s="14">
        <v>44.9</v>
      </c>
      <c r="I1095" s="14">
        <v>25</v>
      </c>
      <c r="J1095" s="14">
        <v>336.75</v>
      </c>
    </row>
    <row r="1096" spans="1:10" hidden="1">
      <c r="A1096" s="131" t="str">
        <f t="shared" si="17"/>
        <v>Parking Services_2018-09</v>
      </c>
      <c r="B1096" s="14" t="s">
        <v>2163</v>
      </c>
      <c r="C1096" s="14" t="s">
        <v>2164</v>
      </c>
      <c r="D1096" s="14" t="s">
        <v>535</v>
      </c>
      <c r="E1096" s="14" t="s">
        <v>2268</v>
      </c>
      <c r="F1096" s="14">
        <v>8.33</v>
      </c>
      <c r="G1096" s="14">
        <v>88</v>
      </c>
      <c r="H1096" s="14">
        <v>10.56</v>
      </c>
      <c r="I1096" s="14">
        <v>25</v>
      </c>
      <c r="J1096" s="14">
        <v>66</v>
      </c>
    </row>
    <row r="1097" spans="1:10" hidden="1">
      <c r="A1097" s="131" t="str">
        <f t="shared" si="17"/>
        <v>Parking Services_2018-07</v>
      </c>
      <c r="B1097" s="14" t="s">
        <v>2163</v>
      </c>
      <c r="C1097" s="14" t="s">
        <v>2165</v>
      </c>
      <c r="D1097" s="14" t="s">
        <v>535</v>
      </c>
      <c r="E1097" s="14" t="s">
        <v>2144</v>
      </c>
      <c r="F1097" s="14">
        <v>9.35</v>
      </c>
      <c r="G1097" s="14">
        <v>54</v>
      </c>
      <c r="H1097" s="14">
        <v>5.78</v>
      </c>
      <c r="I1097" s="14">
        <v>25</v>
      </c>
      <c r="J1097" s="14">
        <v>40.5</v>
      </c>
    </row>
    <row r="1098" spans="1:10">
      <c r="A1098" s="131" t="str">
        <f t="shared" si="17"/>
        <v>Parking Services_2018-08</v>
      </c>
      <c r="B1098" s="14" t="s">
        <v>2163</v>
      </c>
      <c r="C1098" s="14" t="s">
        <v>2165</v>
      </c>
      <c r="D1098" s="14" t="s">
        <v>535</v>
      </c>
      <c r="E1098" s="14" t="s">
        <v>2189</v>
      </c>
      <c r="F1098" s="14">
        <v>10</v>
      </c>
      <c r="G1098" s="14">
        <v>68</v>
      </c>
      <c r="H1098" s="14">
        <v>6.8</v>
      </c>
      <c r="I1098" s="14">
        <v>25</v>
      </c>
      <c r="J1098" s="14">
        <v>51</v>
      </c>
    </row>
    <row r="1099" spans="1:10" hidden="1">
      <c r="A1099" s="131" t="str">
        <f t="shared" si="17"/>
        <v>Parking Services_2018-09</v>
      </c>
      <c r="B1099" s="14" t="s">
        <v>2163</v>
      </c>
      <c r="C1099" s="14" t="s">
        <v>2165</v>
      </c>
      <c r="D1099" s="14" t="s">
        <v>535</v>
      </c>
      <c r="E1099" s="14" t="s">
        <v>2268</v>
      </c>
      <c r="F1099" s="14">
        <v>4.67</v>
      </c>
      <c r="G1099" s="14">
        <v>10</v>
      </c>
      <c r="H1099" s="14">
        <v>2.14</v>
      </c>
      <c r="I1099" s="14">
        <v>25</v>
      </c>
      <c r="J1099" s="14">
        <v>7.5</v>
      </c>
    </row>
    <row r="1100" spans="1:10" hidden="1">
      <c r="A1100" s="131" t="str">
        <f t="shared" si="17"/>
        <v>Parking Soleil Orly_2018-07</v>
      </c>
      <c r="B1100" s="14" t="s">
        <v>537</v>
      </c>
      <c r="C1100" s="14" t="s">
        <v>1788</v>
      </c>
      <c r="D1100" s="14" t="s">
        <v>535</v>
      </c>
      <c r="E1100" s="14" t="s">
        <v>2144</v>
      </c>
      <c r="F1100" s="14">
        <v>20</v>
      </c>
      <c r="G1100" s="14">
        <v>3839</v>
      </c>
      <c r="H1100" s="14">
        <v>191.95</v>
      </c>
      <c r="I1100" s="14">
        <v>20</v>
      </c>
      <c r="J1100" s="14">
        <v>3071.2</v>
      </c>
    </row>
    <row r="1101" spans="1:10">
      <c r="A1101" s="131" t="str">
        <f t="shared" si="17"/>
        <v>Parking Soleil Orly_2018-08</v>
      </c>
      <c r="B1101" s="14" t="s">
        <v>537</v>
      </c>
      <c r="C1101" s="14" t="s">
        <v>1788</v>
      </c>
      <c r="D1101" s="14" t="s">
        <v>535</v>
      </c>
      <c r="E1101" s="14" t="s">
        <v>2189</v>
      </c>
      <c r="F1101" s="14">
        <v>19.48</v>
      </c>
      <c r="G1101" s="14">
        <v>2593</v>
      </c>
      <c r="H1101" s="14">
        <v>133.11000000000001</v>
      </c>
      <c r="I1101" s="14">
        <v>20</v>
      </c>
      <c r="J1101" s="14">
        <v>2074.4</v>
      </c>
    </row>
    <row r="1102" spans="1:10" hidden="1">
      <c r="A1102" s="131" t="str">
        <f t="shared" si="17"/>
        <v>Parking Soleil Orly_2018-09</v>
      </c>
      <c r="B1102" s="14" t="s">
        <v>537</v>
      </c>
      <c r="C1102" s="14" t="s">
        <v>1788</v>
      </c>
      <c r="D1102" s="14" t="s">
        <v>535</v>
      </c>
      <c r="E1102" s="14" t="s">
        <v>2268</v>
      </c>
      <c r="F1102" s="14">
        <v>20</v>
      </c>
      <c r="G1102" s="14">
        <v>846</v>
      </c>
      <c r="H1102" s="14">
        <v>42.3</v>
      </c>
      <c r="I1102" s="14">
        <v>20</v>
      </c>
      <c r="J1102" s="14">
        <v>676.8</v>
      </c>
    </row>
    <row r="1103" spans="1:10">
      <c r="A1103" s="131" t="str">
        <f t="shared" si="17"/>
        <v>Partenord Habitat_2018-08</v>
      </c>
      <c r="B1103" s="14" t="s">
        <v>2224</v>
      </c>
      <c r="C1103" s="14" t="s">
        <v>2225</v>
      </c>
      <c r="D1103" s="14" t="s">
        <v>2226</v>
      </c>
      <c r="E1103" s="14" t="s">
        <v>2189</v>
      </c>
      <c r="F1103" s="14">
        <v>4</v>
      </c>
      <c r="G1103" s="14">
        <v>377.3</v>
      </c>
      <c r="H1103" s="14">
        <v>94.33</v>
      </c>
      <c r="I1103" s="14">
        <v>40</v>
      </c>
      <c r="J1103" s="14">
        <v>226.38</v>
      </c>
    </row>
    <row r="1104" spans="1:10" hidden="1">
      <c r="A1104" s="131" t="str">
        <f t="shared" si="17"/>
        <v>Partenord Habitat_2018-09</v>
      </c>
      <c r="B1104" s="14" t="s">
        <v>2224</v>
      </c>
      <c r="C1104" s="14" t="s">
        <v>2225</v>
      </c>
      <c r="D1104" s="14" t="s">
        <v>2226</v>
      </c>
      <c r="E1104" s="14" t="s">
        <v>2268</v>
      </c>
      <c r="F1104" s="14">
        <v>4</v>
      </c>
      <c r="G1104" s="14">
        <v>285.95999999999998</v>
      </c>
      <c r="H1104" s="14">
        <v>71.489999999999995</v>
      </c>
      <c r="I1104" s="14">
        <v>40</v>
      </c>
      <c r="J1104" s="14">
        <v>171.58</v>
      </c>
    </row>
    <row r="1105" spans="1:10" hidden="1">
      <c r="A1105" s="131" t="str">
        <f t="shared" si="17"/>
        <v>Patrimoine SA_2018-07</v>
      </c>
      <c r="B1105" s="14" t="s">
        <v>2118</v>
      </c>
      <c r="C1105" s="14" t="s">
        <v>798</v>
      </c>
      <c r="D1105" s="14" t="s">
        <v>799</v>
      </c>
      <c r="E1105" s="14" t="s">
        <v>2144</v>
      </c>
      <c r="F1105" s="14">
        <v>9</v>
      </c>
      <c r="G1105" s="14">
        <v>124.42</v>
      </c>
      <c r="H1105" s="14">
        <v>13.82</v>
      </c>
      <c r="I1105" s="14">
        <v>30</v>
      </c>
      <c r="J1105" s="14">
        <v>87.09</v>
      </c>
    </row>
    <row r="1106" spans="1:10">
      <c r="A1106" s="131" t="str">
        <f t="shared" si="17"/>
        <v>Patrimoine SA_2018-08</v>
      </c>
      <c r="B1106" s="14" t="s">
        <v>2118</v>
      </c>
      <c r="C1106" s="14" t="s">
        <v>798</v>
      </c>
      <c r="D1106" s="14" t="s">
        <v>799</v>
      </c>
      <c r="E1106" s="14" t="s">
        <v>2189</v>
      </c>
      <c r="F1106" s="14">
        <v>9</v>
      </c>
      <c r="G1106" s="14">
        <v>76.23</v>
      </c>
      <c r="H1106" s="14">
        <v>8.4700000000000006</v>
      </c>
      <c r="I1106" s="14">
        <v>30</v>
      </c>
      <c r="J1106" s="14">
        <v>53.36</v>
      </c>
    </row>
    <row r="1107" spans="1:10" hidden="1">
      <c r="A1107" s="131" t="str">
        <f t="shared" si="17"/>
        <v>Patrimoine SA_2018-09</v>
      </c>
      <c r="B1107" s="14" t="s">
        <v>2118</v>
      </c>
      <c r="C1107" s="14" t="s">
        <v>798</v>
      </c>
      <c r="D1107" s="14" t="s">
        <v>799</v>
      </c>
      <c r="E1107" s="14" t="s">
        <v>2268</v>
      </c>
      <c r="F1107" s="14">
        <v>9</v>
      </c>
      <c r="G1107" s="14">
        <v>94.97</v>
      </c>
      <c r="H1107" s="14">
        <v>10.55</v>
      </c>
      <c r="I1107" s="14">
        <v>30</v>
      </c>
      <c r="J1107" s="14">
        <v>66.48</v>
      </c>
    </row>
    <row r="1108" spans="1:10" hidden="1">
      <c r="A1108" s="131" t="str">
        <f t="shared" si="17"/>
        <v>Patrimoine SA_2018-07</v>
      </c>
      <c r="B1108" s="14" t="s">
        <v>2118</v>
      </c>
      <c r="C1108" s="14" t="s">
        <v>1789</v>
      </c>
      <c r="D1108" s="14" t="s">
        <v>800</v>
      </c>
      <c r="E1108" s="14" t="s">
        <v>2144</v>
      </c>
      <c r="F1108" s="14">
        <v>3.74</v>
      </c>
      <c r="G1108" s="14">
        <v>160.19999999999999</v>
      </c>
      <c r="H1108" s="14">
        <v>42.83</v>
      </c>
      <c r="I1108" s="14">
        <v>30</v>
      </c>
      <c r="J1108" s="14">
        <v>112.14</v>
      </c>
    </row>
    <row r="1109" spans="1:10">
      <c r="A1109" s="131" t="str">
        <f t="shared" si="17"/>
        <v>Patrimoine SA_2018-08</v>
      </c>
      <c r="B1109" s="14" t="s">
        <v>2118</v>
      </c>
      <c r="C1109" s="14" t="s">
        <v>1789</v>
      </c>
      <c r="D1109" s="14" t="s">
        <v>800</v>
      </c>
      <c r="E1109" s="14" t="s">
        <v>2189</v>
      </c>
      <c r="F1109" s="14">
        <v>4</v>
      </c>
      <c r="G1109" s="14">
        <v>149</v>
      </c>
      <c r="H1109" s="14">
        <v>37.25</v>
      </c>
      <c r="I1109" s="14">
        <v>30</v>
      </c>
      <c r="J1109" s="14">
        <v>104.3</v>
      </c>
    </row>
    <row r="1110" spans="1:10" hidden="1">
      <c r="A1110" s="131" t="str">
        <f t="shared" si="17"/>
        <v>Patrimoine SA_2018-09</v>
      </c>
      <c r="B1110" s="14" t="s">
        <v>2118</v>
      </c>
      <c r="C1110" s="14" t="s">
        <v>1789</v>
      </c>
      <c r="D1110" s="14" t="s">
        <v>800</v>
      </c>
      <c r="E1110" s="14" t="s">
        <v>2268</v>
      </c>
      <c r="F1110" s="14">
        <v>4</v>
      </c>
      <c r="G1110" s="14">
        <v>145</v>
      </c>
      <c r="H1110" s="14">
        <v>36.25</v>
      </c>
      <c r="I1110" s="14">
        <v>30</v>
      </c>
      <c r="J1110" s="14">
        <v>101.5</v>
      </c>
    </row>
    <row r="1111" spans="1:10" hidden="1">
      <c r="A1111" s="131" t="str">
        <f t="shared" si="17"/>
        <v>Patrimoine SA_2018-07</v>
      </c>
      <c r="B1111" s="14" t="s">
        <v>2118</v>
      </c>
      <c r="C1111" s="14" t="s">
        <v>801</v>
      </c>
      <c r="D1111" s="14" t="s">
        <v>535</v>
      </c>
      <c r="E1111" s="14" t="s">
        <v>2144</v>
      </c>
      <c r="F1111" s="14">
        <v>5</v>
      </c>
      <c r="G1111" s="14">
        <v>94</v>
      </c>
      <c r="H1111" s="14">
        <v>18.8</v>
      </c>
      <c r="I1111" s="14">
        <v>30</v>
      </c>
      <c r="J1111" s="14">
        <v>65.8</v>
      </c>
    </row>
    <row r="1112" spans="1:10">
      <c r="A1112" s="131" t="str">
        <f t="shared" si="17"/>
        <v>Patrimoine SA_2018-08</v>
      </c>
      <c r="B1112" s="14" t="s">
        <v>2118</v>
      </c>
      <c r="C1112" s="14" t="s">
        <v>801</v>
      </c>
      <c r="D1112" s="14" t="s">
        <v>535</v>
      </c>
      <c r="E1112" s="14" t="s">
        <v>2189</v>
      </c>
      <c r="F1112" s="14">
        <v>5</v>
      </c>
      <c r="G1112" s="14">
        <v>94</v>
      </c>
      <c r="H1112" s="14">
        <v>18.8</v>
      </c>
      <c r="I1112" s="14">
        <v>30</v>
      </c>
      <c r="J1112" s="14">
        <v>65.8</v>
      </c>
    </row>
    <row r="1113" spans="1:10" hidden="1">
      <c r="A1113" s="131" t="str">
        <f t="shared" si="17"/>
        <v>Patrimoine SA_2018-09</v>
      </c>
      <c r="B1113" s="14" t="s">
        <v>2118</v>
      </c>
      <c r="C1113" s="14" t="s">
        <v>801</v>
      </c>
      <c r="D1113" s="14" t="s">
        <v>535</v>
      </c>
      <c r="E1113" s="14" t="s">
        <v>2268</v>
      </c>
      <c r="F1113" s="14">
        <v>5</v>
      </c>
      <c r="G1113" s="14">
        <v>128.75</v>
      </c>
      <c r="H1113" s="14">
        <v>25.75</v>
      </c>
      <c r="I1113" s="14">
        <v>30</v>
      </c>
      <c r="J1113" s="14">
        <v>90.13</v>
      </c>
    </row>
    <row r="1114" spans="1:10" hidden="1">
      <c r="A1114" s="131" t="str">
        <f t="shared" si="17"/>
        <v>Patrimoine SA_2018-07</v>
      </c>
      <c r="B1114" s="14" t="s">
        <v>2118</v>
      </c>
      <c r="C1114" s="14" t="s">
        <v>1385</v>
      </c>
      <c r="D1114" s="14" t="s">
        <v>535</v>
      </c>
      <c r="E1114" s="14" t="s">
        <v>2144</v>
      </c>
      <c r="F1114" s="14">
        <v>7</v>
      </c>
      <c r="G1114" s="14">
        <v>93.63</v>
      </c>
      <c r="H1114" s="14">
        <v>13.38</v>
      </c>
      <c r="I1114" s="14">
        <v>30</v>
      </c>
      <c r="J1114" s="14">
        <v>65.540000000000006</v>
      </c>
    </row>
    <row r="1115" spans="1:10">
      <c r="A1115" s="131" t="str">
        <f t="shared" si="17"/>
        <v>Patrimoine SA_2018-08</v>
      </c>
      <c r="B1115" s="14" t="s">
        <v>2118</v>
      </c>
      <c r="C1115" s="14" t="s">
        <v>1385</v>
      </c>
      <c r="D1115" s="14" t="s">
        <v>535</v>
      </c>
      <c r="E1115" s="14" t="s">
        <v>2189</v>
      </c>
      <c r="F1115" s="14">
        <v>7</v>
      </c>
      <c r="G1115" s="14">
        <v>90</v>
      </c>
      <c r="H1115" s="14">
        <v>12.86</v>
      </c>
      <c r="I1115" s="14">
        <v>30</v>
      </c>
      <c r="J1115" s="14">
        <v>63</v>
      </c>
    </row>
    <row r="1116" spans="1:10" hidden="1">
      <c r="A1116" s="131" t="str">
        <f t="shared" si="17"/>
        <v>Patrimoine SA_2018-09</v>
      </c>
      <c r="B1116" s="14" t="s">
        <v>2118</v>
      </c>
      <c r="C1116" s="14" t="s">
        <v>1385</v>
      </c>
      <c r="D1116" s="14" t="s">
        <v>535</v>
      </c>
      <c r="E1116" s="14" t="s">
        <v>2268</v>
      </c>
      <c r="F1116" s="14">
        <v>7</v>
      </c>
      <c r="G1116" s="14">
        <v>121.15</v>
      </c>
      <c r="H1116" s="14">
        <v>17.309999999999999</v>
      </c>
      <c r="I1116" s="14">
        <v>30</v>
      </c>
      <c r="J1116" s="14">
        <v>84.81</v>
      </c>
    </row>
    <row r="1117" spans="1:10">
      <c r="A1117" s="131" t="str">
        <f t="shared" si="17"/>
        <v>Patrimoine SA_2018-08</v>
      </c>
      <c r="B1117" s="14" t="s">
        <v>2118</v>
      </c>
      <c r="C1117" s="14" t="s">
        <v>2227</v>
      </c>
      <c r="D1117" s="14" t="s">
        <v>2228</v>
      </c>
      <c r="E1117" s="14" t="s">
        <v>2189</v>
      </c>
      <c r="F1117" s="14">
        <v>10</v>
      </c>
      <c r="G1117" s="14">
        <v>28</v>
      </c>
      <c r="H1117" s="14">
        <v>2.8</v>
      </c>
      <c r="I1117" s="14">
        <v>30</v>
      </c>
      <c r="J1117" s="14">
        <v>19.600000000000001</v>
      </c>
    </row>
    <row r="1118" spans="1:10" hidden="1">
      <c r="A1118" s="131" t="str">
        <f t="shared" si="17"/>
        <v>Patrimoine SA_2018-09</v>
      </c>
      <c r="B1118" s="14" t="s">
        <v>2118</v>
      </c>
      <c r="C1118" s="14" t="s">
        <v>2227</v>
      </c>
      <c r="D1118" s="14" t="s">
        <v>2228</v>
      </c>
      <c r="E1118" s="14" t="s">
        <v>2268</v>
      </c>
      <c r="F1118" s="14">
        <v>10</v>
      </c>
      <c r="G1118" s="14">
        <v>5.15</v>
      </c>
      <c r="H1118" s="14">
        <v>0.52</v>
      </c>
      <c r="I1118" s="14">
        <v>30</v>
      </c>
      <c r="J1118" s="14">
        <v>3.6</v>
      </c>
    </row>
    <row r="1119" spans="1:10" hidden="1">
      <c r="A1119" s="131" t="str">
        <f t="shared" si="17"/>
        <v>Patrimoine SA_2018-07</v>
      </c>
      <c r="B1119" s="14" t="s">
        <v>2118</v>
      </c>
      <c r="C1119" s="14" t="s">
        <v>1283</v>
      </c>
      <c r="D1119" s="14" t="s">
        <v>1284</v>
      </c>
      <c r="E1119" s="14" t="s">
        <v>2144</v>
      </c>
      <c r="F1119" s="14">
        <v>17</v>
      </c>
      <c r="G1119" s="14">
        <v>10.44</v>
      </c>
      <c r="H1119" s="14">
        <v>0.61</v>
      </c>
      <c r="I1119" s="14">
        <v>40</v>
      </c>
      <c r="J1119" s="14">
        <v>6.26</v>
      </c>
    </row>
    <row r="1120" spans="1:10">
      <c r="A1120" s="131" t="str">
        <f t="shared" si="17"/>
        <v>Patrimoine SA_2018-08</v>
      </c>
      <c r="B1120" s="14" t="s">
        <v>2118</v>
      </c>
      <c r="C1120" s="14" t="s">
        <v>1283</v>
      </c>
      <c r="D1120" s="14" t="s">
        <v>1284</v>
      </c>
      <c r="E1120" s="14" t="s">
        <v>2189</v>
      </c>
      <c r="F1120" s="14">
        <v>17</v>
      </c>
      <c r="G1120" s="14">
        <v>12.93</v>
      </c>
      <c r="H1120" s="14">
        <v>0.76</v>
      </c>
      <c r="I1120" s="14">
        <v>30</v>
      </c>
      <c r="J1120" s="14">
        <v>9.0500000000000007</v>
      </c>
    </row>
    <row r="1121" spans="1:10" hidden="1">
      <c r="A1121" s="131" t="str">
        <f t="shared" si="17"/>
        <v>Patrimoine SA_2018-09</v>
      </c>
      <c r="B1121" s="14" t="s">
        <v>2118</v>
      </c>
      <c r="C1121" s="14" t="s">
        <v>1283</v>
      </c>
      <c r="D1121" s="14" t="s">
        <v>1284</v>
      </c>
      <c r="E1121" s="14" t="s">
        <v>2268</v>
      </c>
      <c r="F1121" s="14">
        <v>17</v>
      </c>
      <c r="G1121" s="14">
        <v>12.31</v>
      </c>
      <c r="H1121" s="14">
        <v>0.72</v>
      </c>
      <c r="I1121" s="14">
        <v>30</v>
      </c>
      <c r="J1121" s="14">
        <v>8.6199999999999992</v>
      </c>
    </row>
    <row r="1122" spans="1:10" hidden="1">
      <c r="A1122" s="131" t="str">
        <f t="shared" si="17"/>
        <v>Patrimoine SA_2018-07</v>
      </c>
      <c r="B1122" s="14" t="s">
        <v>2118</v>
      </c>
      <c r="C1122" s="14" t="s">
        <v>802</v>
      </c>
      <c r="D1122" s="14" t="s">
        <v>803</v>
      </c>
      <c r="E1122" s="14" t="s">
        <v>2144</v>
      </c>
      <c r="F1122" s="14">
        <v>10</v>
      </c>
      <c r="G1122" s="14">
        <v>411.16</v>
      </c>
      <c r="H1122" s="14">
        <v>41.12</v>
      </c>
      <c r="I1122" s="14">
        <v>30</v>
      </c>
      <c r="J1122" s="14">
        <v>287.81</v>
      </c>
    </row>
    <row r="1123" spans="1:10">
      <c r="A1123" s="131" t="str">
        <f t="shared" si="17"/>
        <v>Patrimoine SA_2018-08</v>
      </c>
      <c r="B1123" s="14" t="s">
        <v>2118</v>
      </c>
      <c r="C1123" s="14" t="s">
        <v>802</v>
      </c>
      <c r="D1123" s="14" t="s">
        <v>803</v>
      </c>
      <c r="E1123" s="14" t="s">
        <v>2189</v>
      </c>
      <c r="F1123" s="14">
        <v>10</v>
      </c>
      <c r="G1123" s="14">
        <v>190.09</v>
      </c>
      <c r="H1123" s="14">
        <v>19.010000000000002</v>
      </c>
      <c r="I1123" s="14">
        <v>30</v>
      </c>
      <c r="J1123" s="14">
        <v>133.06</v>
      </c>
    </row>
    <row r="1124" spans="1:10" hidden="1">
      <c r="A1124" s="131" t="str">
        <f t="shared" si="17"/>
        <v>Patrimoine SA_2018-09</v>
      </c>
      <c r="B1124" s="14" t="s">
        <v>2118</v>
      </c>
      <c r="C1124" s="14" t="s">
        <v>802</v>
      </c>
      <c r="D1124" s="14" t="s">
        <v>803</v>
      </c>
      <c r="E1124" s="14" t="s">
        <v>2268</v>
      </c>
      <c r="F1124" s="14">
        <v>10</v>
      </c>
      <c r="G1124" s="14">
        <v>362.5</v>
      </c>
      <c r="H1124" s="14">
        <v>36.25</v>
      </c>
      <c r="I1124" s="14">
        <v>30</v>
      </c>
      <c r="J1124" s="14">
        <v>253.75</v>
      </c>
    </row>
    <row r="1125" spans="1:10" hidden="1">
      <c r="A1125" s="131" t="str">
        <f t="shared" si="17"/>
        <v>Patrimoine SA_2018-07</v>
      </c>
      <c r="B1125" s="14" t="s">
        <v>2118</v>
      </c>
      <c r="C1125" s="14" t="s">
        <v>804</v>
      </c>
      <c r="D1125" s="14" t="s">
        <v>1386</v>
      </c>
      <c r="E1125" s="14" t="s">
        <v>2144</v>
      </c>
      <c r="F1125" s="14">
        <v>9</v>
      </c>
      <c r="G1125" s="14">
        <v>352</v>
      </c>
      <c r="H1125" s="14">
        <v>39.11</v>
      </c>
      <c r="I1125" s="14">
        <v>30</v>
      </c>
      <c r="J1125" s="14">
        <v>246.4</v>
      </c>
    </row>
    <row r="1126" spans="1:10">
      <c r="A1126" s="131" t="str">
        <f t="shared" si="17"/>
        <v>Patrimoine SA_2018-08</v>
      </c>
      <c r="B1126" s="14" t="s">
        <v>2118</v>
      </c>
      <c r="C1126" s="14" t="s">
        <v>804</v>
      </c>
      <c r="D1126" s="14" t="s">
        <v>1386</v>
      </c>
      <c r="E1126" s="14" t="s">
        <v>2189</v>
      </c>
      <c r="F1126" s="14">
        <v>9</v>
      </c>
      <c r="G1126" s="14">
        <v>357.56</v>
      </c>
      <c r="H1126" s="14">
        <v>39.729999999999997</v>
      </c>
      <c r="I1126" s="14">
        <v>30</v>
      </c>
      <c r="J1126" s="14">
        <v>250.29</v>
      </c>
    </row>
    <row r="1127" spans="1:10" hidden="1">
      <c r="A1127" s="131" t="str">
        <f t="shared" si="17"/>
        <v>Patrimoine SA_2018-09</v>
      </c>
      <c r="B1127" s="14" t="s">
        <v>2118</v>
      </c>
      <c r="C1127" s="14" t="s">
        <v>804</v>
      </c>
      <c r="D1127" s="14" t="s">
        <v>1386</v>
      </c>
      <c r="E1127" s="14" t="s">
        <v>2268</v>
      </c>
      <c r="F1127" s="14">
        <v>9</v>
      </c>
      <c r="G1127" s="14">
        <v>350.74</v>
      </c>
      <c r="H1127" s="14">
        <v>38.97</v>
      </c>
      <c r="I1127" s="14">
        <v>30</v>
      </c>
      <c r="J1127" s="14">
        <v>245.52</v>
      </c>
    </row>
    <row r="1128" spans="1:10" hidden="1">
      <c r="A1128" s="131" t="str">
        <f t="shared" si="17"/>
        <v>Patrimoine SA_2018-07</v>
      </c>
      <c r="B1128" s="14" t="s">
        <v>2118</v>
      </c>
      <c r="C1128" s="14" t="s">
        <v>805</v>
      </c>
      <c r="D1128" s="14" t="s">
        <v>806</v>
      </c>
      <c r="E1128" s="14" t="s">
        <v>2144</v>
      </c>
      <c r="F1128" s="14">
        <v>13</v>
      </c>
      <c r="G1128" s="14">
        <v>14</v>
      </c>
      <c r="H1128" s="14">
        <v>1.08</v>
      </c>
      <c r="I1128" s="14">
        <v>30</v>
      </c>
      <c r="J1128" s="14">
        <v>9.8000000000000007</v>
      </c>
    </row>
    <row r="1129" spans="1:10">
      <c r="A1129" s="131" t="str">
        <f t="shared" si="17"/>
        <v>Patrimoine SA_2018-08</v>
      </c>
      <c r="B1129" s="14" t="s">
        <v>2118</v>
      </c>
      <c r="C1129" s="14" t="s">
        <v>805</v>
      </c>
      <c r="D1129" s="14" t="s">
        <v>806</v>
      </c>
      <c r="E1129" s="14" t="s">
        <v>2189</v>
      </c>
      <c r="F1129" s="14">
        <v>13</v>
      </c>
      <c r="G1129" s="14">
        <v>1.5</v>
      </c>
      <c r="H1129" s="14">
        <v>0.12</v>
      </c>
      <c r="I1129" s="14">
        <v>30</v>
      </c>
      <c r="J1129" s="14">
        <v>1.05</v>
      </c>
    </row>
    <row r="1130" spans="1:10" hidden="1">
      <c r="A1130" s="131" t="str">
        <f t="shared" si="17"/>
        <v>Patrimoine SA_2018-09</v>
      </c>
      <c r="B1130" s="14" t="s">
        <v>2118</v>
      </c>
      <c r="C1130" s="14" t="s">
        <v>805</v>
      </c>
      <c r="D1130" s="14" t="s">
        <v>806</v>
      </c>
      <c r="E1130" s="14" t="s">
        <v>2268</v>
      </c>
      <c r="F1130" s="14">
        <v>13</v>
      </c>
      <c r="G1130" s="14">
        <v>4.5</v>
      </c>
      <c r="H1130" s="14">
        <v>0.35</v>
      </c>
      <c r="I1130" s="14">
        <v>30</v>
      </c>
      <c r="J1130" s="14">
        <v>3.15</v>
      </c>
    </row>
    <row r="1131" spans="1:10" hidden="1">
      <c r="A1131" s="131" t="str">
        <f t="shared" ref="A1131:A1194" si="18">CONCATENATE(B1131,"_",E1131)</f>
        <v>Patrimoine SA_2018-07</v>
      </c>
      <c r="B1131" s="14" t="s">
        <v>2118</v>
      </c>
      <c r="C1131" s="14" t="s">
        <v>807</v>
      </c>
      <c r="D1131" s="14" t="s">
        <v>808</v>
      </c>
      <c r="E1131" s="14" t="s">
        <v>2144</v>
      </c>
      <c r="F1131" s="14">
        <v>10</v>
      </c>
      <c r="G1131" s="14">
        <v>42.72</v>
      </c>
      <c r="H1131" s="14">
        <v>4.2699999999999996</v>
      </c>
      <c r="I1131" s="14">
        <v>30</v>
      </c>
      <c r="J1131" s="14">
        <v>29.9</v>
      </c>
    </row>
    <row r="1132" spans="1:10">
      <c r="A1132" s="131" t="str">
        <f t="shared" si="18"/>
        <v>Patrimoine SA_2018-08</v>
      </c>
      <c r="B1132" s="14" t="s">
        <v>2118</v>
      </c>
      <c r="C1132" s="14" t="s">
        <v>807</v>
      </c>
      <c r="D1132" s="14" t="s">
        <v>808</v>
      </c>
      <c r="E1132" s="14" t="s">
        <v>2189</v>
      </c>
      <c r="F1132" s="14">
        <v>10</v>
      </c>
      <c r="G1132" s="14">
        <v>20.5</v>
      </c>
      <c r="H1132" s="14">
        <v>2.0499999999999998</v>
      </c>
      <c r="I1132" s="14">
        <v>30</v>
      </c>
      <c r="J1132" s="14">
        <v>14.35</v>
      </c>
    </row>
    <row r="1133" spans="1:10" hidden="1">
      <c r="A1133" s="131" t="str">
        <f t="shared" si="18"/>
        <v>Patrimoine SA_2018-09</v>
      </c>
      <c r="B1133" s="14" t="s">
        <v>2118</v>
      </c>
      <c r="C1133" s="14" t="s">
        <v>807</v>
      </c>
      <c r="D1133" s="14" t="s">
        <v>808</v>
      </c>
      <c r="E1133" s="14" t="s">
        <v>2268</v>
      </c>
      <c r="F1133" s="14">
        <v>10</v>
      </c>
      <c r="G1133" s="14">
        <v>46.3</v>
      </c>
      <c r="H1133" s="14">
        <v>4.63</v>
      </c>
      <c r="I1133" s="14">
        <v>30</v>
      </c>
      <c r="J1133" s="14">
        <v>32.409999999999997</v>
      </c>
    </row>
    <row r="1134" spans="1:10" hidden="1">
      <c r="A1134" s="131" t="str">
        <f t="shared" si="18"/>
        <v>Perial - PFO2 - PF1_2018-07</v>
      </c>
      <c r="B1134" s="14" t="s">
        <v>2119</v>
      </c>
      <c r="C1134" s="14" t="s">
        <v>809</v>
      </c>
      <c r="D1134" s="14" t="s">
        <v>535</v>
      </c>
      <c r="E1134" s="14" t="s">
        <v>2144</v>
      </c>
      <c r="F1134" s="14">
        <v>35</v>
      </c>
      <c r="G1134" s="14">
        <v>2067.09</v>
      </c>
      <c r="H1134" s="14">
        <v>59.06</v>
      </c>
      <c r="I1134" s="14">
        <v>40</v>
      </c>
      <c r="J1134" s="14">
        <v>1240.25</v>
      </c>
    </row>
    <row r="1135" spans="1:10">
      <c r="A1135" s="131" t="str">
        <f t="shared" si="18"/>
        <v>Perial - PFO2 - PF1_2018-08</v>
      </c>
      <c r="B1135" s="14" t="s">
        <v>2119</v>
      </c>
      <c r="C1135" s="14" t="s">
        <v>809</v>
      </c>
      <c r="D1135" s="14" t="s">
        <v>535</v>
      </c>
      <c r="E1135" s="14" t="s">
        <v>2189</v>
      </c>
      <c r="F1135" s="14">
        <v>35</v>
      </c>
      <c r="G1135" s="14">
        <v>2022.27</v>
      </c>
      <c r="H1135" s="14">
        <v>57.78</v>
      </c>
      <c r="I1135" s="14">
        <v>40</v>
      </c>
      <c r="J1135" s="14">
        <v>1213.3599999999999</v>
      </c>
    </row>
    <row r="1136" spans="1:10" hidden="1">
      <c r="A1136" s="131" t="str">
        <f t="shared" si="18"/>
        <v>Perial - PFO2 - PF1_2018-09</v>
      </c>
      <c r="B1136" s="14" t="s">
        <v>2119</v>
      </c>
      <c r="C1136" s="14" t="s">
        <v>809</v>
      </c>
      <c r="D1136" s="14" t="s">
        <v>535</v>
      </c>
      <c r="E1136" s="14" t="s">
        <v>2268</v>
      </c>
      <c r="F1136" s="14">
        <v>35</v>
      </c>
      <c r="G1136" s="14">
        <v>2312.89</v>
      </c>
      <c r="H1136" s="14">
        <v>66.08</v>
      </c>
      <c r="I1136" s="14">
        <v>40</v>
      </c>
      <c r="J1136" s="14">
        <v>1387.73</v>
      </c>
    </row>
    <row r="1137" spans="1:10" hidden="1">
      <c r="A1137" s="131" t="str">
        <f t="shared" si="18"/>
        <v>Plurial Novilia_2018-07</v>
      </c>
      <c r="B1137" s="14" t="s">
        <v>1285</v>
      </c>
      <c r="C1137" s="14" t="s">
        <v>983</v>
      </c>
      <c r="D1137" s="14" t="s">
        <v>535</v>
      </c>
      <c r="E1137" s="14" t="s">
        <v>2144</v>
      </c>
      <c r="F1137" s="14">
        <v>5</v>
      </c>
      <c r="G1137" s="14">
        <v>170.91</v>
      </c>
      <c r="H1137" s="14">
        <v>34.18</v>
      </c>
      <c r="I1137" s="14">
        <v>35</v>
      </c>
      <c r="J1137" s="14">
        <v>111.09</v>
      </c>
    </row>
    <row r="1138" spans="1:10">
      <c r="A1138" s="131" t="str">
        <f t="shared" si="18"/>
        <v>Plurial Novilia_2018-08</v>
      </c>
      <c r="B1138" s="14" t="s">
        <v>1285</v>
      </c>
      <c r="C1138" s="14" t="s">
        <v>983</v>
      </c>
      <c r="D1138" s="14" t="s">
        <v>535</v>
      </c>
      <c r="E1138" s="14" t="s">
        <v>2189</v>
      </c>
      <c r="F1138" s="14">
        <v>5</v>
      </c>
      <c r="G1138" s="14">
        <v>120.41</v>
      </c>
      <c r="H1138" s="14">
        <v>24.08</v>
      </c>
      <c r="I1138" s="14">
        <v>35</v>
      </c>
      <c r="J1138" s="14">
        <v>78.27</v>
      </c>
    </row>
    <row r="1139" spans="1:10" hidden="1">
      <c r="A1139" s="131" t="str">
        <f t="shared" si="18"/>
        <v>Plurial Novilia_2018-09</v>
      </c>
      <c r="B1139" s="14" t="s">
        <v>1285</v>
      </c>
      <c r="C1139" s="14" t="s">
        <v>983</v>
      </c>
      <c r="D1139" s="14" t="s">
        <v>535</v>
      </c>
      <c r="E1139" s="14" t="s">
        <v>2268</v>
      </c>
      <c r="F1139" s="14">
        <v>5</v>
      </c>
      <c r="G1139" s="14">
        <v>197.6</v>
      </c>
      <c r="H1139" s="14">
        <v>39.520000000000003</v>
      </c>
      <c r="I1139" s="14">
        <v>35</v>
      </c>
      <c r="J1139" s="14">
        <v>128.44</v>
      </c>
    </row>
    <row r="1140" spans="1:10" hidden="1">
      <c r="A1140" s="131" t="str">
        <f t="shared" si="18"/>
        <v>Plurial Novilia_2018-07</v>
      </c>
      <c r="B1140" s="14" t="s">
        <v>1285</v>
      </c>
      <c r="C1140" s="14" t="s">
        <v>1790</v>
      </c>
      <c r="D1140" s="14" t="s">
        <v>535</v>
      </c>
      <c r="E1140" s="14" t="s">
        <v>2144</v>
      </c>
      <c r="F1140" s="14">
        <v>15</v>
      </c>
      <c r="G1140" s="14">
        <v>41.66</v>
      </c>
      <c r="H1140" s="14">
        <v>2.78</v>
      </c>
      <c r="I1140" s="14">
        <v>35</v>
      </c>
      <c r="J1140" s="14">
        <v>27.08</v>
      </c>
    </row>
    <row r="1141" spans="1:10">
      <c r="A1141" s="131" t="str">
        <f t="shared" si="18"/>
        <v>Plurial Novilia_2018-08</v>
      </c>
      <c r="B1141" s="14" t="s">
        <v>1285</v>
      </c>
      <c r="C1141" s="14" t="s">
        <v>1790</v>
      </c>
      <c r="D1141" s="14" t="s">
        <v>535</v>
      </c>
      <c r="E1141" s="14" t="s">
        <v>2189</v>
      </c>
      <c r="F1141" s="14">
        <v>15</v>
      </c>
      <c r="G1141" s="14">
        <v>41</v>
      </c>
      <c r="H1141" s="14">
        <v>2.73</v>
      </c>
      <c r="I1141" s="14">
        <v>35</v>
      </c>
      <c r="J1141" s="14">
        <v>26.65</v>
      </c>
    </row>
    <row r="1142" spans="1:10" hidden="1">
      <c r="A1142" s="131" t="str">
        <f t="shared" si="18"/>
        <v>Plurial Novilia_2018-09</v>
      </c>
      <c r="B1142" s="14" t="s">
        <v>1285</v>
      </c>
      <c r="C1142" s="14" t="s">
        <v>1790</v>
      </c>
      <c r="D1142" s="14" t="s">
        <v>535</v>
      </c>
      <c r="E1142" s="14" t="s">
        <v>2268</v>
      </c>
      <c r="F1142" s="14">
        <v>15</v>
      </c>
      <c r="G1142" s="14">
        <v>35</v>
      </c>
      <c r="H1142" s="14">
        <v>2.33</v>
      </c>
      <c r="I1142" s="14">
        <v>35</v>
      </c>
      <c r="J1142" s="14">
        <v>22.75</v>
      </c>
    </row>
    <row r="1143" spans="1:10" hidden="1">
      <c r="A1143" s="131" t="str">
        <f t="shared" si="18"/>
        <v>Plurial Novilia_2018-07</v>
      </c>
      <c r="B1143" s="14" t="s">
        <v>1285</v>
      </c>
      <c r="C1143" s="14" t="s">
        <v>1137</v>
      </c>
      <c r="D1143" s="14" t="s">
        <v>535</v>
      </c>
      <c r="E1143" s="14" t="s">
        <v>2144</v>
      </c>
      <c r="F1143" s="14">
        <v>5</v>
      </c>
      <c r="G1143" s="14">
        <v>39.020000000000003</v>
      </c>
      <c r="H1143" s="14">
        <v>7.8</v>
      </c>
      <c r="I1143" s="14">
        <v>35</v>
      </c>
      <c r="J1143" s="14">
        <v>25.36</v>
      </c>
    </row>
    <row r="1144" spans="1:10">
      <c r="A1144" s="131" t="str">
        <f t="shared" si="18"/>
        <v>Plurial Novilia_2018-08</v>
      </c>
      <c r="B1144" s="14" t="s">
        <v>1285</v>
      </c>
      <c r="C1144" s="14" t="s">
        <v>1137</v>
      </c>
      <c r="D1144" s="14" t="s">
        <v>535</v>
      </c>
      <c r="E1144" s="14" t="s">
        <v>2189</v>
      </c>
      <c r="F1144" s="14">
        <v>5</v>
      </c>
      <c r="G1144" s="14">
        <v>63.69</v>
      </c>
      <c r="H1144" s="14">
        <v>12.74</v>
      </c>
      <c r="I1144" s="14">
        <v>35</v>
      </c>
      <c r="J1144" s="14">
        <v>41.4</v>
      </c>
    </row>
    <row r="1145" spans="1:10" hidden="1">
      <c r="A1145" s="131" t="str">
        <f t="shared" si="18"/>
        <v>Plurial Novilia_2018-09</v>
      </c>
      <c r="B1145" s="14" t="s">
        <v>1285</v>
      </c>
      <c r="C1145" s="14" t="s">
        <v>1137</v>
      </c>
      <c r="D1145" s="14" t="s">
        <v>535</v>
      </c>
      <c r="E1145" s="14" t="s">
        <v>2268</v>
      </c>
      <c r="F1145" s="14">
        <v>5</v>
      </c>
      <c r="G1145" s="14">
        <v>89.57</v>
      </c>
      <c r="H1145" s="14">
        <v>17.91</v>
      </c>
      <c r="I1145" s="14">
        <v>35</v>
      </c>
      <c r="J1145" s="14">
        <v>58.22</v>
      </c>
    </row>
    <row r="1146" spans="1:10" hidden="1">
      <c r="A1146" s="131" t="str">
        <f t="shared" si="18"/>
        <v>Plurial Novilia_2018-07</v>
      </c>
      <c r="B1146" s="14" t="s">
        <v>1285</v>
      </c>
      <c r="C1146" s="14" t="s">
        <v>1791</v>
      </c>
      <c r="D1146" s="14" t="s">
        <v>535</v>
      </c>
      <c r="E1146" s="14" t="s">
        <v>2144</v>
      </c>
      <c r="F1146" s="14">
        <v>4</v>
      </c>
      <c r="G1146" s="14">
        <v>159.03</v>
      </c>
      <c r="H1146" s="14">
        <v>39.76</v>
      </c>
      <c r="I1146" s="14">
        <v>35</v>
      </c>
      <c r="J1146" s="14">
        <v>103.37</v>
      </c>
    </row>
    <row r="1147" spans="1:10">
      <c r="A1147" s="131" t="str">
        <f t="shared" si="18"/>
        <v>Plurial Novilia_2018-08</v>
      </c>
      <c r="B1147" s="14" t="s">
        <v>1285</v>
      </c>
      <c r="C1147" s="14" t="s">
        <v>1791</v>
      </c>
      <c r="D1147" s="14" t="s">
        <v>535</v>
      </c>
      <c r="E1147" s="14" t="s">
        <v>2189</v>
      </c>
      <c r="F1147" s="14">
        <v>4</v>
      </c>
      <c r="G1147" s="14">
        <v>201.06</v>
      </c>
      <c r="H1147" s="14">
        <v>50.27</v>
      </c>
      <c r="I1147" s="14">
        <v>35</v>
      </c>
      <c r="J1147" s="14">
        <v>130.69</v>
      </c>
    </row>
    <row r="1148" spans="1:10" hidden="1">
      <c r="A1148" s="131" t="str">
        <f t="shared" si="18"/>
        <v>Plurial Novilia_2018-09</v>
      </c>
      <c r="B1148" s="14" t="s">
        <v>1285</v>
      </c>
      <c r="C1148" s="14" t="s">
        <v>1791</v>
      </c>
      <c r="D1148" s="14" t="s">
        <v>535</v>
      </c>
      <c r="E1148" s="14" t="s">
        <v>2268</v>
      </c>
      <c r="F1148" s="14">
        <v>4</v>
      </c>
      <c r="G1148" s="14">
        <v>165</v>
      </c>
      <c r="H1148" s="14">
        <v>41.25</v>
      </c>
      <c r="I1148" s="14">
        <v>35</v>
      </c>
      <c r="J1148" s="14">
        <v>107.25</v>
      </c>
    </row>
    <row r="1149" spans="1:10" hidden="1">
      <c r="A1149" s="131" t="str">
        <f t="shared" si="18"/>
        <v>Plurial Novilia_2018-07</v>
      </c>
      <c r="B1149" s="14" t="s">
        <v>1285</v>
      </c>
      <c r="C1149" s="14" t="s">
        <v>810</v>
      </c>
      <c r="D1149" s="14" t="s">
        <v>535</v>
      </c>
      <c r="E1149" s="14" t="s">
        <v>2144</v>
      </c>
      <c r="F1149" s="14">
        <v>7</v>
      </c>
      <c r="G1149" s="14">
        <v>211.43</v>
      </c>
      <c r="H1149" s="14">
        <v>30.2</v>
      </c>
      <c r="I1149" s="14">
        <v>35</v>
      </c>
      <c r="J1149" s="14">
        <v>137.43</v>
      </c>
    </row>
    <row r="1150" spans="1:10">
      <c r="A1150" s="131" t="str">
        <f t="shared" si="18"/>
        <v>Plurial Novilia_2018-08</v>
      </c>
      <c r="B1150" s="14" t="s">
        <v>1285</v>
      </c>
      <c r="C1150" s="14" t="s">
        <v>810</v>
      </c>
      <c r="D1150" s="14" t="s">
        <v>535</v>
      </c>
      <c r="E1150" s="14" t="s">
        <v>2189</v>
      </c>
      <c r="F1150" s="14">
        <v>7</v>
      </c>
      <c r="G1150" s="14">
        <v>180</v>
      </c>
      <c r="H1150" s="14">
        <v>25.71</v>
      </c>
      <c r="I1150" s="14">
        <v>35</v>
      </c>
      <c r="J1150" s="14">
        <v>117</v>
      </c>
    </row>
    <row r="1151" spans="1:10" hidden="1">
      <c r="A1151" s="131" t="str">
        <f t="shared" si="18"/>
        <v>Plurial Novilia_2018-09</v>
      </c>
      <c r="B1151" s="14" t="s">
        <v>1285</v>
      </c>
      <c r="C1151" s="14" t="s">
        <v>810</v>
      </c>
      <c r="D1151" s="14" t="s">
        <v>535</v>
      </c>
      <c r="E1151" s="14" t="s">
        <v>2268</v>
      </c>
      <c r="F1151" s="14">
        <v>7</v>
      </c>
      <c r="G1151" s="14">
        <v>236.59</v>
      </c>
      <c r="H1151" s="14">
        <v>33.799999999999997</v>
      </c>
      <c r="I1151" s="14">
        <v>35</v>
      </c>
      <c r="J1151" s="14">
        <v>153.78</v>
      </c>
    </row>
    <row r="1152" spans="1:10" hidden="1">
      <c r="A1152" s="131" t="str">
        <f t="shared" si="18"/>
        <v>Plurial Novilia_2018-07</v>
      </c>
      <c r="B1152" s="14" t="s">
        <v>1285</v>
      </c>
      <c r="C1152" s="14" t="s">
        <v>811</v>
      </c>
      <c r="D1152" s="14" t="s">
        <v>535</v>
      </c>
      <c r="E1152" s="14" t="s">
        <v>2144</v>
      </c>
      <c r="F1152" s="14">
        <v>10</v>
      </c>
      <c r="G1152" s="14">
        <v>70.45</v>
      </c>
      <c r="H1152" s="14">
        <v>7.04</v>
      </c>
      <c r="I1152" s="14">
        <v>35</v>
      </c>
      <c r="J1152" s="14">
        <v>45.79</v>
      </c>
    </row>
    <row r="1153" spans="1:10">
      <c r="A1153" s="131" t="str">
        <f t="shared" si="18"/>
        <v>Plurial Novilia_2018-08</v>
      </c>
      <c r="B1153" s="14" t="s">
        <v>1285</v>
      </c>
      <c r="C1153" s="14" t="s">
        <v>811</v>
      </c>
      <c r="D1153" s="14" t="s">
        <v>535</v>
      </c>
      <c r="E1153" s="14" t="s">
        <v>2189</v>
      </c>
      <c r="F1153" s="14">
        <v>10</v>
      </c>
      <c r="G1153" s="14">
        <v>86.7</v>
      </c>
      <c r="H1153" s="14">
        <v>8.67</v>
      </c>
      <c r="I1153" s="14">
        <v>35</v>
      </c>
      <c r="J1153" s="14">
        <v>56.35</v>
      </c>
    </row>
    <row r="1154" spans="1:10" hidden="1">
      <c r="A1154" s="131" t="str">
        <f t="shared" si="18"/>
        <v>Plurial Novilia_2018-09</v>
      </c>
      <c r="B1154" s="14" t="s">
        <v>1285</v>
      </c>
      <c r="C1154" s="14" t="s">
        <v>811</v>
      </c>
      <c r="D1154" s="14" t="s">
        <v>535</v>
      </c>
      <c r="E1154" s="14" t="s">
        <v>2268</v>
      </c>
      <c r="F1154" s="14">
        <v>10</v>
      </c>
      <c r="G1154" s="14">
        <v>117.47</v>
      </c>
      <c r="H1154" s="14">
        <v>11.75</v>
      </c>
      <c r="I1154" s="14">
        <v>35</v>
      </c>
      <c r="J1154" s="14">
        <v>76.36</v>
      </c>
    </row>
    <row r="1155" spans="1:10" hidden="1">
      <c r="A1155" s="131" t="str">
        <f t="shared" si="18"/>
        <v>Proxi Parking_2018-07</v>
      </c>
      <c r="B1155" s="14" t="s">
        <v>1556</v>
      </c>
      <c r="C1155" s="14" t="s">
        <v>1830</v>
      </c>
      <c r="D1155" s="14" t="s">
        <v>535</v>
      </c>
      <c r="E1155" s="14" t="s">
        <v>2144</v>
      </c>
      <c r="F1155" s="14">
        <v>75</v>
      </c>
      <c r="G1155" s="14">
        <v>15.97</v>
      </c>
      <c r="H1155" s="14">
        <v>0.21</v>
      </c>
      <c r="I1155" s="14">
        <v>20</v>
      </c>
      <c r="J1155" s="14">
        <v>12.78</v>
      </c>
    </row>
    <row r="1156" spans="1:10">
      <c r="A1156" s="131" t="str">
        <f t="shared" si="18"/>
        <v>Proxi Parking_2018-08</v>
      </c>
      <c r="B1156" s="14" t="s">
        <v>1556</v>
      </c>
      <c r="C1156" s="14" t="s">
        <v>1830</v>
      </c>
      <c r="D1156" s="14" t="s">
        <v>535</v>
      </c>
      <c r="E1156" s="14" t="s">
        <v>2189</v>
      </c>
      <c r="F1156" s="14">
        <v>75</v>
      </c>
      <c r="G1156" s="14">
        <v>0</v>
      </c>
      <c r="H1156" s="14">
        <v>0</v>
      </c>
      <c r="I1156" s="14">
        <v>20</v>
      </c>
      <c r="J1156" s="14">
        <v>0</v>
      </c>
    </row>
    <row r="1157" spans="1:10" hidden="1">
      <c r="A1157" s="131" t="str">
        <f t="shared" si="18"/>
        <v>Proxi Parking_2018-09</v>
      </c>
      <c r="B1157" s="14" t="s">
        <v>1556</v>
      </c>
      <c r="C1157" s="14" t="s">
        <v>1830</v>
      </c>
      <c r="D1157" s="14" t="s">
        <v>535</v>
      </c>
      <c r="E1157" s="14" t="s">
        <v>2268</v>
      </c>
      <c r="F1157" s="14">
        <v>75</v>
      </c>
      <c r="G1157" s="14">
        <v>8</v>
      </c>
      <c r="H1157" s="14">
        <v>0.11</v>
      </c>
      <c r="I1157" s="14">
        <v>20</v>
      </c>
      <c r="J1157" s="14">
        <v>6.4</v>
      </c>
    </row>
    <row r="1158" spans="1:10" hidden="1">
      <c r="A1158" s="131" t="str">
        <f t="shared" si="18"/>
        <v>Pullman La Défense_2018-07</v>
      </c>
      <c r="B1158" s="14" t="s">
        <v>2122</v>
      </c>
      <c r="C1158" s="14" t="s">
        <v>1900</v>
      </c>
      <c r="D1158" s="14" t="s">
        <v>535</v>
      </c>
      <c r="E1158" s="14" t="s">
        <v>2144</v>
      </c>
      <c r="F1158" s="14">
        <v>10</v>
      </c>
      <c r="G1158" s="14">
        <v>978.83</v>
      </c>
      <c r="H1158" s="14">
        <v>97.88</v>
      </c>
      <c r="I1158" s="14">
        <v>30</v>
      </c>
      <c r="J1158" s="14">
        <v>685.18</v>
      </c>
    </row>
    <row r="1159" spans="1:10">
      <c r="A1159" s="131" t="str">
        <f t="shared" si="18"/>
        <v>Pullman La Défense_2018-08</v>
      </c>
      <c r="B1159" s="14" t="s">
        <v>2122</v>
      </c>
      <c r="C1159" s="14" t="s">
        <v>1900</v>
      </c>
      <c r="D1159" s="14" t="s">
        <v>535</v>
      </c>
      <c r="E1159" s="14" t="s">
        <v>2189</v>
      </c>
      <c r="F1159" s="14">
        <v>10</v>
      </c>
      <c r="G1159" s="14">
        <v>881.99</v>
      </c>
      <c r="H1159" s="14">
        <v>88.2</v>
      </c>
      <c r="I1159" s="14">
        <v>30</v>
      </c>
      <c r="J1159" s="14">
        <v>617.39</v>
      </c>
    </row>
    <row r="1160" spans="1:10" hidden="1">
      <c r="A1160" s="131" t="str">
        <f t="shared" si="18"/>
        <v>Pullman La Défense_2018-09</v>
      </c>
      <c r="B1160" s="14" t="s">
        <v>2122</v>
      </c>
      <c r="C1160" s="14" t="s">
        <v>1900</v>
      </c>
      <c r="D1160" s="14" t="s">
        <v>535</v>
      </c>
      <c r="E1160" s="14" t="s">
        <v>2268</v>
      </c>
      <c r="F1160" s="14">
        <v>10</v>
      </c>
      <c r="G1160" s="14">
        <v>1293.19</v>
      </c>
      <c r="H1160" s="14">
        <v>129.32</v>
      </c>
      <c r="I1160" s="14">
        <v>30</v>
      </c>
      <c r="J1160" s="14">
        <v>905.23</v>
      </c>
    </row>
    <row r="1161" spans="1:10" hidden="1">
      <c r="A1161" s="131" t="str">
        <f t="shared" si="18"/>
        <v>Pullman Toulouse_2018-07</v>
      </c>
      <c r="B1161" s="14" t="s">
        <v>2123</v>
      </c>
      <c r="C1161" s="14" t="s">
        <v>1912</v>
      </c>
      <c r="D1161" s="14" t="s">
        <v>535</v>
      </c>
      <c r="E1161" s="14" t="s">
        <v>2144</v>
      </c>
      <c r="F1161" s="14">
        <v>5</v>
      </c>
      <c r="G1161" s="14">
        <v>456.38</v>
      </c>
      <c r="H1161" s="14">
        <v>91.28</v>
      </c>
      <c r="I1161" s="14">
        <v>30</v>
      </c>
      <c r="J1161" s="14">
        <v>319.47000000000003</v>
      </c>
    </row>
    <row r="1162" spans="1:10">
      <c r="A1162" s="131" t="str">
        <f t="shared" si="18"/>
        <v>Pullman Toulouse_2018-08</v>
      </c>
      <c r="B1162" s="14" t="s">
        <v>2123</v>
      </c>
      <c r="C1162" s="14" t="s">
        <v>1912</v>
      </c>
      <c r="D1162" s="14" t="s">
        <v>535</v>
      </c>
      <c r="E1162" s="14" t="s">
        <v>2189</v>
      </c>
      <c r="F1162" s="14">
        <v>1.35</v>
      </c>
      <c r="G1162" s="14">
        <v>189.5</v>
      </c>
      <c r="H1162" s="14">
        <v>140.37</v>
      </c>
      <c r="I1162" s="14">
        <v>30</v>
      </c>
      <c r="J1162" s="14">
        <v>132.65</v>
      </c>
    </row>
    <row r="1163" spans="1:10" hidden="1">
      <c r="A1163" s="131" t="str">
        <f t="shared" si="18"/>
        <v>Pullman Toulouse_2018-09</v>
      </c>
      <c r="B1163" s="14" t="s">
        <v>2123</v>
      </c>
      <c r="C1163" s="14" t="s">
        <v>1912</v>
      </c>
      <c r="D1163" s="14" t="s">
        <v>535</v>
      </c>
      <c r="E1163" s="14" t="s">
        <v>2268</v>
      </c>
      <c r="F1163" s="14">
        <v>4.67</v>
      </c>
      <c r="G1163" s="14">
        <v>554.91999999999996</v>
      </c>
      <c r="H1163" s="14">
        <v>118.83</v>
      </c>
      <c r="I1163" s="14">
        <v>30</v>
      </c>
      <c r="J1163" s="14">
        <v>388.44</v>
      </c>
    </row>
    <row r="1164" spans="1:10" hidden="1">
      <c r="A1164" s="131" t="str">
        <f t="shared" si="18"/>
        <v>Quality Suites Bordeaux_2018-07</v>
      </c>
      <c r="B1164" s="14" t="s">
        <v>2125</v>
      </c>
      <c r="C1164" s="14" t="s">
        <v>1792</v>
      </c>
      <c r="D1164" s="14" t="s">
        <v>535</v>
      </c>
      <c r="E1164" s="14" t="s">
        <v>2144</v>
      </c>
      <c r="F1164" s="14">
        <v>20</v>
      </c>
      <c r="G1164" s="14">
        <v>2123.0700000000002</v>
      </c>
      <c r="H1164" s="14">
        <v>106.15</v>
      </c>
      <c r="I1164" s="14">
        <v>40</v>
      </c>
      <c r="J1164" s="14">
        <v>1273.8399999999999</v>
      </c>
    </row>
    <row r="1165" spans="1:10">
      <c r="A1165" s="131" t="str">
        <f t="shared" si="18"/>
        <v>Quality Suites Bordeaux_2018-08</v>
      </c>
      <c r="B1165" s="14" t="s">
        <v>2125</v>
      </c>
      <c r="C1165" s="14" t="s">
        <v>1792</v>
      </c>
      <c r="D1165" s="14" t="s">
        <v>535</v>
      </c>
      <c r="E1165" s="14" t="s">
        <v>2189</v>
      </c>
      <c r="F1165" s="14">
        <v>20</v>
      </c>
      <c r="G1165" s="14">
        <v>1631.02</v>
      </c>
      <c r="H1165" s="14">
        <v>81.55</v>
      </c>
      <c r="I1165" s="14">
        <v>40</v>
      </c>
      <c r="J1165" s="14">
        <v>978.61</v>
      </c>
    </row>
    <row r="1166" spans="1:10" hidden="1">
      <c r="A1166" s="131" t="str">
        <f t="shared" si="18"/>
        <v>Quality Suites Bordeaux_2018-09</v>
      </c>
      <c r="B1166" s="14" t="s">
        <v>2125</v>
      </c>
      <c r="C1166" s="14" t="s">
        <v>1792</v>
      </c>
      <c r="D1166" s="14" t="s">
        <v>535</v>
      </c>
      <c r="E1166" s="14" t="s">
        <v>2268</v>
      </c>
      <c r="F1166" s="14">
        <v>20</v>
      </c>
      <c r="G1166" s="14">
        <v>1446.63</v>
      </c>
      <c r="H1166" s="14">
        <v>72.33</v>
      </c>
      <c r="I1166" s="14">
        <v>40</v>
      </c>
      <c r="J1166" s="14">
        <v>867.98</v>
      </c>
    </row>
    <row r="1167" spans="1:10" hidden="1">
      <c r="A1167" s="131" t="str">
        <f t="shared" si="18"/>
        <v>Quality Suites Bordeaux_2018-07</v>
      </c>
      <c r="B1167" s="14" t="s">
        <v>2125</v>
      </c>
      <c r="C1167" s="14" t="s">
        <v>1793</v>
      </c>
      <c r="D1167" s="14" t="s">
        <v>535</v>
      </c>
      <c r="E1167" s="14" t="s">
        <v>2144</v>
      </c>
      <c r="F1167" s="14">
        <v>10</v>
      </c>
      <c r="G1167" s="14">
        <v>1198.6600000000001</v>
      </c>
      <c r="H1167" s="14">
        <v>119.87</v>
      </c>
      <c r="I1167" s="14">
        <v>40</v>
      </c>
      <c r="J1167" s="14">
        <v>719.2</v>
      </c>
    </row>
    <row r="1168" spans="1:10">
      <c r="A1168" s="131" t="str">
        <f t="shared" si="18"/>
        <v>Quality Suites Bordeaux_2018-08</v>
      </c>
      <c r="B1168" s="14" t="s">
        <v>2125</v>
      </c>
      <c r="C1168" s="14" t="s">
        <v>1793</v>
      </c>
      <c r="D1168" s="14" t="s">
        <v>535</v>
      </c>
      <c r="E1168" s="14" t="s">
        <v>2189</v>
      </c>
      <c r="F1168" s="14">
        <v>10</v>
      </c>
      <c r="G1168" s="14">
        <v>884.22</v>
      </c>
      <c r="H1168" s="14">
        <v>88.42</v>
      </c>
      <c r="I1168" s="14">
        <v>40</v>
      </c>
      <c r="J1168" s="14">
        <v>530.53</v>
      </c>
    </row>
    <row r="1169" spans="1:10" hidden="1">
      <c r="A1169" s="131" t="str">
        <f t="shared" si="18"/>
        <v>Quality Suites Bordeaux_2018-09</v>
      </c>
      <c r="B1169" s="14" t="s">
        <v>2125</v>
      </c>
      <c r="C1169" s="14" t="s">
        <v>1793</v>
      </c>
      <c r="D1169" s="14" t="s">
        <v>535</v>
      </c>
      <c r="E1169" s="14" t="s">
        <v>2268</v>
      </c>
      <c r="F1169" s="14">
        <v>10</v>
      </c>
      <c r="G1169" s="14">
        <v>1144.8599999999999</v>
      </c>
      <c r="H1169" s="14">
        <v>114.49</v>
      </c>
      <c r="I1169" s="14">
        <v>40</v>
      </c>
      <c r="J1169" s="14">
        <v>686.92</v>
      </c>
    </row>
    <row r="1170" spans="1:10" hidden="1">
      <c r="A1170" s="131" t="str">
        <f t="shared" si="18"/>
        <v>Radisson Blu Nice_2018-07</v>
      </c>
      <c r="B1170" s="14" t="s">
        <v>1794</v>
      </c>
      <c r="C1170" s="14" t="s">
        <v>814</v>
      </c>
      <c r="D1170" s="14" t="s">
        <v>535</v>
      </c>
      <c r="E1170" s="14" t="s">
        <v>2144</v>
      </c>
      <c r="F1170" s="14">
        <v>10</v>
      </c>
      <c r="G1170" s="14">
        <v>1068.96</v>
      </c>
      <c r="H1170" s="14">
        <v>106.9</v>
      </c>
      <c r="I1170" s="14">
        <v>35</v>
      </c>
      <c r="J1170" s="14">
        <v>694.82</v>
      </c>
    </row>
    <row r="1171" spans="1:10">
      <c r="A1171" s="131" t="str">
        <f t="shared" si="18"/>
        <v>Radisson Blu Nice_2018-08</v>
      </c>
      <c r="B1171" s="14" t="s">
        <v>1794</v>
      </c>
      <c r="C1171" s="14" t="s">
        <v>814</v>
      </c>
      <c r="D1171" s="14" t="s">
        <v>535</v>
      </c>
      <c r="E1171" s="14" t="s">
        <v>2189</v>
      </c>
      <c r="F1171" s="14">
        <v>6.77</v>
      </c>
      <c r="G1171" s="14">
        <v>624.6</v>
      </c>
      <c r="H1171" s="14">
        <v>92.26</v>
      </c>
      <c r="I1171" s="14">
        <v>35</v>
      </c>
      <c r="J1171" s="14">
        <v>405.99</v>
      </c>
    </row>
    <row r="1172" spans="1:10" hidden="1">
      <c r="A1172" s="131" t="str">
        <f t="shared" si="18"/>
        <v>Radisson Blu Nice_2018-09</v>
      </c>
      <c r="B1172" s="14" t="s">
        <v>1794</v>
      </c>
      <c r="C1172" s="14" t="s">
        <v>814</v>
      </c>
      <c r="D1172" s="14" t="s">
        <v>535</v>
      </c>
      <c r="E1172" s="14" t="s">
        <v>2268</v>
      </c>
      <c r="F1172" s="14">
        <v>0</v>
      </c>
      <c r="G1172" s="14">
        <v>2.04</v>
      </c>
      <c r="H1172" s="14" t="s">
        <v>535</v>
      </c>
      <c r="I1172" s="14">
        <v>35</v>
      </c>
      <c r="J1172" s="14">
        <v>1.33</v>
      </c>
    </row>
    <row r="1173" spans="1:10" hidden="1">
      <c r="A1173" s="131" t="str">
        <f t="shared" si="18"/>
        <v>Radisson Blue Lyon Part Dieu_2018-09</v>
      </c>
      <c r="B1173" s="14" t="s">
        <v>2310</v>
      </c>
      <c r="C1173" s="14" t="s">
        <v>2311</v>
      </c>
      <c r="D1173" s="14" t="s">
        <v>535</v>
      </c>
      <c r="E1173" s="14" t="s">
        <v>2268</v>
      </c>
      <c r="F1173" s="14">
        <v>0.67</v>
      </c>
      <c r="G1173" s="14">
        <v>167.13</v>
      </c>
      <c r="H1173" s="14">
        <v>249.45</v>
      </c>
      <c r="I1173" s="14">
        <v>40</v>
      </c>
      <c r="J1173" s="14">
        <v>100.28</v>
      </c>
    </row>
    <row r="1174" spans="1:10" hidden="1">
      <c r="A1174" s="131" t="str">
        <f t="shared" si="18"/>
        <v>Ramada Brussels Woluwe_2018-07</v>
      </c>
      <c r="B1174" s="14" t="s">
        <v>1422</v>
      </c>
      <c r="C1174" s="14" t="s">
        <v>1831</v>
      </c>
      <c r="D1174" s="14" t="s">
        <v>535</v>
      </c>
      <c r="E1174" s="14" t="s">
        <v>2144</v>
      </c>
      <c r="F1174" s="14">
        <v>30</v>
      </c>
      <c r="G1174" s="14">
        <v>12</v>
      </c>
      <c r="H1174" s="14">
        <v>0.4</v>
      </c>
      <c r="I1174" s="14">
        <v>50</v>
      </c>
      <c r="J1174" s="14">
        <v>6</v>
      </c>
    </row>
    <row r="1175" spans="1:10">
      <c r="A1175" s="131" t="str">
        <f t="shared" si="18"/>
        <v>Ramada Brussels Woluwe_2018-08</v>
      </c>
      <c r="B1175" s="14" t="s">
        <v>1422</v>
      </c>
      <c r="C1175" s="14" t="s">
        <v>1831</v>
      </c>
      <c r="D1175" s="14" t="s">
        <v>535</v>
      </c>
      <c r="E1175" s="14" t="s">
        <v>2189</v>
      </c>
      <c r="F1175" s="14">
        <v>30</v>
      </c>
      <c r="G1175" s="14">
        <v>99</v>
      </c>
      <c r="H1175" s="14">
        <v>3.3</v>
      </c>
      <c r="I1175" s="14">
        <v>50</v>
      </c>
      <c r="J1175" s="14">
        <v>49.5</v>
      </c>
    </row>
    <row r="1176" spans="1:10" hidden="1">
      <c r="A1176" s="131" t="str">
        <f t="shared" si="18"/>
        <v>Ramada Brussels Woluwe_2018-09</v>
      </c>
      <c r="B1176" s="14" t="s">
        <v>1422</v>
      </c>
      <c r="C1176" s="14" t="s">
        <v>1831</v>
      </c>
      <c r="D1176" s="14" t="s">
        <v>535</v>
      </c>
      <c r="E1176" s="14" t="s">
        <v>2268</v>
      </c>
      <c r="F1176" s="14">
        <v>30</v>
      </c>
      <c r="G1176" s="14">
        <v>49.52</v>
      </c>
      <c r="H1176" s="14">
        <v>1.65</v>
      </c>
      <c r="I1176" s="14">
        <v>50</v>
      </c>
      <c r="J1176" s="14">
        <v>24.76</v>
      </c>
    </row>
    <row r="1177" spans="1:10" hidden="1">
      <c r="A1177" s="131" t="str">
        <f t="shared" si="18"/>
        <v>Reims Habitat_2018-07</v>
      </c>
      <c r="B1177" s="14" t="s">
        <v>478</v>
      </c>
      <c r="C1177" s="14" t="s">
        <v>815</v>
      </c>
      <c r="D1177" s="14" t="s">
        <v>535</v>
      </c>
      <c r="E1177" s="14" t="s">
        <v>2144</v>
      </c>
      <c r="F1177" s="14">
        <v>26</v>
      </c>
      <c r="G1177" s="14">
        <v>190.5</v>
      </c>
      <c r="H1177" s="14">
        <v>7.33</v>
      </c>
      <c r="I1177" s="14">
        <v>45</v>
      </c>
      <c r="J1177" s="14">
        <v>104.78</v>
      </c>
    </row>
    <row r="1178" spans="1:10">
      <c r="A1178" s="131" t="str">
        <f t="shared" si="18"/>
        <v>Reims Habitat_2018-08</v>
      </c>
      <c r="B1178" s="14" t="s">
        <v>478</v>
      </c>
      <c r="C1178" s="14" t="s">
        <v>815</v>
      </c>
      <c r="D1178" s="14" t="s">
        <v>535</v>
      </c>
      <c r="E1178" s="14" t="s">
        <v>2189</v>
      </c>
      <c r="F1178" s="14">
        <v>26</v>
      </c>
      <c r="G1178" s="14">
        <v>262.95</v>
      </c>
      <c r="H1178" s="14">
        <v>10.11</v>
      </c>
      <c r="I1178" s="14">
        <v>45</v>
      </c>
      <c r="J1178" s="14">
        <v>144.62</v>
      </c>
    </row>
    <row r="1179" spans="1:10" hidden="1">
      <c r="A1179" s="131" t="str">
        <f t="shared" si="18"/>
        <v>Reims Habitat_2018-09</v>
      </c>
      <c r="B1179" s="14" t="s">
        <v>478</v>
      </c>
      <c r="C1179" s="14" t="s">
        <v>815</v>
      </c>
      <c r="D1179" s="14" t="s">
        <v>535</v>
      </c>
      <c r="E1179" s="14" t="s">
        <v>2268</v>
      </c>
      <c r="F1179" s="14">
        <v>26</v>
      </c>
      <c r="G1179" s="14">
        <v>289.66000000000003</v>
      </c>
      <c r="H1179" s="14">
        <v>11.14</v>
      </c>
      <c r="I1179" s="14">
        <v>45</v>
      </c>
      <c r="J1179" s="14">
        <v>159.31</v>
      </c>
    </row>
    <row r="1180" spans="1:10" hidden="1">
      <c r="A1180" s="131" t="str">
        <f t="shared" si="18"/>
        <v>Reims Habitat_2018-07</v>
      </c>
      <c r="B1180" s="14" t="s">
        <v>478</v>
      </c>
      <c r="C1180" s="14" t="s">
        <v>1286</v>
      </c>
      <c r="D1180" s="14" t="s">
        <v>535</v>
      </c>
      <c r="E1180" s="14" t="s">
        <v>2144</v>
      </c>
      <c r="F1180" s="14">
        <v>40</v>
      </c>
      <c r="G1180" s="14">
        <v>129.69</v>
      </c>
      <c r="H1180" s="14">
        <v>3.24</v>
      </c>
      <c r="I1180" s="14">
        <v>45</v>
      </c>
      <c r="J1180" s="14">
        <v>71.33</v>
      </c>
    </row>
    <row r="1181" spans="1:10">
      <c r="A1181" s="131" t="str">
        <f t="shared" si="18"/>
        <v>Reims Habitat_2018-08</v>
      </c>
      <c r="B1181" s="14" t="s">
        <v>478</v>
      </c>
      <c r="C1181" s="14" t="s">
        <v>1286</v>
      </c>
      <c r="D1181" s="14" t="s">
        <v>535</v>
      </c>
      <c r="E1181" s="14" t="s">
        <v>2189</v>
      </c>
      <c r="F1181" s="14">
        <v>40</v>
      </c>
      <c r="G1181" s="14">
        <v>204.97</v>
      </c>
      <c r="H1181" s="14">
        <v>5.12</v>
      </c>
      <c r="I1181" s="14">
        <v>45</v>
      </c>
      <c r="J1181" s="14">
        <v>112.73</v>
      </c>
    </row>
    <row r="1182" spans="1:10" hidden="1">
      <c r="A1182" s="131" t="str">
        <f t="shared" si="18"/>
        <v>Reims Habitat_2018-09</v>
      </c>
      <c r="B1182" s="14" t="s">
        <v>478</v>
      </c>
      <c r="C1182" s="14" t="s">
        <v>1286</v>
      </c>
      <c r="D1182" s="14" t="s">
        <v>535</v>
      </c>
      <c r="E1182" s="14" t="s">
        <v>2268</v>
      </c>
      <c r="F1182" s="14">
        <v>40</v>
      </c>
      <c r="G1182" s="14">
        <v>150.55000000000001</v>
      </c>
      <c r="H1182" s="14">
        <v>3.76</v>
      </c>
      <c r="I1182" s="14">
        <v>45</v>
      </c>
      <c r="J1182" s="14">
        <v>82.8</v>
      </c>
    </row>
    <row r="1183" spans="1:10" hidden="1">
      <c r="A1183" s="131" t="str">
        <f t="shared" si="18"/>
        <v>Reims Habitat_2018-07</v>
      </c>
      <c r="B1183" s="14" t="s">
        <v>478</v>
      </c>
      <c r="C1183" s="14" t="s">
        <v>816</v>
      </c>
      <c r="D1183" s="14" t="s">
        <v>535</v>
      </c>
      <c r="E1183" s="14" t="s">
        <v>2144</v>
      </c>
      <c r="F1183" s="14">
        <v>9</v>
      </c>
      <c r="G1183" s="14">
        <v>354.8</v>
      </c>
      <c r="H1183" s="14">
        <v>39.42</v>
      </c>
      <c r="I1183" s="14">
        <v>45</v>
      </c>
      <c r="J1183" s="14">
        <v>195.14</v>
      </c>
    </row>
    <row r="1184" spans="1:10">
      <c r="A1184" s="131" t="str">
        <f t="shared" si="18"/>
        <v>Reims Habitat_2018-08</v>
      </c>
      <c r="B1184" s="14" t="s">
        <v>478</v>
      </c>
      <c r="C1184" s="14" t="s">
        <v>816</v>
      </c>
      <c r="D1184" s="14" t="s">
        <v>535</v>
      </c>
      <c r="E1184" s="14" t="s">
        <v>2189</v>
      </c>
      <c r="F1184" s="14">
        <v>9</v>
      </c>
      <c r="G1184" s="14">
        <v>375.97</v>
      </c>
      <c r="H1184" s="14">
        <v>41.77</v>
      </c>
      <c r="I1184" s="14">
        <v>45</v>
      </c>
      <c r="J1184" s="14">
        <v>206.78</v>
      </c>
    </row>
    <row r="1185" spans="1:10" hidden="1">
      <c r="A1185" s="131" t="str">
        <f t="shared" si="18"/>
        <v>Reims Habitat_2018-09</v>
      </c>
      <c r="B1185" s="14" t="s">
        <v>478</v>
      </c>
      <c r="C1185" s="14" t="s">
        <v>816</v>
      </c>
      <c r="D1185" s="14" t="s">
        <v>535</v>
      </c>
      <c r="E1185" s="14" t="s">
        <v>2268</v>
      </c>
      <c r="F1185" s="14">
        <v>9</v>
      </c>
      <c r="G1185" s="14">
        <v>446.18</v>
      </c>
      <c r="H1185" s="14">
        <v>49.58</v>
      </c>
      <c r="I1185" s="14">
        <v>45</v>
      </c>
      <c r="J1185" s="14">
        <v>245.4</v>
      </c>
    </row>
    <row r="1186" spans="1:10" hidden="1">
      <c r="A1186" s="131" t="str">
        <f t="shared" si="18"/>
        <v>Reims Habitat_2018-07</v>
      </c>
      <c r="B1186" s="14" t="s">
        <v>478</v>
      </c>
      <c r="C1186" s="14" t="s">
        <v>817</v>
      </c>
      <c r="D1186" s="14" t="s">
        <v>535</v>
      </c>
      <c r="E1186" s="14" t="s">
        <v>2144</v>
      </c>
      <c r="F1186" s="14">
        <v>15</v>
      </c>
      <c r="G1186" s="14">
        <v>236.06</v>
      </c>
      <c r="H1186" s="14">
        <v>15.74</v>
      </c>
      <c r="I1186" s="14">
        <v>45</v>
      </c>
      <c r="J1186" s="14">
        <v>129.83000000000001</v>
      </c>
    </row>
    <row r="1187" spans="1:10">
      <c r="A1187" s="131" t="str">
        <f t="shared" si="18"/>
        <v>Reims Habitat_2018-08</v>
      </c>
      <c r="B1187" s="14" t="s">
        <v>478</v>
      </c>
      <c r="C1187" s="14" t="s">
        <v>817</v>
      </c>
      <c r="D1187" s="14" t="s">
        <v>535</v>
      </c>
      <c r="E1187" s="14" t="s">
        <v>2189</v>
      </c>
      <c r="F1187" s="14">
        <v>15</v>
      </c>
      <c r="G1187" s="14">
        <v>209.35</v>
      </c>
      <c r="H1187" s="14">
        <v>13.96</v>
      </c>
      <c r="I1187" s="14">
        <v>45</v>
      </c>
      <c r="J1187" s="14">
        <v>115.14</v>
      </c>
    </row>
    <row r="1188" spans="1:10" hidden="1">
      <c r="A1188" s="131" t="str">
        <f t="shared" si="18"/>
        <v>Reims Habitat_2018-09</v>
      </c>
      <c r="B1188" s="14" t="s">
        <v>478</v>
      </c>
      <c r="C1188" s="14" t="s">
        <v>817</v>
      </c>
      <c r="D1188" s="14" t="s">
        <v>535</v>
      </c>
      <c r="E1188" s="14" t="s">
        <v>2268</v>
      </c>
      <c r="F1188" s="14">
        <v>15</v>
      </c>
      <c r="G1188" s="14">
        <v>164.9</v>
      </c>
      <c r="H1188" s="14">
        <v>10.99</v>
      </c>
      <c r="I1188" s="14">
        <v>45</v>
      </c>
      <c r="J1188" s="14">
        <v>90.69</v>
      </c>
    </row>
    <row r="1189" spans="1:10">
      <c r="A1189" s="131" t="str">
        <f t="shared" si="18"/>
        <v>RESAPARK_2018-08</v>
      </c>
      <c r="B1189" s="14" t="s">
        <v>2229</v>
      </c>
      <c r="C1189" s="14" t="s">
        <v>2230</v>
      </c>
      <c r="D1189" s="14" t="s">
        <v>535</v>
      </c>
      <c r="E1189" s="14" t="s">
        <v>2189</v>
      </c>
      <c r="F1189" s="14">
        <v>20</v>
      </c>
      <c r="G1189" s="14">
        <v>69</v>
      </c>
      <c r="H1189" s="14">
        <v>3.45</v>
      </c>
      <c r="I1189" s="14">
        <v>25</v>
      </c>
      <c r="J1189" s="14">
        <v>51.75</v>
      </c>
    </row>
    <row r="1190" spans="1:10" hidden="1">
      <c r="A1190" s="131" t="str">
        <f t="shared" si="18"/>
        <v>RESAPARK_2018-09</v>
      </c>
      <c r="B1190" s="14" t="s">
        <v>2229</v>
      </c>
      <c r="C1190" s="14" t="s">
        <v>2230</v>
      </c>
      <c r="D1190" s="14" t="s">
        <v>535</v>
      </c>
      <c r="E1190" s="14" t="s">
        <v>2268</v>
      </c>
      <c r="F1190" s="14">
        <v>20</v>
      </c>
      <c r="G1190" s="14">
        <v>43</v>
      </c>
      <c r="H1190" s="14">
        <v>2.15</v>
      </c>
      <c r="I1190" s="14">
        <v>25</v>
      </c>
      <c r="J1190" s="14">
        <v>32.25</v>
      </c>
    </row>
    <row r="1191" spans="1:10" hidden="1">
      <c r="A1191" s="131" t="str">
        <f t="shared" si="18"/>
        <v>Residhome Roissy Village_2018-07</v>
      </c>
      <c r="B1191" s="14" t="s">
        <v>1544</v>
      </c>
      <c r="C1191" s="14" t="s">
        <v>1832</v>
      </c>
      <c r="D1191" s="14" t="s">
        <v>535</v>
      </c>
      <c r="E1191" s="14" t="s">
        <v>2144</v>
      </c>
      <c r="F1191" s="14">
        <v>64.349999999999994</v>
      </c>
      <c r="G1191" s="14">
        <v>4614.5</v>
      </c>
      <c r="H1191" s="14">
        <v>71.709999999999994</v>
      </c>
      <c r="I1191" s="14">
        <v>40</v>
      </c>
      <c r="J1191" s="14">
        <v>2768.7</v>
      </c>
    </row>
    <row r="1192" spans="1:10">
      <c r="A1192" s="131" t="str">
        <f t="shared" si="18"/>
        <v>Residhome Roissy Village_2018-08</v>
      </c>
      <c r="B1192" s="14" t="s">
        <v>1544</v>
      </c>
      <c r="C1192" s="14" t="s">
        <v>1832</v>
      </c>
      <c r="D1192" s="14" t="s">
        <v>535</v>
      </c>
      <c r="E1192" s="14" t="s">
        <v>2189</v>
      </c>
      <c r="F1192" s="14">
        <v>100</v>
      </c>
      <c r="G1192" s="14">
        <v>3795.6</v>
      </c>
      <c r="H1192" s="14">
        <v>37.96</v>
      </c>
      <c r="I1192" s="14">
        <v>40</v>
      </c>
      <c r="J1192" s="14">
        <v>2277.36</v>
      </c>
    </row>
    <row r="1193" spans="1:10" hidden="1">
      <c r="A1193" s="131" t="str">
        <f t="shared" si="18"/>
        <v>Residhome Roissy Village_2018-09</v>
      </c>
      <c r="B1193" s="14" t="s">
        <v>1544</v>
      </c>
      <c r="C1193" s="14" t="s">
        <v>1832</v>
      </c>
      <c r="D1193" s="14" t="s">
        <v>535</v>
      </c>
      <c r="E1193" s="14" t="s">
        <v>2268</v>
      </c>
      <c r="F1193" s="14">
        <v>100</v>
      </c>
      <c r="G1193" s="14">
        <v>1012</v>
      </c>
      <c r="H1193" s="14">
        <v>10.119999999999999</v>
      </c>
      <c r="I1193" s="14">
        <v>40</v>
      </c>
      <c r="J1193" s="14">
        <v>607.20000000000005</v>
      </c>
    </row>
    <row r="1194" spans="1:10" hidden="1">
      <c r="A1194" s="131" t="str">
        <f t="shared" si="18"/>
        <v>RIVP_2018-07</v>
      </c>
      <c r="B1194" s="14" t="s">
        <v>47</v>
      </c>
      <c r="C1194" s="14" t="s">
        <v>818</v>
      </c>
      <c r="D1194" s="14" t="s">
        <v>1083</v>
      </c>
      <c r="E1194" s="14" t="s">
        <v>2144</v>
      </c>
      <c r="F1194" s="14">
        <v>10</v>
      </c>
      <c r="G1194" s="14">
        <v>1342.4</v>
      </c>
      <c r="H1194" s="14">
        <v>134.24</v>
      </c>
      <c r="I1194" s="14">
        <v>40</v>
      </c>
      <c r="J1194" s="14">
        <v>805.44</v>
      </c>
    </row>
    <row r="1195" spans="1:10">
      <c r="A1195" s="131" t="str">
        <f t="shared" ref="A1195:A1258" si="19">CONCATENATE(B1195,"_",E1195)</f>
        <v>RIVP_2018-08</v>
      </c>
      <c r="B1195" s="14" t="s">
        <v>47</v>
      </c>
      <c r="C1195" s="14" t="s">
        <v>818</v>
      </c>
      <c r="D1195" s="14" t="s">
        <v>1083</v>
      </c>
      <c r="E1195" s="14" t="s">
        <v>2189</v>
      </c>
      <c r="F1195" s="14">
        <v>10</v>
      </c>
      <c r="G1195" s="14">
        <v>677.04</v>
      </c>
      <c r="H1195" s="14">
        <v>67.7</v>
      </c>
      <c r="I1195" s="14">
        <v>40</v>
      </c>
      <c r="J1195" s="14">
        <v>406.22</v>
      </c>
    </row>
    <row r="1196" spans="1:10" hidden="1">
      <c r="A1196" s="131" t="str">
        <f t="shared" si="19"/>
        <v>RIVP_2018-09</v>
      </c>
      <c r="B1196" s="14" t="s">
        <v>47</v>
      </c>
      <c r="C1196" s="14" t="s">
        <v>818</v>
      </c>
      <c r="D1196" s="14" t="s">
        <v>1083</v>
      </c>
      <c r="E1196" s="14" t="s">
        <v>2268</v>
      </c>
      <c r="F1196" s="14">
        <v>10</v>
      </c>
      <c r="G1196" s="14">
        <v>1453.13</v>
      </c>
      <c r="H1196" s="14">
        <v>145.31</v>
      </c>
      <c r="I1196" s="14">
        <v>40</v>
      </c>
      <c r="J1196" s="14">
        <v>871.88</v>
      </c>
    </row>
    <row r="1197" spans="1:10" hidden="1">
      <c r="A1197" s="131" t="str">
        <f t="shared" si="19"/>
        <v>RIVP_2018-07</v>
      </c>
      <c r="B1197" s="14" t="s">
        <v>47</v>
      </c>
      <c r="C1197" s="14" t="s">
        <v>1053</v>
      </c>
      <c r="D1197" s="14" t="s">
        <v>1054</v>
      </c>
      <c r="E1197" s="14" t="s">
        <v>2144</v>
      </c>
      <c r="F1197" s="14">
        <v>10</v>
      </c>
      <c r="G1197" s="14">
        <v>1917.37</v>
      </c>
      <c r="H1197" s="14">
        <v>191.74</v>
      </c>
      <c r="I1197" s="14">
        <v>40</v>
      </c>
      <c r="J1197" s="14">
        <v>1150.42</v>
      </c>
    </row>
    <row r="1198" spans="1:10">
      <c r="A1198" s="131" t="str">
        <f t="shared" si="19"/>
        <v>RIVP_2018-08</v>
      </c>
      <c r="B1198" s="14" t="s">
        <v>47</v>
      </c>
      <c r="C1198" s="14" t="s">
        <v>1053</v>
      </c>
      <c r="D1198" s="14" t="s">
        <v>1054</v>
      </c>
      <c r="E1198" s="14" t="s">
        <v>2189</v>
      </c>
      <c r="F1198" s="14">
        <v>10</v>
      </c>
      <c r="G1198" s="14">
        <v>1996.58</v>
      </c>
      <c r="H1198" s="14">
        <v>199.66</v>
      </c>
      <c r="I1198" s="14">
        <v>40</v>
      </c>
      <c r="J1198" s="14">
        <v>1197.95</v>
      </c>
    </row>
    <row r="1199" spans="1:10" hidden="1">
      <c r="A1199" s="131" t="str">
        <f t="shared" si="19"/>
        <v>RIVP_2018-09</v>
      </c>
      <c r="B1199" s="14" t="s">
        <v>47</v>
      </c>
      <c r="C1199" s="14" t="s">
        <v>1053</v>
      </c>
      <c r="D1199" s="14" t="s">
        <v>1054</v>
      </c>
      <c r="E1199" s="14" t="s">
        <v>2268</v>
      </c>
      <c r="F1199" s="14">
        <v>10</v>
      </c>
      <c r="G1199" s="14">
        <v>1696.86</v>
      </c>
      <c r="H1199" s="14">
        <v>169.69</v>
      </c>
      <c r="I1199" s="14">
        <v>40</v>
      </c>
      <c r="J1199" s="14">
        <v>1018.12</v>
      </c>
    </row>
    <row r="1200" spans="1:10" hidden="1">
      <c r="A1200" s="131" t="str">
        <f t="shared" si="19"/>
        <v>RIVP_2018-07</v>
      </c>
      <c r="B1200" s="14" t="s">
        <v>47</v>
      </c>
      <c r="C1200" s="14" t="s">
        <v>1913</v>
      </c>
      <c r="D1200" s="14" t="s">
        <v>1914</v>
      </c>
      <c r="E1200" s="14" t="s">
        <v>2144</v>
      </c>
      <c r="F1200" s="14">
        <v>10</v>
      </c>
      <c r="G1200" s="14">
        <v>1258.28</v>
      </c>
      <c r="H1200" s="14">
        <v>125.83</v>
      </c>
      <c r="I1200" s="14">
        <v>50</v>
      </c>
      <c r="J1200" s="14">
        <v>629.14</v>
      </c>
    </row>
    <row r="1201" spans="1:10">
      <c r="A1201" s="131" t="str">
        <f t="shared" si="19"/>
        <v>RIVP_2018-08</v>
      </c>
      <c r="B1201" s="14" t="s">
        <v>47</v>
      </c>
      <c r="C1201" s="14" t="s">
        <v>1913</v>
      </c>
      <c r="D1201" s="14" t="s">
        <v>1914</v>
      </c>
      <c r="E1201" s="14" t="s">
        <v>2189</v>
      </c>
      <c r="F1201" s="14">
        <v>10</v>
      </c>
      <c r="G1201" s="14">
        <v>698.83</v>
      </c>
      <c r="H1201" s="14">
        <v>69.88</v>
      </c>
      <c r="I1201" s="14">
        <v>50</v>
      </c>
      <c r="J1201" s="14">
        <v>349.42</v>
      </c>
    </row>
    <row r="1202" spans="1:10" hidden="1">
      <c r="A1202" s="131" t="str">
        <f t="shared" si="19"/>
        <v>RIVP_2018-09</v>
      </c>
      <c r="B1202" s="14" t="s">
        <v>47</v>
      </c>
      <c r="C1202" s="14" t="s">
        <v>1913</v>
      </c>
      <c r="D1202" s="14" t="s">
        <v>1914</v>
      </c>
      <c r="E1202" s="14" t="s">
        <v>2268</v>
      </c>
      <c r="F1202" s="14">
        <v>10</v>
      </c>
      <c r="G1202" s="14">
        <v>320.43</v>
      </c>
      <c r="H1202" s="14">
        <v>32.04</v>
      </c>
      <c r="I1202" s="14">
        <v>50</v>
      </c>
      <c r="J1202" s="14">
        <v>160.22</v>
      </c>
    </row>
    <row r="1203" spans="1:10" hidden="1">
      <c r="A1203" s="131" t="str">
        <f t="shared" si="19"/>
        <v>RIVP_2018-07</v>
      </c>
      <c r="B1203" s="14" t="s">
        <v>47</v>
      </c>
      <c r="C1203" s="14" t="s">
        <v>1055</v>
      </c>
      <c r="D1203" s="14" t="s">
        <v>1056</v>
      </c>
      <c r="E1203" s="14" t="s">
        <v>2144</v>
      </c>
      <c r="F1203" s="14">
        <v>10</v>
      </c>
      <c r="G1203" s="14">
        <v>1524.37</v>
      </c>
      <c r="H1203" s="14">
        <v>152.44</v>
      </c>
      <c r="I1203" s="14">
        <v>40</v>
      </c>
      <c r="J1203" s="14">
        <v>914.62</v>
      </c>
    </row>
    <row r="1204" spans="1:10">
      <c r="A1204" s="131" t="str">
        <f t="shared" si="19"/>
        <v>RIVP_2018-08</v>
      </c>
      <c r="B1204" s="14" t="s">
        <v>47</v>
      </c>
      <c r="C1204" s="14" t="s">
        <v>1055</v>
      </c>
      <c r="D1204" s="14" t="s">
        <v>1056</v>
      </c>
      <c r="E1204" s="14" t="s">
        <v>2189</v>
      </c>
      <c r="F1204" s="14">
        <v>10</v>
      </c>
      <c r="G1204" s="14">
        <v>1425.82</v>
      </c>
      <c r="H1204" s="14">
        <v>142.58000000000001</v>
      </c>
      <c r="I1204" s="14">
        <v>40</v>
      </c>
      <c r="J1204" s="14">
        <v>855.49</v>
      </c>
    </row>
    <row r="1205" spans="1:10" hidden="1">
      <c r="A1205" s="131" t="str">
        <f t="shared" si="19"/>
        <v>RIVP_2018-09</v>
      </c>
      <c r="B1205" s="14" t="s">
        <v>47</v>
      </c>
      <c r="C1205" s="14" t="s">
        <v>1055</v>
      </c>
      <c r="D1205" s="14" t="s">
        <v>1056</v>
      </c>
      <c r="E1205" s="14" t="s">
        <v>2268</v>
      </c>
      <c r="F1205" s="14">
        <v>10</v>
      </c>
      <c r="G1205" s="14">
        <v>1682.07</v>
      </c>
      <c r="H1205" s="14">
        <v>168.21</v>
      </c>
      <c r="I1205" s="14">
        <v>40</v>
      </c>
      <c r="J1205" s="14">
        <v>1009.24</v>
      </c>
    </row>
    <row r="1206" spans="1:10" hidden="1">
      <c r="A1206" s="131" t="str">
        <f t="shared" si="19"/>
        <v>RIVP_2018-07</v>
      </c>
      <c r="B1206" s="14" t="s">
        <v>47</v>
      </c>
      <c r="C1206" s="14" t="s">
        <v>819</v>
      </c>
      <c r="D1206" s="14" t="s">
        <v>1084</v>
      </c>
      <c r="E1206" s="14" t="s">
        <v>2144</v>
      </c>
      <c r="F1206" s="14">
        <v>10</v>
      </c>
      <c r="G1206" s="14">
        <v>1466.56</v>
      </c>
      <c r="H1206" s="14">
        <v>146.66</v>
      </c>
      <c r="I1206" s="14">
        <v>40</v>
      </c>
      <c r="J1206" s="14">
        <v>879.94</v>
      </c>
    </row>
    <row r="1207" spans="1:10">
      <c r="A1207" s="131" t="str">
        <f t="shared" si="19"/>
        <v>RIVP_2018-08</v>
      </c>
      <c r="B1207" s="14" t="s">
        <v>47</v>
      </c>
      <c r="C1207" s="14" t="s">
        <v>819</v>
      </c>
      <c r="D1207" s="14" t="s">
        <v>1084</v>
      </c>
      <c r="E1207" s="14" t="s">
        <v>2189</v>
      </c>
      <c r="F1207" s="14">
        <v>10</v>
      </c>
      <c r="G1207" s="14">
        <v>1597.18</v>
      </c>
      <c r="H1207" s="14">
        <v>159.72</v>
      </c>
      <c r="I1207" s="14">
        <v>40</v>
      </c>
      <c r="J1207" s="14">
        <v>958.31</v>
      </c>
    </row>
    <row r="1208" spans="1:10" hidden="1">
      <c r="A1208" s="131" t="str">
        <f t="shared" si="19"/>
        <v>RIVP_2018-09</v>
      </c>
      <c r="B1208" s="14" t="s">
        <v>47</v>
      </c>
      <c r="C1208" s="14" t="s">
        <v>819</v>
      </c>
      <c r="D1208" s="14" t="s">
        <v>1084</v>
      </c>
      <c r="E1208" s="14" t="s">
        <v>2268</v>
      </c>
      <c r="F1208" s="14">
        <v>10</v>
      </c>
      <c r="G1208" s="14">
        <v>1739.89</v>
      </c>
      <c r="H1208" s="14">
        <v>173.99</v>
      </c>
      <c r="I1208" s="14">
        <v>40</v>
      </c>
      <c r="J1208" s="14">
        <v>1043.93</v>
      </c>
    </row>
    <row r="1209" spans="1:10" hidden="1">
      <c r="A1209" s="131" t="str">
        <f t="shared" si="19"/>
        <v>RIVP_2018-07</v>
      </c>
      <c r="B1209" s="14" t="s">
        <v>47</v>
      </c>
      <c r="C1209" s="14" t="s">
        <v>820</v>
      </c>
      <c r="D1209" s="14" t="s">
        <v>1085</v>
      </c>
      <c r="E1209" s="14" t="s">
        <v>2144</v>
      </c>
      <c r="F1209" s="14">
        <v>10</v>
      </c>
      <c r="G1209" s="14">
        <v>1701.5</v>
      </c>
      <c r="H1209" s="14">
        <v>170.15</v>
      </c>
      <c r="I1209" s="14">
        <v>40</v>
      </c>
      <c r="J1209" s="14">
        <v>1020.9</v>
      </c>
    </row>
    <row r="1210" spans="1:10">
      <c r="A1210" s="131" t="str">
        <f t="shared" si="19"/>
        <v>RIVP_2018-08</v>
      </c>
      <c r="B1210" s="14" t="s">
        <v>47</v>
      </c>
      <c r="C1210" s="14" t="s">
        <v>820</v>
      </c>
      <c r="D1210" s="14" t="s">
        <v>1085</v>
      </c>
      <c r="E1210" s="14" t="s">
        <v>2189</v>
      </c>
      <c r="F1210" s="14">
        <v>10</v>
      </c>
      <c r="G1210" s="14">
        <v>1349.49</v>
      </c>
      <c r="H1210" s="14">
        <v>134.94999999999999</v>
      </c>
      <c r="I1210" s="14">
        <v>40</v>
      </c>
      <c r="J1210" s="14">
        <v>809.69</v>
      </c>
    </row>
    <row r="1211" spans="1:10" hidden="1">
      <c r="A1211" s="131" t="str">
        <f t="shared" si="19"/>
        <v>RIVP_2018-09</v>
      </c>
      <c r="B1211" s="14" t="s">
        <v>47</v>
      </c>
      <c r="C1211" s="14" t="s">
        <v>820</v>
      </c>
      <c r="D1211" s="14" t="s">
        <v>1085</v>
      </c>
      <c r="E1211" s="14" t="s">
        <v>2268</v>
      </c>
      <c r="F1211" s="14">
        <v>10</v>
      </c>
      <c r="G1211" s="14">
        <v>1343.52</v>
      </c>
      <c r="H1211" s="14">
        <v>134.35</v>
      </c>
      <c r="I1211" s="14">
        <v>40</v>
      </c>
      <c r="J1211" s="14">
        <v>806.11</v>
      </c>
    </row>
    <row r="1212" spans="1:10" hidden="1">
      <c r="A1212" s="131" t="str">
        <f t="shared" si="19"/>
        <v>RIVP_2018-07</v>
      </c>
      <c r="B1212" s="14" t="s">
        <v>47</v>
      </c>
      <c r="C1212" s="14" t="s">
        <v>1057</v>
      </c>
      <c r="D1212" s="14" t="s">
        <v>1058</v>
      </c>
      <c r="E1212" s="14" t="s">
        <v>2144</v>
      </c>
      <c r="F1212" s="14">
        <v>10</v>
      </c>
      <c r="G1212" s="14">
        <v>1136.54</v>
      </c>
      <c r="H1212" s="14">
        <v>113.65</v>
      </c>
      <c r="I1212" s="14">
        <v>40</v>
      </c>
      <c r="J1212" s="14">
        <v>681.92</v>
      </c>
    </row>
    <row r="1213" spans="1:10">
      <c r="A1213" s="131" t="str">
        <f t="shared" si="19"/>
        <v>RIVP_2018-08</v>
      </c>
      <c r="B1213" s="14" t="s">
        <v>47</v>
      </c>
      <c r="C1213" s="14" t="s">
        <v>1057</v>
      </c>
      <c r="D1213" s="14" t="s">
        <v>1058</v>
      </c>
      <c r="E1213" s="14" t="s">
        <v>2189</v>
      </c>
      <c r="F1213" s="14">
        <v>10</v>
      </c>
      <c r="G1213" s="14">
        <v>626.84</v>
      </c>
      <c r="H1213" s="14">
        <v>62.68</v>
      </c>
      <c r="I1213" s="14">
        <v>40</v>
      </c>
      <c r="J1213" s="14">
        <v>376.1</v>
      </c>
    </row>
    <row r="1214" spans="1:10" hidden="1">
      <c r="A1214" s="131" t="str">
        <f t="shared" si="19"/>
        <v>RIVP_2018-09</v>
      </c>
      <c r="B1214" s="14" t="s">
        <v>47</v>
      </c>
      <c r="C1214" s="14" t="s">
        <v>1057</v>
      </c>
      <c r="D1214" s="14" t="s">
        <v>1058</v>
      </c>
      <c r="E1214" s="14" t="s">
        <v>2268</v>
      </c>
      <c r="F1214" s="14">
        <v>10</v>
      </c>
      <c r="G1214" s="14">
        <v>1122.9100000000001</v>
      </c>
      <c r="H1214" s="14">
        <v>112.29</v>
      </c>
      <c r="I1214" s="14">
        <v>40</v>
      </c>
      <c r="J1214" s="14">
        <v>673.75</v>
      </c>
    </row>
    <row r="1215" spans="1:10" hidden="1">
      <c r="A1215" s="131" t="str">
        <f t="shared" si="19"/>
        <v>RIVP_2018-07</v>
      </c>
      <c r="B1215" s="14" t="s">
        <v>47</v>
      </c>
      <c r="C1215" s="14" t="s">
        <v>821</v>
      </c>
      <c r="D1215" s="14" t="s">
        <v>1086</v>
      </c>
      <c r="E1215" s="14" t="s">
        <v>2144</v>
      </c>
      <c r="F1215" s="14">
        <v>10</v>
      </c>
      <c r="G1215" s="14">
        <v>1066.93</v>
      </c>
      <c r="H1215" s="14">
        <v>106.69</v>
      </c>
      <c r="I1215" s="14">
        <v>40</v>
      </c>
      <c r="J1215" s="14">
        <v>640.16</v>
      </c>
    </row>
    <row r="1216" spans="1:10">
      <c r="A1216" s="131" t="str">
        <f t="shared" si="19"/>
        <v>RIVP_2018-08</v>
      </c>
      <c r="B1216" s="14" t="s">
        <v>47</v>
      </c>
      <c r="C1216" s="14" t="s">
        <v>821</v>
      </c>
      <c r="D1216" s="14" t="s">
        <v>1086</v>
      </c>
      <c r="E1216" s="14" t="s">
        <v>2189</v>
      </c>
      <c r="F1216" s="14">
        <v>10</v>
      </c>
      <c r="G1216" s="14">
        <v>1069.42</v>
      </c>
      <c r="H1216" s="14">
        <v>106.94</v>
      </c>
      <c r="I1216" s="14">
        <v>40</v>
      </c>
      <c r="J1216" s="14">
        <v>641.65</v>
      </c>
    </row>
    <row r="1217" spans="1:10" hidden="1">
      <c r="A1217" s="131" t="str">
        <f t="shared" si="19"/>
        <v>RIVP_2018-09</v>
      </c>
      <c r="B1217" s="14" t="s">
        <v>47</v>
      </c>
      <c r="C1217" s="14" t="s">
        <v>821</v>
      </c>
      <c r="D1217" s="14" t="s">
        <v>1086</v>
      </c>
      <c r="E1217" s="14" t="s">
        <v>2268</v>
      </c>
      <c r="F1217" s="14">
        <v>10</v>
      </c>
      <c r="G1217" s="14">
        <v>1344.32</v>
      </c>
      <c r="H1217" s="14">
        <v>134.43</v>
      </c>
      <c r="I1217" s="14">
        <v>40</v>
      </c>
      <c r="J1217" s="14">
        <v>806.59</v>
      </c>
    </row>
    <row r="1218" spans="1:10" hidden="1">
      <c r="A1218" s="131" t="str">
        <f t="shared" si="19"/>
        <v>RIVP_2018-07</v>
      </c>
      <c r="B1218" s="14" t="s">
        <v>47</v>
      </c>
      <c r="C1218" s="14" t="s">
        <v>1138</v>
      </c>
      <c r="D1218" s="14" t="s">
        <v>1139</v>
      </c>
      <c r="E1218" s="14" t="s">
        <v>2144</v>
      </c>
      <c r="F1218" s="14">
        <v>10</v>
      </c>
      <c r="G1218" s="14">
        <v>1606.74</v>
      </c>
      <c r="H1218" s="14">
        <v>160.66999999999999</v>
      </c>
      <c r="I1218" s="14">
        <v>40</v>
      </c>
      <c r="J1218" s="14">
        <v>964.04</v>
      </c>
    </row>
    <row r="1219" spans="1:10">
      <c r="A1219" s="131" t="str">
        <f t="shared" si="19"/>
        <v>RIVP_2018-08</v>
      </c>
      <c r="B1219" s="14" t="s">
        <v>47</v>
      </c>
      <c r="C1219" s="14" t="s">
        <v>1138</v>
      </c>
      <c r="D1219" s="14" t="s">
        <v>1139</v>
      </c>
      <c r="E1219" s="14" t="s">
        <v>2189</v>
      </c>
      <c r="F1219" s="14">
        <v>10</v>
      </c>
      <c r="G1219" s="14">
        <v>1681.07</v>
      </c>
      <c r="H1219" s="14">
        <v>168.11</v>
      </c>
      <c r="I1219" s="14">
        <v>40</v>
      </c>
      <c r="J1219" s="14">
        <v>1008.64</v>
      </c>
    </row>
    <row r="1220" spans="1:10" hidden="1">
      <c r="A1220" s="131" t="str">
        <f t="shared" si="19"/>
        <v>RIVP_2018-09</v>
      </c>
      <c r="B1220" s="14" t="s">
        <v>47</v>
      </c>
      <c r="C1220" s="14" t="s">
        <v>1138</v>
      </c>
      <c r="D1220" s="14" t="s">
        <v>1139</v>
      </c>
      <c r="E1220" s="14" t="s">
        <v>2268</v>
      </c>
      <c r="F1220" s="14">
        <v>10</v>
      </c>
      <c r="G1220" s="14">
        <v>1412.05</v>
      </c>
      <c r="H1220" s="14">
        <v>141.19999999999999</v>
      </c>
      <c r="I1220" s="14">
        <v>40</v>
      </c>
      <c r="J1220" s="14">
        <v>847.23</v>
      </c>
    </row>
    <row r="1221" spans="1:10" hidden="1">
      <c r="A1221" s="131" t="str">
        <f t="shared" si="19"/>
        <v>RIVP_2018-07</v>
      </c>
      <c r="B1221" s="14" t="s">
        <v>47</v>
      </c>
      <c r="C1221" s="14" t="s">
        <v>822</v>
      </c>
      <c r="D1221" s="14" t="s">
        <v>1087</v>
      </c>
      <c r="E1221" s="14" t="s">
        <v>2144</v>
      </c>
      <c r="F1221" s="14">
        <v>10</v>
      </c>
      <c r="G1221" s="14">
        <v>739.79</v>
      </c>
      <c r="H1221" s="14">
        <v>73.98</v>
      </c>
      <c r="I1221" s="14">
        <v>40</v>
      </c>
      <c r="J1221" s="14">
        <v>443.87</v>
      </c>
    </row>
    <row r="1222" spans="1:10">
      <c r="A1222" s="131" t="str">
        <f t="shared" si="19"/>
        <v>RIVP_2018-08</v>
      </c>
      <c r="B1222" s="14" t="s">
        <v>47</v>
      </c>
      <c r="C1222" s="14" t="s">
        <v>822</v>
      </c>
      <c r="D1222" s="14" t="s">
        <v>1087</v>
      </c>
      <c r="E1222" s="14" t="s">
        <v>2189</v>
      </c>
      <c r="F1222" s="14">
        <v>10</v>
      </c>
      <c r="G1222" s="14">
        <v>540.30999999999995</v>
      </c>
      <c r="H1222" s="14">
        <v>54.03</v>
      </c>
      <c r="I1222" s="14">
        <v>40</v>
      </c>
      <c r="J1222" s="14">
        <v>324.19</v>
      </c>
    </row>
    <row r="1223" spans="1:10" hidden="1">
      <c r="A1223" s="131" t="str">
        <f t="shared" si="19"/>
        <v>RIVP_2018-09</v>
      </c>
      <c r="B1223" s="14" t="s">
        <v>47</v>
      </c>
      <c r="C1223" s="14" t="s">
        <v>822</v>
      </c>
      <c r="D1223" s="14" t="s">
        <v>1087</v>
      </c>
      <c r="E1223" s="14" t="s">
        <v>2268</v>
      </c>
      <c r="F1223" s="14">
        <v>10</v>
      </c>
      <c r="G1223" s="14">
        <v>689.57</v>
      </c>
      <c r="H1223" s="14">
        <v>68.959999999999994</v>
      </c>
      <c r="I1223" s="14">
        <v>40</v>
      </c>
      <c r="J1223" s="14">
        <v>413.74</v>
      </c>
    </row>
    <row r="1224" spans="1:10" hidden="1">
      <c r="A1224" s="131" t="str">
        <f t="shared" si="19"/>
        <v>RIVP_2018-07</v>
      </c>
      <c r="B1224" s="14" t="s">
        <v>47</v>
      </c>
      <c r="C1224" s="14" t="s">
        <v>1140</v>
      </c>
      <c r="D1224" s="14" t="s">
        <v>1141</v>
      </c>
      <c r="E1224" s="14" t="s">
        <v>2144</v>
      </c>
      <c r="F1224" s="14">
        <v>10</v>
      </c>
      <c r="G1224" s="14">
        <v>884.18</v>
      </c>
      <c r="H1224" s="14">
        <v>88.42</v>
      </c>
      <c r="I1224" s="14">
        <v>40</v>
      </c>
      <c r="J1224" s="14">
        <v>530.51</v>
      </c>
    </row>
    <row r="1225" spans="1:10">
      <c r="A1225" s="131" t="str">
        <f t="shared" si="19"/>
        <v>RIVP_2018-08</v>
      </c>
      <c r="B1225" s="14" t="s">
        <v>47</v>
      </c>
      <c r="C1225" s="14" t="s">
        <v>1140</v>
      </c>
      <c r="D1225" s="14" t="s">
        <v>1141</v>
      </c>
      <c r="E1225" s="14" t="s">
        <v>2189</v>
      </c>
      <c r="F1225" s="14">
        <v>10</v>
      </c>
      <c r="G1225" s="14">
        <v>813.2</v>
      </c>
      <c r="H1225" s="14">
        <v>81.319999999999993</v>
      </c>
      <c r="I1225" s="14">
        <v>40</v>
      </c>
      <c r="J1225" s="14">
        <v>487.92</v>
      </c>
    </row>
    <row r="1226" spans="1:10" hidden="1">
      <c r="A1226" s="131" t="str">
        <f t="shared" si="19"/>
        <v>RIVP_2018-09</v>
      </c>
      <c r="B1226" s="14" t="s">
        <v>47</v>
      </c>
      <c r="C1226" s="14" t="s">
        <v>1140</v>
      </c>
      <c r="D1226" s="14" t="s">
        <v>1141</v>
      </c>
      <c r="E1226" s="14" t="s">
        <v>2268</v>
      </c>
      <c r="F1226" s="14">
        <v>10</v>
      </c>
      <c r="G1226" s="14">
        <v>1011.66</v>
      </c>
      <c r="H1226" s="14">
        <v>101.17</v>
      </c>
      <c r="I1226" s="14">
        <v>40</v>
      </c>
      <c r="J1226" s="14">
        <v>607</v>
      </c>
    </row>
    <row r="1227" spans="1:10" hidden="1">
      <c r="A1227" s="131" t="str">
        <f t="shared" si="19"/>
        <v>RIVP_2018-07</v>
      </c>
      <c r="B1227" s="14" t="s">
        <v>47</v>
      </c>
      <c r="C1227" s="14" t="s">
        <v>1059</v>
      </c>
      <c r="D1227" s="14" t="s">
        <v>1060</v>
      </c>
      <c r="E1227" s="14" t="s">
        <v>2144</v>
      </c>
      <c r="F1227" s="14">
        <v>10</v>
      </c>
      <c r="G1227" s="14">
        <v>1255.8499999999999</v>
      </c>
      <c r="H1227" s="14">
        <v>125.58</v>
      </c>
      <c r="I1227" s="14">
        <v>40</v>
      </c>
      <c r="J1227" s="14">
        <v>753.51</v>
      </c>
    </row>
    <row r="1228" spans="1:10">
      <c r="A1228" s="131" t="str">
        <f t="shared" si="19"/>
        <v>RIVP_2018-08</v>
      </c>
      <c r="B1228" s="14" t="s">
        <v>47</v>
      </c>
      <c r="C1228" s="14" t="s">
        <v>1059</v>
      </c>
      <c r="D1228" s="14" t="s">
        <v>1060</v>
      </c>
      <c r="E1228" s="14" t="s">
        <v>2189</v>
      </c>
      <c r="F1228" s="14">
        <v>10</v>
      </c>
      <c r="G1228" s="14">
        <v>1657.03</v>
      </c>
      <c r="H1228" s="14">
        <v>165.7</v>
      </c>
      <c r="I1228" s="14">
        <v>40</v>
      </c>
      <c r="J1228" s="14">
        <v>994.22</v>
      </c>
    </row>
    <row r="1229" spans="1:10" hidden="1">
      <c r="A1229" s="131" t="str">
        <f t="shared" si="19"/>
        <v>RIVP_2018-09</v>
      </c>
      <c r="B1229" s="14" t="s">
        <v>47</v>
      </c>
      <c r="C1229" s="14" t="s">
        <v>1059</v>
      </c>
      <c r="D1229" s="14" t="s">
        <v>1060</v>
      </c>
      <c r="E1229" s="14" t="s">
        <v>2268</v>
      </c>
      <c r="F1229" s="14">
        <v>10</v>
      </c>
      <c r="G1229" s="14">
        <v>1511.05</v>
      </c>
      <c r="H1229" s="14">
        <v>151.1</v>
      </c>
      <c r="I1229" s="14">
        <v>40</v>
      </c>
      <c r="J1229" s="14">
        <v>906.63</v>
      </c>
    </row>
    <row r="1230" spans="1:10" hidden="1">
      <c r="A1230" s="131" t="str">
        <f t="shared" si="19"/>
        <v>RIVP_2018-07</v>
      </c>
      <c r="B1230" s="14" t="s">
        <v>47</v>
      </c>
      <c r="C1230" s="14" t="s">
        <v>1061</v>
      </c>
      <c r="D1230" s="14" t="s">
        <v>1062</v>
      </c>
      <c r="E1230" s="14" t="s">
        <v>2144</v>
      </c>
      <c r="F1230" s="14">
        <v>10</v>
      </c>
      <c r="G1230" s="14">
        <v>1713.62</v>
      </c>
      <c r="H1230" s="14">
        <v>171.36</v>
      </c>
      <c r="I1230" s="14">
        <v>40</v>
      </c>
      <c r="J1230" s="14">
        <v>1028.17</v>
      </c>
    </row>
    <row r="1231" spans="1:10">
      <c r="A1231" s="131" t="str">
        <f t="shared" si="19"/>
        <v>RIVP_2018-08</v>
      </c>
      <c r="B1231" s="14" t="s">
        <v>47</v>
      </c>
      <c r="C1231" s="14" t="s">
        <v>1061</v>
      </c>
      <c r="D1231" s="14" t="s">
        <v>1062</v>
      </c>
      <c r="E1231" s="14" t="s">
        <v>2189</v>
      </c>
      <c r="F1231" s="14">
        <v>10</v>
      </c>
      <c r="G1231" s="14">
        <v>1482.9</v>
      </c>
      <c r="H1231" s="14">
        <v>148.29</v>
      </c>
      <c r="I1231" s="14">
        <v>40</v>
      </c>
      <c r="J1231" s="14">
        <v>889.74</v>
      </c>
    </row>
    <row r="1232" spans="1:10" hidden="1">
      <c r="A1232" s="131" t="str">
        <f t="shared" si="19"/>
        <v>RIVP_2018-09</v>
      </c>
      <c r="B1232" s="14" t="s">
        <v>47</v>
      </c>
      <c r="C1232" s="14" t="s">
        <v>1061</v>
      </c>
      <c r="D1232" s="14" t="s">
        <v>1062</v>
      </c>
      <c r="E1232" s="14" t="s">
        <v>2268</v>
      </c>
      <c r="F1232" s="14">
        <v>10</v>
      </c>
      <c r="G1232" s="14">
        <v>1590.28</v>
      </c>
      <c r="H1232" s="14">
        <v>159.03</v>
      </c>
      <c r="I1232" s="14">
        <v>40</v>
      </c>
      <c r="J1232" s="14">
        <v>954.17</v>
      </c>
    </row>
    <row r="1233" spans="1:10" hidden="1">
      <c r="A1233" s="131" t="str">
        <f t="shared" si="19"/>
        <v>SAEMES_2018-07</v>
      </c>
      <c r="B1233" s="14" t="s">
        <v>233</v>
      </c>
      <c r="C1233" s="14" t="s">
        <v>948</v>
      </c>
      <c r="D1233" s="14" t="s">
        <v>1483</v>
      </c>
      <c r="E1233" s="14" t="s">
        <v>2144</v>
      </c>
      <c r="F1233" s="14">
        <v>10</v>
      </c>
      <c r="G1233" s="14">
        <v>921.55</v>
      </c>
      <c r="H1233" s="14">
        <v>92.16</v>
      </c>
      <c r="I1233" s="14">
        <v>10</v>
      </c>
      <c r="J1233" s="14">
        <v>829.39</v>
      </c>
    </row>
    <row r="1234" spans="1:10">
      <c r="A1234" s="131" t="str">
        <f t="shared" si="19"/>
        <v>SAEMES_2018-08</v>
      </c>
      <c r="B1234" s="14" t="s">
        <v>233</v>
      </c>
      <c r="C1234" s="14" t="s">
        <v>948</v>
      </c>
      <c r="D1234" s="14" t="s">
        <v>1483</v>
      </c>
      <c r="E1234" s="14" t="s">
        <v>2189</v>
      </c>
      <c r="F1234" s="14">
        <v>10</v>
      </c>
      <c r="G1234" s="14">
        <v>1570.88</v>
      </c>
      <c r="H1234" s="14">
        <v>157.09</v>
      </c>
      <c r="I1234" s="14">
        <v>10</v>
      </c>
      <c r="J1234" s="14">
        <v>1413.79</v>
      </c>
    </row>
    <row r="1235" spans="1:10" hidden="1">
      <c r="A1235" s="131" t="str">
        <f t="shared" si="19"/>
        <v>SAEMES_2018-09</v>
      </c>
      <c r="B1235" s="14" t="s">
        <v>233</v>
      </c>
      <c r="C1235" s="14" t="s">
        <v>948</v>
      </c>
      <c r="D1235" s="14" t="s">
        <v>1483</v>
      </c>
      <c r="E1235" s="14" t="s">
        <v>2268</v>
      </c>
      <c r="F1235" s="14">
        <v>10</v>
      </c>
      <c r="G1235" s="14">
        <v>1083.9000000000001</v>
      </c>
      <c r="H1235" s="14">
        <v>108.39</v>
      </c>
      <c r="I1235" s="14">
        <v>10</v>
      </c>
      <c r="J1235" s="14">
        <v>975.51</v>
      </c>
    </row>
    <row r="1236" spans="1:10" hidden="1">
      <c r="A1236" s="131" t="str">
        <f t="shared" si="19"/>
        <v>SAEMES_2018-07</v>
      </c>
      <c r="B1236" s="14" t="s">
        <v>233</v>
      </c>
      <c r="C1236" s="14" t="s">
        <v>949</v>
      </c>
      <c r="D1236" s="14" t="s">
        <v>1484</v>
      </c>
      <c r="E1236" s="14" t="s">
        <v>2144</v>
      </c>
      <c r="F1236" s="14">
        <v>15</v>
      </c>
      <c r="G1236" s="14">
        <v>208.7</v>
      </c>
      <c r="H1236" s="14">
        <v>13.91</v>
      </c>
      <c r="I1236" s="14">
        <v>10</v>
      </c>
      <c r="J1236" s="14">
        <v>187.83</v>
      </c>
    </row>
    <row r="1237" spans="1:10">
      <c r="A1237" s="131" t="str">
        <f t="shared" si="19"/>
        <v>SAEMES_2018-08</v>
      </c>
      <c r="B1237" s="14" t="s">
        <v>233</v>
      </c>
      <c r="C1237" s="14" t="s">
        <v>949</v>
      </c>
      <c r="D1237" s="14" t="s">
        <v>1484</v>
      </c>
      <c r="E1237" s="14" t="s">
        <v>2189</v>
      </c>
      <c r="F1237" s="14">
        <v>15</v>
      </c>
      <c r="G1237" s="14">
        <v>97.2</v>
      </c>
      <c r="H1237" s="14">
        <v>6.48</v>
      </c>
      <c r="I1237" s="14">
        <v>10</v>
      </c>
      <c r="J1237" s="14">
        <v>87.48</v>
      </c>
    </row>
    <row r="1238" spans="1:10" hidden="1">
      <c r="A1238" s="131" t="str">
        <f t="shared" si="19"/>
        <v>SAEMES_2018-09</v>
      </c>
      <c r="B1238" s="14" t="s">
        <v>233</v>
      </c>
      <c r="C1238" s="14" t="s">
        <v>949</v>
      </c>
      <c r="D1238" s="14" t="s">
        <v>1484</v>
      </c>
      <c r="E1238" s="14" t="s">
        <v>2268</v>
      </c>
      <c r="F1238" s="14">
        <v>15</v>
      </c>
      <c r="G1238" s="14">
        <v>34.200000000000003</v>
      </c>
      <c r="H1238" s="14">
        <v>2.2799999999999998</v>
      </c>
      <c r="I1238" s="14">
        <v>10</v>
      </c>
      <c r="J1238" s="14">
        <v>30.78</v>
      </c>
    </row>
    <row r="1239" spans="1:10" hidden="1">
      <c r="A1239" s="131" t="str">
        <f t="shared" si="19"/>
        <v>SAEMES_2018-07</v>
      </c>
      <c r="B1239" s="14" t="s">
        <v>233</v>
      </c>
      <c r="C1239" s="14" t="s">
        <v>823</v>
      </c>
      <c r="D1239" s="14" t="s">
        <v>1485</v>
      </c>
      <c r="E1239" s="14" t="s">
        <v>2144</v>
      </c>
      <c r="F1239" s="14">
        <v>15</v>
      </c>
      <c r="G1239" s="14">
        <v>518.6</v>
      </c>
      <c r="H1239" s="14">
        <v>34.57</v>
      </c>
      <c r="I1239" s="14">
        <v>10</v>
      </c>
      <c r="J1239" s="14">
        <v>466.74</v>
      </c>
    </row>
    <row r="1240" spans="1:10">
      <c r="A1240" s="131" t="str">
        <f t="shared" si="19"/>
        <v>SAEMES_2018-08</v>
      </c>
      <c r="B1240" s="14" t="s">
        <v>233</v>
      </c>
      <c r="C1240" s="14" t="s">
        <v>823</v>
      </c>
      <c r="D1240" s="14" t="s">
        <v>1485</v>
      </c>
      <c r="E1240" s="14" t="s">
        <v>2189</v>
      </c>
      <c r="F1240" s="14">
        <v>15</v>
      </c>
      <c r="G1240" s="14">
        <v>46.2</v>
      </c>
      <c r="H1240" s="14">
        <v>3.08</v>
      </c>
      <c r="I1240" s="14">
        <v>10</v>
      </c>
      <c r="J1240" s="14">
        <v>41.58</v>
      </c>
    </row>
    <row r="1241" spans="1:10" hidden="1">
      <c r="A1241" s="131" t="str">
        <f t="shared" si="19"/>
        <v>SAEMES_2018-09</v>
      </c>
      <c r="B1241" s="14" t="s">
        <v>233</v>
      </c>
      <c r="C1241" s="14" t="s">
        <v>823</v>
      </c>
      <c r="D1241" s="14" t="s">
        <v>1485</v>
      </c>
      <c r="E1241" s="14" t="s">
        <v>2268</v>
      </c>
      <c r="F1241" s="14">
        <v>15</v>
      </c>
      <c r="G1241" s="14">
        <v>231.6</v>
      </c>
      <c r="H1241" s="14">
        <v>15.44</v>
      </c>
      <c r="I1241" s="14">
        <v>10</v>
      </c>
      <c r="J1241" s="14">
        <v>208.44</v>
      </c>
    </row>
    <row r="1242" spans="1:10" hidden="1">
      <c r="A1242" s="131" t="str">
        <f t="shared" si="19"/>
        <v>SAEMES_2018-07</v>
      </c>
      <c r="B1242" s="14" t="s">
        <v>233</v>
      </c>
      <c r="C1242" s="14" t="s">
        <v>824</v>
      </c>
      <c r="D1242" s="14" t="s">
        <v>535</v>
      </c>
      <c r="E1242" s="14" t="s">
        <v>2144</v>
      </c>
      <c r="F1242" s="14">
        <v>25</v>
      </c>
      <c r="G1242" s="14">
        <v>3047.07</v>
      </c>
      <c r="H1242" s="14">
        <v>121.88</v>
      </c>
      <c r="I1242" s="14">
        <v>30</v>
      </c>
      <c r="J1242" s="14">
        <v>2132.9499999999998</v>
      </c>
    </row>
    <row r="1243" spans="1:10">
      <c r="A1243" s="131" t="str">
        <f t="shared" si="19"/>
        <v>SAEMES_2018-08</v>
      </c>
      <c r="B1243" s="14" t="s">
        <v>233</v>
      </c>
      <c r="C1243" s="14" t="s">
        <v>824</v>
      </c>
      <c r="D1243" s="14" t="s">
        <v>535</v>
      </c>
      <c r="E1243" s="14" t="s">
        <v>2189</v>
      </c>
      <c r="F1243" s="14">
        <v>26.16</v>
      </c>
      <c r="G1243" s="14">
        <v>2479.7600000000002</v>
      </c>
      <c r="H1243" s="14">
        <v>94.79</v>
      </c>
      <c r="I1243" s="14">
        <v>24.27</v>
      </c>
      <c r="J1243" s="14">
        <v>1878</v>
      </c>
    </row>
    <row r="1244" spans="1:10" hidden="1">
      <c r="A1244" s="131" t="str">
        <f t="shared" si="19"/>
        <v>SAEMES_2018-09</v>
      </c>
      <c r="B1244" s="14" t="s">
        <v>233</v>
      </c>
      <c r="C1244" s="14" t="s">
        <v>824</v>
      </c>
      <c r="D1244" s="14" t="s">
        <v>535</v>
      </c>
      <c r="E1244" s="14" t="s">
        <v>2268</v>
      </c>
      <c r="F1244" s="14">
        <v>37</v>
      </c>
      <c r="G1244" s="14">
        <v>2914.62</v>
      </c>
      <c r="H1244" s="14">
        <v>78.77</v>
      </c>
      <c r="I1244" s="14" t="s">
        <v>535</v>
      </c>
      <c r="J1244" s="14" t="s">
        <v>535</v>
      </c>
    </row>
    <row r="1245" spans="1:10" hidden="1">
      <c r="A1245" s="131" t="str">
        <f t="shared" si="19"/>
        <v>SAEMES_2018-07</v>
      </c>
      <c r="B1245" s="14" t="s">
        <v>233</v>
      </c>
      <c r="C1245" s="14" t="s">
        <v>825</v>
      </c>
      <c r="D1245" s="14" t="s">
        <v>1486</v>
      </c>
      <c r="E1245" s="14" t="s">
        <v>2144</v>
      </c>
      <c r="F1245" s="14">
        <v>20</v>
      </c>
      <c r="G1245" s="14">
        <v>496.2</v>
      </c>
      <c r="H1245" s="14">
        <v>24.81</v>
      </c>
      <c r="I1245" s="14">
        <v>10</v>
      </c>
      <c r="J1245" s="14">
        <v>446.58</v>
      </c>
    </row>
    <row r="1246" spans="1:10">
      <c r="A1246" s="131" t="str">
        <f t="shared" si="19"/>
        <v>SAEMES_2018-08</v>
      </c>
      <c r="B1246" s="14" t="s">
        <v>233</v>
      </c>
      <c r="C1246" s="14" t="s">
        <v>825</v>
      </c>
      <c r="D1246" s="14" t="s">
        <v>1486</v>
      </c>
      <c r="E1246" s="14" t="s">
        <v>2189</v>
      </c>
      <c r="F1246" s="14">
        <v>20</v>
      </c>
      <c r="G1246" s="14">
        <v>497.2</v>
      </c>
      <c r="H1246" s="14">
        <v>24.86</v>
      </c>
      <c r="I1246" s="14">
        <v>10</v>
      </c>
      <c r="J1246" s="14">
        <v>447.48</v>
      </c>
    </row>
    <row r="1247" spans="1:10" hidden="1">
      <c r="A1247" s="131" t="str">
        <f t="shared" si="19"/>
        <v>SAEMES_2018-09</v>
      </c>
      <c r="B1247" s="14" t="s">
        <v>233</v>
      </c>
      <c r="C1247" s="14" t="s">
        <v>825</v>
      </c>
      <c r="D1247" s="14" t="s">
        <v>1486</v>
      </c>
      <c r="E1247" s="14" t="s">
        <v>2268</v>
      </c>
      <c r="F1247" s="14">
        <v>20</v>
      </c>
      <c r="G1247" s="14">
        <v>520.6</v>
      </c>
      <c r="H1247" s="14">
        <v>26.03</v>
      </c>
      <c r="I1247" s="14">
        <v>10</v>
      </c>
      <c r="J1247" s="14">
        <v>468.54</v>
      </c>
    </row>
    <row r="1248" spans="1:10">
      <c r="A1248" s="131" t="str">
        <f t="shared" si="19"/>
        <v>SAEMES_2018-08</v>
      </c>
      <c r="B1248" s="14" t="s">
        <v>233</v>
      </c>
      <c r="C1248" s="14" t="s">
        <v>2200</v>
      </c>
      <c r="D1248" s="14" t="s">
        <v>535</v>
      </c>
      <c r="E1248" s="14" t="s">
        <v>2189</v>
      </c>
      <c r="F1248" s="14">
        <v>7</v>
      </c>
      <c r="G1248" s="14">
        <v>343</v>
      </c>
      <c r="H1248" s="14">
        <v>49</v>
      </c>
      <c r="I1248" s="14">
        <v>30</v>
      </c>
      <c r="J1248" s="14">
        <v>240.1</v>
      </c>
    </row>
    <row r="1249" spans="1:10" hidden="1">
      <c r="A1249" s="131" t="str">
        <f t="shared" si="19"/>
        <v>SAEMES_2018-09</v>
      </c>
      <c r="B1249" s="14" t="s">
        <v>233</v>
      </c>
      <c r="C1249" s="14" t="s">
        <v>2200</v>
      </c>
      <c r="D1249" s="14" t="s">
        <v>535</v>
      </c>
      <c r="E1249" s="14" t="s">
        <v>2268</v>
      </c>
      <c r="F1249" s="14">
        <v>7</v>
      </c>
      <c r="G1249" s="14">
        <v>642</v>
      </c>
      <c r="H1249" s="14">
        <v>91.71</v>
      </c>
      <c r="I1249" s="14">
        <v>30</v>
      </c>
      <c r="J1249" s="14">
        <v>449.4</v>
      </c>
    </row>
    <row r="1250" spans="1:10" hidden="1">
      <c r="A1250" s="131" t="str">
        <f t="shared" si="19"/>
        <v>SAEMES_2018-07</v>
      </c>
      <c r="B1250" s="14" t="s">
        <v>233</v>
      </c>
      <c r="C1250" s="14" t="s">
        <v>826</v>
      </c>
      <c r="D1250" s="14" t="s">
        <v>535</v>
      </c>
      <c r="E1250" s="14" t="s">
        <v>2144</v>
      </c>
      <c r="F1250" s="14">
        <v>9.19</v>
      </c>
      <c r="G1250" s="14">
        <v>2828</v>
      </c>
      <c r="H1250" s="14">
        <v>307.73</v>
      </c>
      <c r="I1250" s="14">
        <v>30</v>
      </c>
      <c r="J1250" s="14">
        <v>1979.6</v>
      </c>
    </row>
    <row r="1251" spans="1:10">
      <c r="A1251" s="131" t="str">
        <f t="shared" si="19"/>
        <v>SAEMES_2018-08</v>
      </c>
      <c r="B1251" s="14" t="s">
        <v>233</v>
      </c>
      <c r="C1251" s="14" t="s">
        <v>826</v>
      </c>
      <c r="D1251" s="14" t="s">
        <v>535</v>
      </c>
      <c r="E1251" s="14" t="s">
        <v>2189</v>
      </c>
      <c r="F1251" s="14">
        <v>15</v>
      </c>
      <c r="G1251" s="14">
        <v>2345</v>
      </c>
      <c r="H1251" s="14">
        <v>156.33000000000001</v>
      </c>
      <c r="I1251" s="14">
        <v>30</v>
      </c>
      <c r="J1251" s="14">
        <v>1641.5</v>
      </c>
    </row>
    <row r="1252" spans="1:10" hidden="1">
      <c r="A1252" s="131" t="str">
        <f t="shared" si="19"/>
        <v>SAEMES_2018-09</v>
      </c>
      <c r="B1252" s="14" t="s">
        <v>233</v>
      </c>
      <c r="C1252" s="14" t="s">
        <v>826</v>
      </c>
      <c r="D1252" s="14" t="s">
        <v>535</v>
      </c>
      <c r="E1252" s="14" t="s">
        <v>2268</v>
      </c>
      <c r="F1252" s="14">
        <v>15</v>
      </c>
      <c r="G1252" s="14">
        <v>3866.9</v>
      </c>
      <c r="H1252" s="14">
        <v>257.79000000000002</v>
      </c>
      <c r="I1252" s="14">
        <v>30</v>
      </c>
      <c r="J1252" s="14">
        <v>2706.83</v>
      </c>
    </row>
    <row r="1253" spans="1:10" hidden="1">
      <c r="A1253" s="131" t="str">
        <f t="shared" si="19"/>
        <v>SAEMES_2018-07</v>
      </c>
      <c r="B1253" s="14" t="s">
        <v>233</v>
      </c>
      <c r="C1253" s="14" t="s">
        <v>1545</v>
      </c>
      <c r="D1253" s="14" t="s">
        <v>1546</v>
      </c>
      <c r="E1253" s="14" t="s">
        <v>2144</v>
      </c>
      <c r="F1253" s="14">
        <v>50</v>
      </c>
      <c r="G1253" s="14">
        <v>951.6</v>
      </c>
      <c r="H1253" s="14">
        <v>19.03</v>
      </c>
      <c r="I1253" s="14">
        <v>10</v>
      </c>
      <c r="J1253" s="14">
        <v>856.44</v>
      </c>
    </row>
    <row r="1254" spans="1:10">
      <c r="A1254" s="131" t="str">
        <f t="shared" si="19"/>
        <v>SAEMES_2018-08</v>
      </c>
      <c r="B1254" s="14" t="s">
        <v>233</v>
      </c>
      <c r="C1254" s="14" t="s">
        <v>1545</v>
      </c>
      <c r="D1254" s="14" t="s">
        <v>1546</v>
      </c>
      <c r="E1254" s="14" t="s">
        <v>2189</v>
      </c>
      <c r="F1254" s="14">
        <v>50</v>
      </c>
      <c r="G1254" s="14">
        <v>204.2</v>
      </c>
      <c r="H1254" s="14">
        <v>4.08</v>
      </c>
      <c r="I1254" s="14">
        <v>10</v>
      </c>
      <c r="J1254" s="14">
        <v>183.78</v>
      </c>
    </row>
    <row r="1255" spans="1:10" hidden="1">
      <c r="A1255" s="131" t="str">
        <f t="shared" si="19"/>
        <v>SAEMES_2018-09</v>
      </c>
      <c r="B1255" s="14" t="s">
        <v>233</v>
      </c>
      <c r="C1255" s="14" t="s">
        <v>1545</v>
      </c>
      <c r="D1255" s="14" t="s">
        <v>1546</v>
      </c>
      <c r="E1255" s="14" t="s">
        <v>2268</v>
      </c>
      <c r="F1255" s="14">
        <v>50</v>
      </c>
      <c r="G1255" s="14">
        <v>1260.2</v>
      </c>
      <c r="H1255" s="14">
        <v>25.2</v>
      </c>
      <c r="I1255" s="14">
        <v>10</v>
      </c>
      <c r="J1255" s="14">
        <v>1134.18</v>
      </c>
    </row>
    <row r="1256" spans="1:10">
      <c r="A1256" s="131" t="str">
        <f t="shared" si="19"/>
        <v>SAEMES_2018-08</v>
      </c>
      <c r="B1256" s="14" t="s">
        <v>233</v>
      </c>
      <c r="C1256" s="14" t="s">
        <v>2201</v>
      </c>
      <c r="D1256" s="14" t="s">
        <v>535</v>
      </c>
      <c r="E1256" s="14" t="s">
        <v>2189</v>
      </c>
      <c r="F1256" s="14">
        <v>14.19</v>
      </c>
      <c r="G1256" s="14">
        <v>427.4</v>
      </c>
      <c r="H1256" s="14">
        <v>30.12</v>
      </c>
      <c r="I1256" s="14">
        <v>10</v>
      </c>
      <c r="J1256" s="14">
        <v>384.66</v>
      </c>
    </row>
    <row r="1257" spans="1:10" hidden="1">
      <c r="A1257" s="131" t="str">
        <f t="shared" si="19"/>
        <v>SAEMES_2018-09</v>
      </c>
      <c r="B1257" s="14" t="s">
        <v>233</v>
      </c>
      <c r="C1257" s="14" t="s">
        <v>2201</v>
      </c>
      <c r="D1257" s="14" t="s">
        <v>535</v>
      </c>
      <c r="E1257" s="14" t="s">
        <v>2268</v>
      </c>
      <c r="F1257" s="14">
        <v>20</v>
      </c>
      <c r="G1257" s="14">
        <v>382.8</v>
      </c>
      <c r="H1257" s="14">
        <v>19.14</v>
      </c>
      <c r="I1257" s="14">
        <v>10</v>
      </c>
      <c r="J1257" s="14">
        <v>344.52</v>
      </c>
    </row>
    <row r="1258" spans="1:10" hidden="1">
      <c r="A1258" s="131" t="str">
        <f t="shared" si="19"/>
        <v>SAEMES_2018-07</v>
      </c>
      <c r="B1258" s="14" t="s">
        <v>233</v>
      </c>
      <c r="C1258" s="14" t="s">
        <v>2324</v>
      </c>
      <c r="D1258" s="14" t="s">
        <v>2325</v>
      </c>
      <c r="E1258" s="14" t="s">
        <v>2144</v>
      </c>
      <c r="F1258" s="14">
        <v>15</v>
      </c>
      <c r="G1258" s="14">
        <v>104.7</v>
      </c>
      <c r="H1258" s="14">
        <v>6.98</v>
      </c>
      <c r="I1258" s="14">
        <v>10</v>
      </c>
      <c r="J1258" s="14">
        <v>94.23</v>
      </c>
    </row>
    <row r="1259" spans="1:10" hidden="1">
      <c r="A1259" s="131" t="str">
        <f t="shared" ref="A1259:A1322" si="20">CONCATENATE(B1259,"_",E1259)</f>
        <v>SAEMES_2018-07</v>
      </c>
      <c r="B1259" s="14" t="s">
        <v>233</v>
      </c>
      <c r="C1259" s="14" t="s">
        <v>827</v>
      </c>
      <c r="D1259" s="14" t="s">
        <v>1487</v>
      </c>
      <c r="E1259" s="14" t="s">
        <v>2144</v>
      </c>
      <c r="F1259" s="14">
        <v>25</v>
      </c>
      <c r="G1259" s="14">
        <v>1090.45</v>
      </c>
      <c r="H1259" s="14">
        <v>43.62</v>
      </c>
      <c r="I1259" s="14">
        <v>10</v>
      </c>
      <c r="J1259" s="14">
        <v>981.4</v>
      </c>
    </row>
    <row r="1260" spans="1:10">
      <c r="A1260" s="131" t="str">
        <f t="shared" si="20"/>
        <v>SAEMES_2018-08</v>
      </c>
      <c r="B1260" s="14" t="s">
        <v>233</v>
      </c>
      <c r="C1260" s="14" t="s">
        <v>827</v>
      </c>
      <c r="D1260" s="14" t="s">
        <v>1487</v>
      </c>
      <c r="E1260" s="14" t="s">
        <v>2189</v>
      </c>
      <c r="F1260" s="14">
        <v>25</v>
      </c>
      <c r="G1260" s="14">
        <v>324</v>
      </c>
      <c r="H1260" s="14">
        <v>12.96</v>
      </c>
      <c r="I1260" s="14">
        <v>10</v>
      </c>
      <c r="J1260" s="14">
        <v>291.60000000000002</v>
      </c>
    </row>
    <row r="1261" spans="1:10" hidden="1">
      <c r="A1261" s="131" t="str">
        <f t="shared" si="20"/>
        <v>SAEMES_2018-09</v>
      </c>
      <c r="B1261" s="14" t="s">
        <v>233</v>
      </c>
      <c r="C1261" s="14" t="s">
        <v>827</v>
      </c>
      <c r="D1261" s="14" t="s">
        <v>1487</v>
      </c>
      <c r="E1261" s="14" t="s">
        <v>2268</v>
      </c>
      <c r="F1261" s="14">
        <v>25</v>
      </c>
      <c r="G1261" s="14">
        <v>529.5</v>
      </c>
      <c r="H1261" s="14">
        <v>21.18</v>
      </c>
      <c r="I1261" s="14">
        <v>10</v>
      </c>
      <c r="J1261" s="14">
        <v>476.55</v>
      </c>
    </row>
    <row r="1262" spans="1:10" hidden="1">
      <c r="A1262" s="131" t="str">
        <f t="shared" si="20"/>
        <v>SAEMES_2018-07</v>
      </c>
      <c r="B1262" s="14" t="s">
        <v>233</v>
      </c>
      <c r="C1262" s="14" t="s">
        <v>828</v>
      </c>
      <c r="D1262" s="14" t="s">
        <v>1488</v>
      </c>
      <c r="E1262" s="14" t="s">
        <v>2144</v>
      </c>
      <c r="F1262" s="14">
        <v>15</v>
      </c>
      <c r="G1262" s="14">
        <v>717</v>
      </c>
      <c r="H1262" s="14">
        <v>47.8</v>
      </c>
      <c r="I1262" s="14">
        <v>10</v>
      </c>
      <c r="J1262" s="14">
        <v>645.29999999999995</v>
      </c>
    </row>
    <row r="1263" spans="1:10">
      <c r="A1263" s="131" t="str">
        <f t="shared" si="20"/>
        <v>SAEMES_2018-08</v>
      </c>
      <c r="B1263" s="14" t="s">
        <v>233</v>
      </c>
      <c r="C1263" s="14" t="s">
        <v>828</v>
      </c>
      <c r="D1263" s="14" t="s">
        <v>1488</v>
      </c>
      <c r="E1263" s="14" t="s">
        <v>2189</v>
      </c>
      <c r="F1263" s="14">
        <v>15</v>
      </c>
      <c r="G1263" s="14">
        <v>1385.5</v>
      </c>
      <c r="H1263" s="14">
        <v>92.37</v>
      </c>
      <c r="I1263" s="14">
        <v>10</v>
      </c>
      <c r="J1263" s="14">
        <v>1246.95</v>
      </c>
    </row>
    <row r="1264" spans="1:10" hidden="1">
      <c r="A1264" s="131" t="str">
        <f t="shared" si="20"/>
        <v>SAEMES_2018-09</v>
      </c>
      <c r="B1264" s="14" t="s">
        <v>233</v>
      </c>
      <c r="C1264" s="14" t="s">
        <v>828</v>
      </c>
      <c r="D1264" s="14" t="s">
        <v>1488</v>
      </c>
      <c r="E1264" s="14" t="s">
        <v>2268</v>
      </c>
      <c r="F1264" s="14">
        <v>15</v>
      </c>
      <c r="G1264" s="14">
        <v>1443.5</v>
      </c>
      <c r="H1264" s="14">
        <v>96.23</v>
      </c>
      <c r="I1264" s="14">
        <v>10</v>
      </c>
      <c r="J1264" s="14">
        <v>1299.1500000000001</v>
      </c>
    </row>
    <row r="1265" spans="1:10" hidden="1">
      <c r="A1265" s="131" t="str">
        <f t="shared" si="20"/>
        <v>SAEMES_2018-07</v>
      </c>
      <c r="B1265" s="14" t="s">
        <v>233</v>
      </c>
      <c r="C1265" s="14" t="s">
        <v>950</v>
      </c>
      <c r="D1265" s="14" t="s">
        <v>1489</v>
      </c>
      <c r="E1265" s="14" t="s">
        <v>2144</v>
      </c>
      <c r="F1265" s="14">
        <v>15</v>
      </c>
      <c r="G1265" s="14">
        <v>1481.85</v>
      </c>
      <c r="H1265" s="14">
        <v>98.79</v>
      </c>
      <c r="I1265" s="14">
        <v>10</v>
      </c>
      <c r="J1265" s="14">
        <v>1333.66</v>
      </c>
    </row>
    <row r="1266" spans="1:10">
      <c r="A1266" s="131" t="str">
        <f t="shared" si="20"/>
        <v>SAEMES_2018-08</v>
      </c>
      <c r="B1266" s="14" t="s">
        <v>233</v>
      </c>
      <c r="C1266" s="14" t="s">
        <v>950</v>
      </c>
      <c r="D1266" s="14" t="s">
        <v>1489</v>
      </c>
      <c r="E1266" s="14" t="s">
        <v>2189</v>
      </c>
      <c r="F1266" s="14">
        <v>15</v>
      </c>
      <c r="G1266" s="14">
        <v>253.25</v>
      </c>
      <c r="H1266" s="14">
        <v>16.88</v>
      </c>
      <c r="I1266" s="14">
        <v>10</v>
      </c>
      <c r="J1266" s="14">
        <v>227.93</v>
      </c>
    </row>
    <row r="1267" spans="1:10" hidden="1">
      <c r="A1267" s="131" t="str">
        <f t="shared" si="20"/>
        <v>SAEMES_2018-09</v>
      </c>
      <c r="B1267" s="14" t="s">
        <v>233</v>
      </c>
      <c r="C1267" s="14" t="s">
        <v>950</v>
      </c>
      <c r="D1267" s="14" t="s">
        <v>1489</v>
      </c>
      <c r="E1267" s="14" t="s">
        <v>2268</v>
      </c>
      <c r="F1267" s="14">
        <v>15</v>
      </c>
      <c r="G1267" s="14">
        <v>755.5</v>
      </c>
      <c r="H1267" s="14">
        <v>50.37</v>
      </c>
      <c r="I1267" s="14">
        <v>10</v>
      </c>
      <c r="J1267" s="14">
        <v>679.95</v>
      </c>
    </row>
    <row r="1268" spans="1:10" hidden="1">
      <c r="A1268" s="131" t="str">
        <f t="shared" si="20"/>
        <v>SAEMES_2018-07</v>
      </c>
      <c r="B1268" s="14" t="s">
        <v>233</v>
      </c>
      <c r="C1268" s="14" t="s">
        <v>829</v>
      </c>
      <c r="D1268" s="14" t="s">
        <v>830</v>
      </c>
      <c r="E1268" s="14" t="s">
        <v>2144</v>
      </c>
      <c r="F1268" s="14">
        <v>9</v>
      </c>
      <c r="G1268" s="14">
        <v>1700.5</v>
      </c>
      <c r="H1268" s="14">
        <v>188.94</v>
      </c>
      <c r="I1268" s="14">
        <v>30</v>
      </c>
      <c r="J1268" s="14">
        <v>1190.3499999999999</v>
      </c>
    </row>
    <row r="1269" spans="1:10">
      <c r="A1269" s="131" t="str">
        <f t="shared" si="20"/>
        <v>SAEMES_2018-08</v>
      </c>
      <c r="B1269" s="14" t="s">
        <v>233</v>
      </c>
      <c r="C1269" s="14" t="s">
        <v>829</v>
      </c>
      <c r="D1269" s="14" t="s">
        <v>830</v>
      </c>
      <c r="E1269" s="14" t="s">
        <v>2189</v>
      </c>
      <c r="F1269" s="14">
        <v>9</v>
      </c>
      <c r="G1269" s="14">
        <v>1188</v>
      </c>
      <c r="H1269" s="14">
        <v>132</v>
      </c>
      <c r="I1269" s="14">
        <v>30</v>
      </c>
      <c r="J1269" s="14">
        <v>831.6</v>
      </c>
    </row>
    <row r="1270" spans="1:10" hidden="1">
      <c r="A1270" s="131" t="str">
        <f t="shared" si="20"/>
        <v>SAEMES_2018-09</v>
      </c>
      <c r="B1270" s="14" t="s">
        <v>233</v>
      </c>
      <c r="C1270" s="14" t="s">
        <v>829</v>
      </c>
      <c r="D1270" s="14" t="s">
        <v>830</v>
      </c>
      <c r="E1270" s="14" t="s">
        <v>2268</v>
      </c>
      <c r="F1270" s="14">
        <v>9</v>
      </c>
      <c r="G1270" s="14">
        <v>1867.9</v>
      </c>
      <c r="H1270" s="14">
        <v>207.54</v>
      </c>
      <c r="I1270" s="14">
        <v>30</v>
      </c>
      <c r="J1270" s="14">
        <v>1307.53</v>
      </c>
    </row>
    <row r="1271" spans="1:10" hidden="1">
      <c r="A1271" s="131" t="str">
        <f t="shared" si="20"/>
        <v>SAEMES_2018-07</v>
      </c>
      <c r="B1271" s="14" t="s">
        <v>233</v>
      </c>
      <c r="C1271" s="14" t="s">
        <v>831</v>
      </c>
      <c r="D1271" s="14" t="s">
        <v>1490</v>
      </c>
      <c r="E1271" s="14" t="s">
        <v>2144</v>
      </c>
      <c r="F1271" s="14">
        <v>24.19</v>
      </c>
      <c r="G1271" s="14">
        <v>836</v>
      </c>
      <c r="H1271" s="14">
        <v>34.56</v>
      </c>
      <c r="I1271" s="14">
        <v>10</v>
      </c>
      <c r="J1271" s="14">
        <v>752.4</v>
      </c>
    </row>
    <row r="1272" spans="1:10">
      <c r="A1272" s="131" t="str">
        <f t="shared" si="20"/>
        <v>SAEMES_2018-08</v>
      </c>
      <c r="B1272" s="14" t="s">
        <v>233</v>
      </c>
      <c r="C1272" s="14" t="s">
        <v>831</v>
      </c>
      <c r="D1272" s="14" t="s">
        <v>1490</v>
      </c>
      <c r="E1272" s="14" t="s">
        <v>2189</v>
      </c>
      <c r="F1272" s="14">
        <v>25</v>
      </c>
      <c r="G1272" s="14">
        <v>645.20000000000005</v>
      </c>
      <c r="H1272" s="14">
        <v>25.81</v>
      </c>
      <c r="I1272" s="14">
        <v>10</v>
      </c>
      <c r="J1272" s="14">
        <v>580.67999999999995</v>
      </c>
    </row>
    <row r="1273" spans="1:10" hidden="1">
      <c r="A1273" s="131" t="str">
        <f t="shared" si="20"/>
        <v>SAEMES_2018-09</v>
      </c>
      <c r="B1273" s="14" t="s">
        <v>233</v>
      </c>
      <c r="C1273" s="14" t="s">
        <v>831</v>
      </c>
      <c r="D1273" s="14" t="s">
        <v>1490</v>
      </c>
      <c r="E1273" s="14" t="s">
        <v>2268</v>
      </c>
      <c r="F1273" s="14">
        <v>24.17</v>
      </c>
      <c r="G1273" s="14">
        <v>276</v>
      </c>
      <c r="H1273" s="14">
        <v>11.42</v>
      </c>
      <c r="I1273" s="14">
        <v>10</v>
      </c>
      <c r="J1273" s="14">
        <v>248.4</v>
      </c>
    </row>
    <row r="1274" spans="1:10" hidden="1">
      <c r="A1274" s="131" t="str">
        <f t="shared" si="20"/>
        <v>SARL DT 6 NANTES_2018-07</v>
      </c>
      <c r="B1274" s="14" t="s">
        <v>1833</v>
      </c>
      <c r="C1274" s="14" t="s">
        <v>1834</v>
      </c>
      <c r="D1274" s="14" t="s">
        <v>535</v>
      </c>
      <c r="E1274" s="14" t="s">
        <v>2144</v>
      </c>
      <c r="F1274" s="14">
        <v>19</v>
      </c>
      <c r="G1274" s="14">
        <v>756.72</v>
      </c>
      <c r="H1274" s="14">
        <v>39.83</v>
      </c>
      <c r="I1274" s="14">
        <v>40</v>
      </c>
      <c r="J1274" s="14">
        <v>454.03</v>
      </c>
    </row>
    <row r="1275" spans="1:10">
      <c r="A1275" s="131" t="str">
        <f t="shared" si="20"/>
        <v>SARL DT 6 NANTES_2018-08</v>
      </c>
      <c r="B1275" s="14" t="s">
        <v>1833</v>
      </c>
      <c r="C1275" s="14" t="s">
        <v>1834</v>
      </c>
      <c r="D1275" s="14" t="s">
        <v>535</v>
      </c>
      <c r="E1275" s="14" t="s">
        <v>2189</v>
      </c>
      <c r="F1275" s="14">
        <v>19</v>
      </c>
      <c r="G1275" s="14">
        <v>809.79</v>
      </c>
      <c r="H1275" s="14">
        <v>42.62</v>
      </c>
      <c r="I1275" s="14">
        <v>40</v>
      </c>
      <c r="J1275" s="14">
        <v>485.87</v>
      </c>
    </row>
    <row r="1276" spans="1:10" hidden="1">
      <c r="A1276" s="131" t="str">
        <f t="shared" si="20"/>
        <v>SARL DT 6 NANTES_2018-09</v>
      </c>
      <c r="B1276" s="14" t="s">
        <v>1833</v>
      </c>
      <c r="C1276" s="14" t="s">
        <v>1834</v>
      </c>
      <c r="D1276" s="14" t="s">
        <v>535</v>
      </c>
      <c r="E1276" s="14" t="s">
        <v>2268</v>
      </c>
      <c r="F1276" s="14">
        <v>19</v>
      </c>
      <c r="G1276" s="14">
        <v>897.92</v>
      </c>
      <c r="H1276" s="14">
        <v>47.26</v>
      </c>
      <c r="I1276" s="14">
        <v>40</v>
      </c>
      <c r="J1276" s="14">
        <v>538.75</v>
      </c>
    </row>
    <row r="1277" spans="1:10" hidden="1">
      <c r="A1277" s="131" t="str">
        <f t="shared" si="20"/>
        <v>SCI Hotel de Valfons_2018-07</v>
      </c>
      <c r="B1277" s="14" t="s">
        <v>935</v>
      </c>
      <c r="C1277" s="14" t="s">
        <v>951</v>
      </c>
      <c r="D1277" s="14" t="s">
        <v>535</v>
      </c>
      <c r="E1277" s="14" t="s">
        <v>2144</v>
      </c>
      <c r="F1277" s="14">
        <v>32</v>
      </c>
      <c r="G1277" s="14">
        <v>1967.22</v>
      </c>
      <c r="H1277" s="14">
        <v>61.48</v>
      </c>
      <c r="I1277" s="14">
        <v>20</v>
      </c>
      <c r="J1277" s="14">
        <v>1573.78</v>
      </c>
    </row>
    <row r="1278" spans="1:10">
      <c r="A1278" s="131" t="str">
        <f t="shared" si="20"/>
        <v>SCI Hotel de Valfons_2018-08</v>
      </c>
      <c r="B1278" s="14" t="s">
        <v>935</v>
      </c>
      <c r="C1278" s="14" t="s">
        <v>951</v>
      </c>
      <c r="D1278" s="14" t="s">
        <v>535</v>
      </c>
      <c r="E1278" s="14" t="s">
        <v>2189</v>
      </c>
      <c r="F1278" s="14">
        <v>32</v>
      </c>
      <c r="G1278" s="14">
        <v>1547.22</v>
      </c>
      <c r="H1278" s="14">
        <v>48.35</v>
      </c>
      <c r="I1278" s="14">
        <v>20</v>
      </c>
      <c r="J1278" s="14">
        <v>1237.78</v>
      </c>
    </row>
    <row r="1279" spans="1:10" hidden="1">
      <c r="A1279" s="131" t="str">
        <f t="shared" si="20"/>
        <v>SCI Hotel de Valfons_2018-09</v>
      </c>
      <c r="B1279" s="14" t="s">
        <v>935</v>
      </c>
      <c r="C1279" s="14" t="s">
        <v>951</v>
      </c>
      <c r="D1279" s="14" t="s">
        <v>535</v>
      </c>
      <c r="E1279" s="14" t="s">
        <v>2268</v>
      </c>
      <c r="F1279" s="14">
        <v>32</v>
      </c>
      <c r="G1279" s="14">
        <v>2196.38</v>
      </c>
      <c r="H1279" s="14">
        <v>68.64</v>
      </c>
      <c r="I1279" s="14">
        <v>20</v>
      </c>
      <c r="J1279" s="14">
        <v>1757.1</v>
      </c>
    </row>
    <row r="1280" spans="1:10" hidden="1">
      <c r="A1280" s="131" t="str">
        <f t="shared" si="20"/>
        <v>SCI Isabou_2018-07</v>
      </c>
      <c r="B1280" s="14" t="s">
        <v>479</v>
      </c>
      <c r="C1280" s="14" t="s">
        <v>834</v>
      </c>
      <c r="D1280" s="14" t="s">
        <v>535</v>
      </c>
      <c r="E1280" s="14" t="s">
        <v>2144</v>
      </c>
      <c r="F1280" s="14">
        <v>5</v>
      </c>
      <c r="G1280" s="14">
        <v>177</v>
      </c>
      <c r="H1280" s="14">
        <v>35.4</v>
      </c>
      <c r="I1280" s="14">
        <v>30</v>
      </c>
      <c r="J1280" s="14">
        <v>123.9</v>
      </c>
    </row>
    <row r="1281" spans="1:10">
      <c r="A1281" s="131" t="str">
        <f t="shared" si="20"/>
        <v>SCI Isabou_2018-08</v>
      </c>
      <c r="B1281" s="14" t="s">
        <v>479</v>
      </c>
      <c r="C1281" s="14" t="s">
        <v>834</v>
      </c>
      <c r="D1281" s="14" t="s">
        <v>535</v>
      </c>
      <c r="E1281" s="14" t="s">
        <v>2189</v>
      </c>
      <c r="F1281" s="14">
        <v>5</v>
      </c>
      <c r="G1281" s="14">
        <v>177</v>
      </c>
      <c r="H1281" s="14">
        <v>35.4</v>
      </c>
      <c r="I1281" s="14">
        <v>30</v>
      </c>
      <c r="J1281" s="14">
        <v>123.9</v>
      </c>
    </row>
    <row r="1282" spans="1:10" hidden="1">
      <c r="A1282" s="131" t="str">
        <f t="shared" si="20"/>
        <v>SCI Isabou_2018-09</v>
      </c>
      <c r="B1282" s="14" t="s">
        <v>479</v>
      </c>
      <c r="C1282" s="14" t="s">
        <v>834</v>
      </c>
      <c r="D1282" s="14" t="s">
        <v>535</v>
      </c>
      <c r="E1282" s="14" t="s">
        <v>2268</v>
      </c>
      <c r="F1282" s="14">
        <v>5</v>
      </c>
      <c r="G1282" s="14">
        <v>177</v>
      </c>
      <c r="H1282" s="14">
        <v>35.4</v>
      </c>
      <c r="I1282" s="14">
        <v>30</v>
      </c>
      <c r="J1282" s="14">
        <v>123.9</v>
      </c>
    </row>
    <row r="1283" spans="1:10" hidden="1">
      <c r="A1283" s="131" t="str">
        <f t="shared" si="20"/>
        <v>Sia Habitat_2018-07</v>
      </c>
      <c r="B1283" s="14" t="s">
        <v>835</v>
      </c>
      <c r="C1283" s="14" t="s">
        <v>836</v>
      </c>
      <c r="D1283" s="14" t="s">
        <v>535</v>
      </c>
      <c r="E1283" s="14" t="s">
        <v>2144</v>
      </c>
      <c r="F1283" s="14">
        <v>3</v>
      </c>
      <c r="G1283" s="14">
        <v>440.17</v>
      </c>
      <c r="H1283" s="14">
        <v>146.72</v>
      </c>
      <c r="I1283" s="14">
        <v>40</v>
      </c>
      <c r="J1283" s="14">
        <v>264.10000000000002</v>
      </c>
    </row>
    <row r="1284" spans="1:10">
      <c r="A1284" s="131" t="str">
        <f t="shared" si="20"/>
        <v>Sia Habitat_2018-08</v>
      </c>
      <c r="B1284" s="14" t="s">
        <v>835</v>
      </c>
      <c r="C1284" s="14" t="s">
        <v>836</v>
      </c>
      <c r="D1284" s="14" t="s">
        <v>535</v>
      </c>
      <c r="E1284" s="14" t="s">
        <v>2189</v>
      </c>
      <c r="F1284" s="14">
        <v>3</v>
      </c>
      <c r="G1284" s="14">
        <v>102.85</v>
      </c>
      <c r="H1284" s="14">
        <v>34.28</v>
      </c>
      <c r="I1284" s="14">
        <v>40</v>
      </c>
      <c r="J1284" s="14">
        <v>61.71</v>
      </c>
    </row>
    <row r="1285" spans="1:10" hidden="1">
      <c r="A1285" s="131" t="str">
        <f t="shared" si="20"/>
        <v>Sia Habitat_2018-09</v>
      </c>
      <c r="B1285" s="14" t="s">
        <v>835</v>
      </c>
      <c r="C1285" s="14" t="s">
        <v>836</v>
      </c>
      <c r="D1285" s="14" t="s">
        <v>535</v>
      </c>
      <c r="E1285" s="14" t="s">
        <v>2268</v>
      </c>
      <c r="F1285" s="14">
        <v>3</v>
      </c>
      <c r="G1285" s="14">
        <v>187.4</v>
      </c>
      <c r="H1285" s="14">
        <v>62.47</v>
      </c>
      <c r="I1285" s="14">
        <v>40</v>
      </c>
      <c r="J1285" s="14">
        <v>112.44</v>
      </c>
    </row>
    <row r="1286" spans="1:10" hidden="1">
      <c r="A1286" s="131" t="str">
        <f t="shared" si="20"/>
        <v>Sia Habitat_2018-07</v>
      </c>
      <c r="B1286" s="14" t="s">
        <v>835</v>
      </c>
      <c r="C1286" s="14" t="s">
        <v>837</v>
      </c>
      <c r="D1286" s="14" t="s">
        <v>535</v>
      </c>
      <c r="E1286" s="14" t="s">
        <v>2144</v>
      </c>
      <c r="F1286" s="14">
        <v>7</v>
      </c>
      <c r="G1286" s="14">
        <v>1915.58</v>
      </c>
      <c r="H1286" s="14">
        <v>273.64999999999998</v>
      </c>
      <c r="I1286" s="14">
        <v>40</v>
      </c>
      <c r="J1286" s="14">
        <v>1149.3499999999999</v>
      </c>
    </row>
    <row r="1287" spans="1:10">
      <c r="A1287" s="131" t="str">
        <f t="shared" si="20"/>
        <v>Sia Habitat_2018-08</v>
      </c>
      <c r="B1287" s="14" t="s">
        <v>835</v>
      </c>
      <c r="C1287" s="14" t="s">
        <v>837</v>
      </c>
      <c r="D1287" s="14" t="s">
        <v>535</v>
      </c>
      <c r="E1287" s="14" t="s">
        <v>2189</v>
      </c>
      <c r="F1287" s="14">
        <v>7</v>
      </c>
      <c r="G1287" s="14">
        <v>551.24</v>
      </c>
      <c r="H1287" s="14">
        <v>78.75</v>
      </c>
      <c r="I1287" s="14">
        <v>40</v>
      </c>
      <c r="J1287" s="14">
        <v>330.74</v>
      </c>
    </row>
    <row r="1288" spans="1:10" hidden="1">
      <c r="A1288" s="131" t="str">
        <f t="shared" si="20"/>
        <v>Sia Habitat_2018-09</v>
      </c>
      <c r="B1288" s="14" t="s">
        <v>835</v>
      </c>
      <c r="C1288" s="14" t="s">
        <v>837</v>
      </c>
      <c r="D1288" s="14" t="s">
        <v>535</v>
      </c>
      <c r="E1288" s="14" t="s">
        <v>2268</v>
      </c>
      <c r="F1288" s="14">
        <v>7</v>
      </c>
      <c r="G1288" s="14">
        <v>87.5</v>
      </c>
      <c r="H1288" s="14">
        <v>12.5</v>
      </c>
      <c r="I1288" s="14">
        <v>40</v>
      </c>
      <c r="J1288" s="14">
        <v>52.5</v>
      </c>
    </row>
    <row r="1289" spans="1:10" hidden="1">
      <c r="A1289" s="131" t="str">
        <f t="shared" si="20"/>
        <v>Sia Habitat_2018-07</v>
      </c>
      <c r="B1289" s="14" t="s">
        <v>835</v>
      </c>
      <c r="C1289" s="14" t="s">
        <v>838</v>
      </c>
      <c r="D1289" s="14" t="s">
        <v>535</v>
      </c>
      <c r="E1289" s="14" t="s">
        <v>2144</v>
      </c>
      <c r="F1289" s="14">
        <v>4</v>
      </c>
      <c r="G1289" s="14">
        <v>98.71</v>
      </c>
      <c r="H1289" s="14">
        <v>24.68</v>
      </c>
      <c r="I1289" s="14">
        <v>40</v>
      </c>
      <c r="J1289" s="14">
        <v>59.23</v>
      </c>
    </row>
    <row r="1290" spans="1:10">
      <c r="A1290" s="131" t="str">
        <f t="shared" si="20"/>
        <v>Sia Habitat_2018-08</v>
      </c>
      <c r="B1290" s="14" t="s">
        <v>835</v>
      </c>
      <c r="C1290" s="14" t="s">
        <v>838</v>
      </c>
      <c r="D1290" s="14" t="s">
        <v>535</v>
      </c>
      <c r="E1290" s="14" t="s">
        <v>2189</v>
      </c>
      <c r="F1290" s="14">
        <v>4</v>
      </c>
      <c r="G1290" s="14">
        <v>88.55</v>
      </c>
      <c r="H1290" s="14">
        <v>22.14</v>
      </c>
      <c r="I1290" s="14">
        <v>40</v>
      </c>
      <c r="J1290" s="14">
        <v>53.13</v>
      </c>
    </row>
    <row r="1291" spans="1:10" hidden="1">
      <c r="A1291" s="131" t="str">
        <f t="shared" si="20"/>
        <v>Sia Habitat_2018-09</v>
      </c>
      <c r="B1291" s="14" t="s">
        <v>835</v>
      </c>
      <c r="C1291" s="14" t="s">
        <v>838</v>
      </c>
      <c r="D1291" s="14" t="s">
        <v>535</v>
      </c>
      <c r="E1291" s="14" t="s">
        <v>2268</v>
      </c>
      <c r="F1291" s="14">
        <v>4</v>
      </c>
      <c r="G1291" s="14">
        <v>45</v>
      </c>
      <c r="H1291" s="14">
        <v>11.25</v>
      </c>
      <c r="I1291" s="14">
        <v>40</v>
      </c>
      <c r="J1291" s="14">
        <v>27</v>
      </c>
    </row>
    <row r="1292" spans="1:10" hidden="1">
      <c r="A1292" s="131" t="str">
        <f t="shared" si="20"/>
        <v>Sia Habitat_2018-07</v>
      </c>
      <c r="B1292" s="14" t="s">
        <v>835</v>
      </c>
      <c r="C1292" s="14" t="s">
        <v>839</v>
      </c>
      <c r="D1292" s="14" t="s">
        <v>535</v>
      </c>
      <c r="E1292" s="14" t="s">
        <v>2144</v>
      </c>
      <c r="F1292" s="14">
        <v>5</v>
      </c>
      <c r="G1292" s="14">
        <v>165</v>
      </c>
      <c r="H1292" s="14">
        <v>33</v>
      </c>
      <c r="I1292" s="14">
        <v>40</v>
      </c>
      <c r="J1292" s="14">
        <v>99</v>
      </c>
    </row>
    <row r="1293" spans="1:10">
      <c r="A1293" s="131" t="str">
        <f t="shared" si="20"/>
        <v>Sia Habitat_2018-08</v>
      </c>
      <c r="B1293" s="14" t="s">
        <v>835</v>
      </c>
      <c r="C1293" s="14" t="s">
        <v>839</v>
      </c>
      <c r="D1293" s="14" t="s">
        <v>535</v>
      </c>
      <c r="E1293" s="14" t="s">
        <v>2189</v>
      </c>
      <c r="F1293" s="14">
        <v>5</v>
      </c>
      <c r="G1293" s="14">
        <v>269.83999999999997</v>
      </c>
      <c r="H1293" s="14">
        <v>53.97</v>
      </c>
      <c r="I1293" s="14">
        <v>40</v>
      </c>
      <c r="J1293" s="14">
        <v>161.9</v>
      </c>
    </row>
    <row r="1294" spans="1:10" hidden="1">
      <c r="A1294" s="131" t="str">
        <f t="shared" si="20"/>
        <v>Sia Habitat_2018-09</v>
      </c>
      <c r="B1294" s="14" t="s">
        <v>835</v>
      </c>
      <c r="C1294" s="14" t="s">
        <v>839</v>
      </c>
      <c r="D1294" s="14" t="s">
        <v>535</v>
      </c>
      <c r="E1294" s="14" t="s">
        <v>2268</v>
      </c>
      <c r="F1294" s="14">
        <v>5</v>
      </c>
      <c r="G1294" s="14">
        <v>229.17</v>
      </c>
      <c r="H1294" s="14">
        <v>45.83</v>
      </c>
      <c r="I1294" s="14">
        <v>40</v>
      </c>
      <c r="J1294" s="14">
        <v>137.5</v>
      </c>
    </row>
    <row r="1295" spans="1:10" hidden="1">
      <c r="A1295" s="131" t="str">
        <f t="shared" si="20"/>
        <v>SNI_2018-07</v>
      </c>
      <c r="B1295" s="14" t="s">
        <v>147</v>
      </c>
      <c r="C1295" s="14" t="s">
        <v>840</v>
      </c>
      <c r="D1295" s="14" t="s">
        <v>841</v>
      </c>
      <c r="E1295" s="14" t="s">
        <v>2144</v>
      </c>
      <c r="F1295" s="14">
        <v>3.61</v>
      </c>
      <c r="G1295" s="14">
        <v>816.77</v>
      </c>
      <c r="H1295" s="14">
        <v>226.25</v>
      </c>
      <c r="I1295" s="14">
        <v>40</v>
      </c>
      <c r="J1295" s="14">
        <v>490.06</v>
      </c>
    </row>
    <row r="1296" spans="1:10">
      <c r="A1296" s="131" t="str">
        <f t="shared" si="20"/>
        <v>SNI_2018-08</v>
      </c>
      <c r="B1296" s="14" t="s">
        <v>147</v>
      </c>
      <c r="C1296" s="14" t="s">
        <v>840</v>
      </c>
      <c r="D1296" s="14" t="s">
        <v>841</v>
      </c>
      <c r="E1296" s="14" t="s">
        <v>2189</v>
      </c>
      <c r="F1296" s="14">
        <v>4</v>
      </c>
      <c r="G1296" s="14">
        <v>785.77</v>
      </c>
      <c r="H1296" s="14">
        <v>196.44</v>
      </c>
      <c r="I1296" s="14">
        <v>40</v>
      </c>
      <c r="J1296" s="14">
        <v>471.46</v>
      </c>
    </row>
    <row r="1297" spans="1:10" hidden="1">
      <c r="A1297" s="131" t="str">
        <f t="shared" si="20"/>
        <v>SNI_2018-09</v>
      </c>
      <c r="B1297" s="14" t="s">
        <v>147</v>
      </c>
      <c r="C1297" s="14" t="s">
        <v>840</v>
      </c>
      <c r="D1297" s="14" t="s">
        <v>841</v>
      </c>
      <c r="E1297" s="14" t="s">
        <v>2268</v>
      </c>
      <c r="F1297" s="14">
        <v>4</v>
      </c>
      <c r="G1297" s="14">
        <v>578.95000000000005</v>
      </c>
      <c r="H1297" s="14">
        <v>144.74</v>
      </c>
      <c r="I1297" s="14">
        <v>40</v>
      </c>
      <c r="J1297" s="14">
        <v>347.37</v>
      </c>
    </row>
    <row r="1298" spans="1:10" hidden="1">
      <c r="A1298" s="131" t="str">
        <f t="shared" si="20"/>
        <v>SNI_2018-07</v>
      </c>
      <c r="B1298" s="14" t="s">
        <v>147</v>
      </c>
      <c r="C1298" s="14" t="s">
        <v>842</v>
      </c>
      <c r="D1298" s="14" t="s">
        <v>843</v>
      </c>
      <c r="E1298" s="14" t="s">
        <v>2144</v>
      </c>
      <c r="F1298" s="14">
        <v>9</v>
      </c>
      <c r="G1298" s="14">
        <v>845.57</v>
      </c>
      <c r="H1298" s="14">
        <v>93.95</v>
      </c>
      <c r="I1298" s="14">
        <v>40</v>
      </c>
      <c r="J1298" s="14">
        <v>507.34</v>
      </c>
    </row>
    <row r="1299" spans="1:10">
      <c r="A1299" s="131" t="str">
        <f t="shared" si="20"/>
        <v>SNI_2018-08</v>
      </c>
      <c r="B1299" s="14" t="s">
        <v>147</v>
      </c>
      <c r="C1299" s="14" t="s">
        <v>842</v>
      </c>
      <c r="D1299" s="14" t="s">
        <v>843</v>
      </c>
      <c r="E1299" s="14" t="s">
        <v>2189</v>
      </c>
      <c r="F1299" s="14">
        <v>9</v>
      </c>
      <c r="G1299" s="14">
        <v>569.46</v>
      </c>
      <c r="H1299" s="14">
        <v>63.27</v>
      </c>
      <c r="I1299" s="14">
        <v>40</v>
      </c>
      <c r="J1299" s="14">
        <v>341.68</v>
      </c>
    </row>
    <row r="1300" spans="1:10" hidden="1">
      <c r="A1300" s="131" t="str">
        <f t="shared" si="20"/>
        <v>SNI_2018-09</v>
      </c>
      <c r="B1300" s="14" t="s">
        <v>147</v>
      </c>
      <c r="C1300" s="14" t="s">
        <v>842</v>
      </c>
      <c r="D1300" s="14" t="s">
        <v>843</v>
      </c>
      <c r="E1300" s="14" t="s">
        <v>2268</v>
      </c>
      <c r="F1300" s="14">
        <v>9</v>
      </c>
      <c r="G1300" s="14">
        <v>682.05</v>
      </c>
      <c r="H1300" s="14">
        <v>75.78</v>
      </c>
      <c r="I1300" s="14">
        <v>40</v>
      </c>
      <c r="J1300" s="14">
        <v>409.23</v>
      </c>
    </row>
    <row r="1301" spans="1:10" hidden="1">
      <c r="A1301" s="131" t="str">
        <f t="shared" si="20"/>
        <v>SNI_2018-07</v>
      </c>
      <c r="B1301" s="14" t="s">
        <v>147</v>
      </c>
      <c r="C1301" s="14" t="s">
        <v>844</v>
      </c>
      <c r="D1301" s="14" t="s">
        <v>845</v>
      </c>
      <c r="E1301" s="14" t="s">
        <v>2144</v>
      </c>
      <c r="F1301" s="14">
        <v>5</v>
      </c>
      <c r="G1301" s="14">
        <v>397.83</v>
      </c>
      <c r="H1301" s="14">
        <v>79.569999999999993</v>
      </c>
      <c r="I1301" s="14">
        <v>40</v>
      </c>
      <c r="J1301" s="14">
        <v>238.7</v>
      </c>
    </row>
    <row r="1302" spans="1:10">
      <c r="A1302" s="131" t="str">
        <f t="shared" si="20"/>
        <v>SNI_2018-08</v>
      </c>
      <c r="B1302" s="14" t="s">
        <v>147</v>
      </c>
      <c r="C1302" s="14" t="s">
        <v>844</v>
      </c>
      <c r="D1302" s="14" t="s">
        <v>845</v>
      </c>
      <c r="E1302" s="14" t="s">
        <v>2189</v>
      </c>
      <c r="F1302" s="14">
        <v>5</v>
      </c>
      <c r="G1302" s="14">
        <v>365.69</v>
      </c>
      <c r="H1302" s="14">
        <v>73.14</v>
      </c>
      <c r="I1302" s="14">
        <v>40</v>
      </c>
      <c r="J1302" s="14">
        <v>219.41</v>
      </c>
    </row>
    <row r="1303" spans="1:10" hidden="1">
      <c r="A1303" s="131" t="str">
        <f t="shared" si="20"/>
        <v>SNI_2018-09</v>
      </c>
      <c r="B1303" s="14" t="s">
        <v>147</v>
      </c>
      <c r="C1303" s="14" t="s">
        <v>844</v>
      </c>
      <c r="D1303" s="14" t="s">
        <v>845</v>
      </c>
      <c r="E1303" s="14" t="s">
        <v>2268</v>
      </c>
      <c r="F1303" s="14">
        <v>5</v>
      </c>
      <c r="G1303" s="14">
        <v>631.15</v>
      </c>
      <c r="H1303" s="14">
        <v>126.23</v>
      </c>
      <c r="I1303" s="14">
        <v>40</v>
      </c>
      <c r="J1303" s="14">
        <v>378.69</v>
      </c>
    </row>
    <row r="1304" spans="1:10" hidden="1">
      <c r="A1304" s="131" t="str">
        <f t="shared" si="20"/>
        <v>Société Hotelière Saint Germain_2018-07</v>
      </c>
      <c r="B1304" s="14" t="s">
        <v>1835</v>
      </c>
      <c r="C1304" s="14" t="s">
        <v>1836</v>
      </c>
      <c r="D1304" s="14" t="s">
        <v>535</v>
      </c>
      <c r="E1304" s="14" t="s">
        <v>2144</v>
      </c>
      <c r="F1304" s="14">
        <v>5</v>
      </c>
      <c r="G1304" s="14">
        <v>436</v>
      </c>
      <c r="H1304" s="14">
        <v>87.2</v>
      </c>
      <c r="I1304" s="14">
        <v>30</v>
      </c>
      <c r="J1304" s="14">
        <v>305.2</v>
      </c>
    </row>
    <row r="1305" spans="1:10">
      <c r="A1305" s="131" t="str">
        <f t="shared" si="20"/>
        <v>Société Hotelière Saint Germain_2018-08</v>
      </c>
      <c r="B1305" s="14" t="s">
        <v>1835</v>
      </c>
      <c r="C1305" s="14" t="s">
        <v>1836</v>
      </c>
      <c r="D1305" s="14" t="s">
        <v>535</v>
      </c>
      <c r="E1305" s="14" t="s">
        <v>2189</v>
      </c>
      <c r="F1305" s="14">
        <v>2</v>
      </c>
      <c r="G1305" s="14">
        <v>251.5</v>
      </c>
      <c r="H1305" s="14">
        <v>125.75</v>
      </c>
      <c r="I1305" s="14">
        <v>30</v>
      </c>
      <c r="J1305" s="14">
        <v>176.05</v>
      </c>
    </row>
    <row r="1306" spans="1:10" hidden="1">
      <c r="A1306" s="131" t="str">
        <f t="shared" si="20"/>
        <v>Société Hotelière Saint Germain_2018-09</v>
      </c>
      <c r="B1306" s="14" t="s">
        <v>1835</v>
      </c>
      <c r="C1306" s="14" t="s">
        <v>1836</v>
      </c>
      <c r="D1306" s="14" t="s">
        <v>535</v>
      </c>
      <c r="E1306" s="14" t="s">
        <v>2268</v>
      </c>
      <c r="F1306" s="14">
        <v>2</v>
      </c>
      <c r="G1306" s="14">
        <v>250</v>
      </c>
      <c r="H1306" s="14">
        <v>125</v>
      </c>
      <c r="I1306" s="14">
        <v>30</v>
      </c>
      <c r="J1306" s="14">
        <v>175</v>
      </c>
    </row>
    <row r="1307" spans="1:10">
      <c r="A1307" s="131" t="str">
        <f t="shared" si="20"/>
        <v>Société Immobilière Siberchicot_2018-08</v>
      </c>
      <c r="B1307" s="14" t="s">
        <v>2231</v>
      </c>
      <c r="C1307" s="14" t="s">
        <v>2232</v>
      </c>
      <c r="D1307" s="14" t="s">
        <v>535</v>
      </c>
      <c r="E1307" s="14" t="s">
        <v>2189</v>
      </c>
      <c r="F1307" s="14">
        <v>4</v>
      </c>
      <c r="G1307" s="14">
        <v>9</v>
      </c>
      <c r="H1307" s="14">
        <v>2.25</v>
      </c>
      <c r="I1307" s="14">
        <v>30</v>
      </c>
      <c r="J1307" s="14">
        <v>6.3</v>
      </c>
    </row>
    <row r="1308" spans="1:10" hidden="1">
      <c r="A1308" s="131" t="str">
        <f t="shared" si="20"/>
        <v>Société Immobilière Siberchicot_2018-09</v>
      </c>
      <c r="B1308" s="14" t="s">
        <v>2231</v>
      </c>
      <c r="C1308" s="14" t="s">
        <v>2232</v>
      </c>
      <c r="D1308" s="14" t="s">
        <v>535</v>
      </c>
      <c r="E1308" s="14" t="s">
        <v>2268</v>
      </c>
      <c r="F1308" s="14">
        <v>4</v>
      </c>
      <c r="G1308" s="14">
        <v>134.25</v>
      </c>
      <c r="H1308" s="14">
        <v>33.56</v>
      </c>
      <c r="I1308" s="14">
        <v>30</v>
      </c>
      <c r="J1308" s="14">
        <v>93.97</v>
      </c>
    </row>
    <row r="1309" spans="1:10" hidden="1">
      <c r="A1309" s="131" t="str">
        <f t="shared" si="20"/>
        <v>Société Lorraine Habitat Nancy_2018-07</v>
      </c>
      <c r="B1309" s="14" t="s">
        <v>2130</v>
      </c>
      <c r="C1309" s="14" t="s">
        <v>846</v>
      </c>
      <c r="D1309" s="14" t="s">
        <v>535</v>
      </c>
      <c r="E1309" s="14" t="s">
        <v>2144</v>
      </c>
      <c r="F1309" s="14">
        <v>7</v>
      </c>
      <c r="G1309" s="14">
        <v>236.81</v>
      </c>
      <c r="H1309" s="14">
        <v>33.83</v>
      </c>
      <c r="I1309" s="14">
        <v>35</v>
      </c>
      <c r="J1309" s="14">
        <v>153.93</v>
      </c>
    </row>
    <row r="1310" spans="1:10">
      <c r="A1310" s="131" t="str">
        <f t="shared" si="20"/>
        <v>Société Lorraine Habitat Nancy_2018-08</v>
      </c>
      <c r="B1310" s="14" t="s">
        <v>2130</v>
      </c>
      <c r="C1310" s="14" t="s">
        <v>846</v>
      </c>
      <c r="D1310" s="14" t="s">
        <v>535</v>
      </c>
      <c r="E1310" s="14" t="s">
        <v>2189</v>
      </c>
      <c r="F1310" s="14">
        <v>7</v>
      </c>
      <c r="G1310" s="14">
        <v>254.58</v>
      </c>
      <c r="H1310" s="14">
        <v>36.369999999999997</v>
      </c>
      <c r="I1310" s="14">
        <v>35</v>
      </c>
      <c r="J1310" s="14">
        <v>165.48</v>
      </c>
    </row>
    <row r="1311" spans="1:10" hidden="1">
      <c r="A1311" s="131" t="str">
        <f t="shared" si="20"/>
        <v>Société Lorraine Habitat Nancy_2018-09</v>
      </c>
      <c r="B1311" s="14" t="s">
        <v>2130</v>
      </c>
      <c r="C1311" s="14" t="s">
        <v>846</v>
      </c>
      <c r="D1311" s="14" t="s">
        <v>535</v>
      </c>
      <c r="E1311" s="14" t="s">
        <v>2268</v>
      </c>
      <c r="F1311" s="14">
        <v>7</v>
      </c>
      <c r="G1311" s="14">
        <v>254.47</v>
      </c>
      <c r="H1311" s="14">
        <v>36.35</v>
      </c>
      <c r="I1311" s="14">
        <v>35</v>
      </c>
      <c r="J1311" s="14">
        <v>165.41</v>
      </c>
    </row>
    <row r="1312" spans="1:10" hidden="1">
      <c r="A1312" s="131" t="str">
        <f t="shared" si="20"/>
        <v>Société Lorraine Habitat Nancy_2018-07</v>
      </c>
      <c r="B1312" s="14" t="s">
        <v>2130</v>
      </c>
      <c r="C1312" s="14" t="s">
        <v>847</v>
      </c>
      <c r="D1312" s="14" t="s">
        <v>535</v>
      </c>
      <c r="E1312" s="14" t="s">
        <v>2144</v>
      </c>
      <c r="F1312" s="14">
        <v>7</v>
      </c>
      <c r="G1312" s="14">
        <v>419.14</v>
      </c>
      <c r="H1312" s="14">
        <v>59.88</v>
      </c>
      <c r="I1312" s="14">
        <v>35</v>
      </c>
      <c r="J1312" s="14">
        <v>272.44</v>
      </c>
    </row>
    <row r="1313" spans="1:10">
      <c r="A1313" s="131" t="str">
        <f t="shared" si="20"/>
        <v>Société Lorraine Habitat Nancy_2018-08</v>
      </c>
      <c r="B1313" s="14" t="s">
        <v>2130</v>
      </c>
      <c r="C1313" s="14" t="s">
        <v>847</v>
      </c>
      <c r="D1313" s="14" t="s">
        <v>535</v>
      </c>
      <c r="E1313" s="14" t="s">
        <v>2189</v>
      </c>
      <c r="F1313" s="14">
        <v>7</v>
      </c>
      <c r="G1313" s="14">
        <v>469.07</v>
      </c>
      <c r="H1313" s="14">
        <v>67.010000000000005</v>
      </c>
      <c r="I1313" s="14">
        <v>35</v>
      </c>
      <c r="J1313" s="14">
        <v>304.89999999999998</v>
      </c>
    </row>
    <row r="1314" spans="1:10" hidden="1">
      <c r="A1314" s="131" t="str">
        <f t="shared" si="20"/>
        <v>Société Lorraine Habitat Nancy_2018-09</v>
      </c>
      <c r="B1314" s="14" t="s">
        <v>2130</v>
      </c>
      <c r="C1314" s="14" t="s">
        <v>847</v>
      </c>
      <c r="D1314" s="14" t="s">
        <v>535</v>
      </c>
      <c r="E1314" s="14" t="s">
        <v>2268</v>
      </c>
      <c r="F1314" s="14">
        <v>7</v>
      </c>
      <c r="G1314" s="14">
        <v>357.88</v>
      </c>
      <c r="H1314" s="14">
        <v>51.13</v>
      </c>
      <c r="I1314" s="14">
        <v>35</v>
      </c>
      <c r="J1314" s="14">
        <v>232.62</v>
      </c>
    </row>
    <row r="1315" spans="1:10" hidden="1">
      <c r="A1315" s="131" t="str">
        <f t="shared" si="20"/>
        <v>Sofitel La Défense_2018-07</v>
      </c>
      <c r="B1315" s="14" t="s">
        <v>73</v>
      </c>
      <c r="C1315" s="14" t="s">
        <v>848</v>
      </c>
      <c r="D1315" s="14" t="s">
        <v>535</v>
      </c>
      <c r="E1315" s="14" t="s">
        <v>2144</v>
      </c>
      <c r="F1315" s="14">
        <v>10</v>
      </c>
      <c r="G1315" s="14">
        <v>2194.8000000000002</v>
      </c>
      <c r="H1315" s="14">
        <v>219.48</v>
      </c>
      <c r="I1315" s="14">
        <v>30</v>
      </c>
      <c r="J1315" s="14">
        <v>1536.36</v>
      </c>
    </row>
    <row r="1316" spans="1:10">
      <c r="A1316" s="131" t="str">
        <f t="shared" si="20"/>
        <v>Sofitel La Défense_2018-08</v>
      </c>
      <c r="B1316" s="14" t="s">
        <v>73</v>
      </c>
      <c r="C1316" s="14" t="s">
        <v>848</v>
      </c>
      <c r="D1316" s="14" t="s">
        <v>535</v>
      </c>
      <c r="E1316" s="14" t="s">
        <v>2189</v>
      </c>
      <c r="F1316" s="14">
        <v>10</v>
      </c>
      <c r="G1316" s="14">
        <v>1878.79</v>
      </c>
      <c r="H1316" s="14">
        <v>187.88</v>
      </c>
      <c r="I1316" s="14">
        <v>30</v>
      </c>
      <c r="J1316" s="14">
        <v>1315.15</v>
      </c>
    </row>
    <row r="1317" spans="1:10" hidden="1">
      <c r="A1317" s="131" t="str">
        <f t="shared" si="20"/>
        <v>Sofitel La Défense_2018-09</v>
      </c>
      <c r="B1317" s="14" t="s">
        <v>73</v>
      </c>
      <c r="C1317" s="14" t="s">
        <v>848</v>
      </c>
      <c r="D1317" s="14" t="s">
        <v>535</v>
      </c>
      <c r="E1317" s="14" t="s">
        <v>2268</v>
      </c>
      <c r="F1317" s="14">
        <v>10</v>
      </c>
      <c r="G1317" s="14">
        <v>2380.3200000000002</v>
      </c>
      <c r="H1317" s="14">
        <v>238.03</v>
      </c>
      <c r="I1317" s="14">
        <v>30</v>
      </c>
      <c r="J1317" s="14">
        <v>1666.22</v>
      </c>
    </row>
    <row r="1318" spans="1:10" hidden="1">
      <c r="A1318" s="131" t="str">
        <f t="shared" si="20"/>
        <v>SOLIME_2018-07</v>
      </c>
      <c r="B1318" s="14" t="s">
        <v>2131</v>
      </c>
      <c r="C1318" s="14" t="s">
        <v>1837</v>
      </c>
      <c r="D1318" s="14" t="s">
        <v>535</v>
      </c>
      <c r="E1318" s="14" t="s">
        <v>2144</v>
      </c>
      <c r="F1318" s="14">
        <v>20</v>
      </c>
      <c r="G1318" s="14">
        <v>10.49</v>
      </c>
      <c r="H1318" s="14">
        <v>0.52</v>
      </c>
      <c r="I1318" s="14">
        <v>40</v>
      </c>
      <c r="J1318" s="14">
        <v>6.29</v>
      </c>
    </row>
    <row r="1319" spans="1:10">
      <c r="A1319" s="131" t="str">
        <f t="shared" si="20"/>
        <v>SOLIME_2018-08</v>
      </c>
      <c r="B1319" s="14" t="s">
        <v>2131</v>
      </c>
      <c r="C1319" s="14" t="s">
        <v>1837</v>
      </c>
      <c r="D1319" s="14" t="s">
        <v>535</v>
      </c>
      <c r="E1319" s="14" t="s">
        <v>2189</v>
      </c>
      <c r="F1319" s="14">
        <v>20</v>
      </c>
      <c r="G1319" s="14">
        <v>4.7300000000000004</v>
      </c>
      <c r="H1319" s="14">
        <v>0.24</v>
      </c>
      <c r="I1319" s="14">
        <v>40</v>
      </c>
      <c r="J1319" s="14">
        <v>2.84</v>
      </c>
    </row>
    <row r="1320" spans="1:10" hidden="1">
      <c r="A1320" s="131" t="str">
        <f t="shared" si="20"/>
        <v>SOLIME_2018-09</v>
      </c>
      <c r="B1320" s="14" t="s">
        <v>2131</v>
      </c>
      <c r="C1320" s="14" t="s">
        <v>1837</v>
      </c>
      <c r="D1320" s="14" t="s">
        <v>535</v>
      </c>
      <c r="E1320" s="14" t="s">
        <v>2268</v>
      </c>
      <c r="F1320" s="14">
        <v>20</v>
      </c>
      <c r="G1320" s="14">
        <v>13.16</v>
      </c>
      <c r="H1320" s="14">
        <v>0.66</v>
      </c>
      <c r="I1320" s="14">
        <v>40</v>
      </c>
      <c r="J1320" s="14">
        <v>7.9</v>
      </c>
    </row>
    <row r="1321" spans="1:10" hidden="1">
      <c r="A1321" s="131" t="str">
        <f t="shared" si="20"/>
        <v>Somnoo Ibis Colmar_2018-07</v>
      </c>
      <c r="B1321" s="14" t="s">
        <v>2132</v>
      </c>
      <c r="C1321" s="14" t="s">
        <v>1795</v>
      </c>
      <c r="D1321" s="14" t="s">
        <v>535</v>
      </c>
      <c r="E1321" s="14" t="s">
        <v>2144</v>
      </c>
      <c r="F1321" s="14">
        <v>5</v>
      </c>
      <c r="G1321" s="14">
        <v>159.93</v>
      </c>
      <c r="H1321" s="14">
        <v>31.99</v>
      </c>
      <c r="I1321" s="14">
        <v>35</v>
      </c>
      <c r="J1321" s="14">
        <v>103.95</v>
      </c>
    </row>
    <row r="1322" spans="1:10">
      <c r="A1322" s="131" t="str">
        <f t="shared" si="20"/>
        <v>Somnoo Ibis Colmar_2018-08</v>
      </c>
      <c r="B1322" s="14" t="s">
        <v>2132</v>
      </c>
      <c r="C1322" s="14" t="s">
        <v>1795</v>
      </c>
      <c r="D1322" s="14" t="s">
        <v>535</v>
      </c>
      <c r="E1322" s="14" t="s">
        <v>2189</v>
      </c>
      <c r="F1322" s="14">
        <v>5</v>
      </c>
      <c r="G1322" s="14">
        <v>122.89</v>
      </c>
      <c r="H1322" s="14">
        <v>24.58</v>
      </c>
      <c r="I1322" s="14">
        <v>35</v>
      </c>
      <c r="J1322" s="14">
        <v>79.88</v>
      </c>
    </row>
    <row r="1323" spans="1:10" hidden="1">
      <c r="A1323" s="131" t="str">
        <f t="shared" ref="A1323:A1386" si="21">CONCATENATE(B1323,"_",E1323)</f>
        <v>Somnoo Ibis Colmar_2018-09</v>
      </c>
      <c r="B1323" s="14" t="s">
        <v>2132</v>
      </c>
      <c r="C1323" s="14" t="s">
        <v>1795</v>
      </c>
      <c r="D1323" s="14" t="s">
        <v>535</v>
      </c>
      <c r="E1323" s="14" t="s">
        <v>2268</v>
      </c>
      <c r="F1323" s="14">
        <v>5</v>
      </c>
      <c r="G1323" s="14">
        <v>170</v>
      </c>
      <c r="H1323" s="14">
        <v>34</v>
      </c>
      <c r="I1323" s="14">
        <v>35</v>
      </c>
      <c r="J1323" s="14">
        <v>110.5</v>
      </c>
    </row>
    <row r="1324" spans="1:10" hidden="1">
      <c r="A1324" s="131" t="str">
        <f t="shared" si="21"/>
        <v>Somnoo Mercure Cergy_2018-07</v>
      </c>
      <c r="B1324" s="14" t="s">
        <v>2136</v>
      </c>
      <c r="C1324" s="14" t="s">
        <v>1063</v>
      </c>
      <c r="D1324" s="14" t="s">
        <v>535</v>
      </c>
      <c r="E1324" s="14" t="s">
        <v>2144</v>
      </c>
      <c r="F1324" s="14">
        <v>20</v>
      </c>
      <c r="G1324" s="14">
        <v>360.1</v>
      </c>
      <c r="H1324" s="14">
        <v>18.010000000000002</v>
      </c>
      <c r="I1324" s="14">
        <v>35</v>
      </c>
      <c r="J1324" s="14">
        <v>234.06</v>
      </c>
    </row>
    <row r="1325" spans="1:10">
      <c r="A1325" s="131" t="str">
        <f t="shared" si="21"/>
        <v>Somnoo Mercure Cergy_2018-08</v>
      </c>
      <c r="B1325" s="14" t="s">
        <v>2136</v>
      </c>
      <c r="C1325" s="14" t="s">
        <v>1063</v>
      </c>
      <c r="D1325" s="14" t="s">
        <v>535</v>
      </c>
      <c r="E1325" s="14" t="s">
        <v>2189</v>
      </c>
      <c r="F1325" s="14">
        <v>20</v>
      </c>
      <c r="G1325" s="14">
        <v>455.48</v>
      </c>
      <c r="H1325" s="14">
        <v>22.77</v>
      </c>
      <c r="I1325" s="14">
        <v>35</v>
      </c>
      <c r="J1325" s="14">
        <v>296.06</v>
      </c>
    </row>
    <row r="1326" spans="1:10" hidden="1">
      <c r="A1326" s="131" t="str">
        <f t="shared" si="21"/>
        <v>Somnoo Mercure Cergy_2018-09</v>
      </c>
      <c r="B1326" s="14" t="s">
        <v>2136</v>
      </c>
      <c r="C1326" s="14" t="s">
        <v>1063</v>
      </c>
      <c r="D1326" s="14" t="s">
        <v>535</v>
      </c>
      <c r="E1326" s="14" t="s">
        <v>2268</v>
      </c>
      <c r="F1326" s="14">
        <v>20</v>
      </c>
      <c r="G1326" s="14">
        <v>139.84</v>
      </c>
      <c r="H1326" s="14">
        <v>6.99</v>
      </c>
      <c r="I1326" s="14">
        <v>35</v>
      </c>
      <c r="J1326" s="14">
        <v>90.9</v>
      </c>
    </row>
    <row r="1327" spans="1:10" hidden="1">
      <c r="A1327" s="131" t="str">
        <f t="shared" si="21"/>
        <v>Somnoo Première Classe Annecy_2018-07</v>
      </c>
      <c r="B1327" s="14" t="s">
        <v>1995</v>
      </c>
      <c r="C1327" s="14" t="s">
        <v>1996</v>
      </c>
      <c r="D1327" s="14" t="s">
        <v>535</v>
      </c>
      <c r="E1327" s="14" t="s">
        <v>2144</v>
      </c>
      <c r="F1327" s="14">
        <v>8</v>
      </c>
      <c r="G1327" s="14">
        <v>24.71</v>
      </c>
      <c r="H1327" s="14">
        <v>3.09</v>
      </c>
      <c r="I1327" s="14">
        <v>40</v>
      </c>
      <c r="J1327" s="14">
        <v>14.83</v>
      </c>
    </row>
    <row r="1328" spans="1:10">
      <c r="A1328" s="131" t="str">
        <f t="shared" si="21"/>
        <v>Somnoo Première Classe Annecy_2018-08</v>
      </c>
      <c r="B1328" s="14" t="s">
        <v>1995</v>
      </c>
      <c r="C1328" s="14" t="s">
        <v>1996</v>
      </c>
      <c r="D1328" s="14" t="s">
        <v>535</v>
      </c>
      <c r="E1328" s="14" t="s">
        <v>2189</v>
      </c>
      <c r="F1328" s="14">
        <v>8</v>
      </c>
      <c r="G1328" s="14">
        <v>12</v>
      </c>
      <c r="H1328" s="14">
        <v>1.5</v>
      </c>
      <c r="I1328" s="14">
        <v>35</v>
      </c>
      <c r="J1328" s="14">
        <v>7.8</v>
      </c>
    </row>
    <row r="1329" spans="1:10" hidden="1">
      <c r="A1329" s="131" t="str">
        <f t="shared" si="21"/>
        <v>Somnoo Première Classe Annecy_2018-09</v>
      </c>
      <c r="B1329" s="14" t="s">
        <v>1995</v>
      </c>
      <c r="C1329" s="14" t="s">
        <v>1996</v>
      </c>
      <c r="D1329" s="14" t="s">
        <v>535</v>
      </c>
      <c r="E1329" s="14" t="s">
        <v>2268</v>
      </c>
      <c r="F1329" s="14">
        <v>8</v>
      </c>
      <c r="G1329" s="14">
        <v>51.5</v>
      </c>
      <c r="H1329" s="14">
        <v>6.44</v>
      </c>
      <c r="I1329" s="14">
        <v>35</v>
      </c>
      <c r="J1329" s="14">
        <v>33.479999999999997</v>
      </c>
    </row>
    <row r="1330" spans="1:10" hidden="1">
      <c r="A1330" s="131" t="str">
        <f t="shared" si="21"/>
        <v>Study O Bordeaux_2018-07</v>
      </c>
      <c r="B1330" s="14" t="s">
        <v>2140</v>
      </c>
      <c r="C1330" s="14" t="s">
        <v>1190</v>
      </c>
      <c r="D1330" s="14" t="s">
        <v>535</v>
      </c>
      <c r="E1330" s="14" t="s">
        <v>2144</v>
      </c>
      <c r="F1330" s="14">
        <v>10</v>
      </c>
      <c r="G1330" s="14">
        <v>259.20999999999998</v>
      </c>
      <c r="H1330" s="14">
        <v>25.92</v>
      </c>
      <c r="I1330" s="14">
        <v>40</v>
      </c>
      <c r="J1330" s="14">
        <v>155.53</v>
      </c>
    </row>
    <row r="1331" spans="1:10">
      <c r="A1331" s="131" t="str">
        <f t="shared" si="21"/>
        <v>Study O Bordeaux_2018-08</v>
      </c>
      <c r="B1331" s="14" t="s">
        <v>2140</v>
      </c>
      <c r="C1331" s="14" t="s">
        <v>1190</v>
      </c>
      <c r="D1331" s="14" t="s">
        <v>535</v>
      </c>
      <c r="E1331" s="14" t="s">
        <v>2189</v>
      </c>
      <c r="F1331" s="14">
        <v>10</v>
      </c>
      <c r="G1331" s="14">
        <v>283.14999999999998</v>
      </c>
      <c r="H1331" s="14">
        <v>28.31</v>
      </c>
      <c r="I1331" s="14">
        <v>40</v>
      </c>
      <c r="J1331" s="14">
        <v>169.89</v>
      </c>
    </row>
    <row r="1332" spans="1:10" hidden="1">
      <c r="A1332" s="131" t="str">
        <f t="shared" si="21"/>
        <v>Study O Bordeaux_2018-09</v>
      </c>
      <c r="B1332" s="14" t="s">
        <v>2140</v>
      </c>
      <c r="C1332" s="14" t="s">
        <v>1190</v>
      </c>
      <c r="D1332" s="14" t="s">
        <v>535</v>
      </c>
      <c r="E1332" s="14" t="s">
        <v>2268</v>
      </c>
      <c r="F1332" s="14">
        <v>10</v>
      </c>
      <c r="G1332" s="14">
        <v>453.66</v>
      </c>
      <c r="H1332" s="14">
        <v>45.37</v>
      </c>
      <c r="I1332" s="14">
        <v>40</v>
      </c>
      <c r="J1332" s="14">
        <v>272.2</v>
      </c>
    </row>
    <row r="1333" spans="1:10" hidden="1">
      <c r="A1333" s="131" t="str">
        <f t="shared" si="21"/>
        <v>Swiss-Life REIM_2018-07</v>
      </c>
      <c r="B1333" s="14" t="s">
        <v>1008</v>
      </c>
      <c r="C1333" s="14" t="s">
        <v>1064</v>
      </c>
      <c r="D1333" s="14" t="s">
        <v>535</v>
      </c>
      <c r="E1333" s="14" t="s">
        <v>2144</v>
      </c>
      <c r="F1333" s="14">
        <v>41</v>
      </c>
      <c r="G1333" s="14">
        <v>1158.74</v>
      </c>
      <c r="H1333" s="14">
        <v>28.26</v>
      </c>
      <c r="I1333" s="14">
        <v>40</v>
      </c>
      <c r="J1333" s="14">
        <v>695.24</v>
      </c>
    </row>
    <row r="1334" spans="1:10">
      <c r="A1334" s="131" t="str">
        <f t="shared" si="21"/>
        <v>Swiss-Life REIM_2018-08</v>
      </c>
      <c r="B1334" s="14" t="s">
        <v>1008</v>
      </c>
      <c r="C1334" s="14" t="s">
        <v>1064</v>
      </c>
      <c r="D1334" s="14" t="s">
        <v>535</v>
      </c>
      <c r="E1334" s="14" t="s">
        <v>2189</v>
      </c>
      <c r="F1334" s="14">
        <v>34.39</v>
      </c>
      <c r="G1334" s="14">
        <v>1179.8</v>
      </c>
      <c r="H1334" s="14">
        <v>34.31</v>
      </c>
      <c r="I1334" s="14">
        <v>40</v>
      </c>
      <c r="J1334" s="14">
        <v>707.88</v>
      </c>
    </row>
    <row r="1335" spans="1:10" hidden="1">
      <c r="A1335" s="131" t="str">
        <f t="shared" si="21"/>
        <v>Swiss-Life REIM_2018-09</v>
      </c>
      <c r="B1335" s="14" t="s">
        <v>1008</v>
      </c>
      <c r="C1335" s="14" t="s">
        <v>1064</v>
      </c>
      <c r="D1335" s="14" t="s">
        <v>535</v>
      </c>
      <c r="E1335" s="14" t="s">
        <v>2268</v>
      </c>
      <c r="F1335" s="14">
        <v>41</v>
      </c>
      <c r="G1335" s="14">
        <v>1435.18</v>
      </c>
      <c r="H1335" s="14">
        <v>35</v>
      </c>
      <c r="I1335" s="14">
        <v>40</v>
      </c>
      <c r="J1335" s="14">
        <v>861.11</v>
      </c>
    </row>
    <row r="1336" spans="1:10" hidden="1">
      <c r="A1336" s="131" t="str">
        <f t="shared" si="21"/>
        <v>Syndicat Résidence Studea Maisons-Alfort_2018-07</v>
      </c>
      <c r="B1336" s="14" t="s">
        <v>1287</v>
      </c>
      <c r="C1336" s="14" t="s">
        <v>1065</v>
      </c>
      <c r="D1336" s="14" t="s">
        <v>535</v>
      </c>
      <c r="E1336" s="14" t="s">
        <v>2144</v>
      </c>
      <c r="F1336" s="14">
        <v>31</v>
      </c>
      <c r="G1336" s="14">
        <v>2042.87</v>
      </c>
      <c r="H1336" s="14">
        <v>65.900000000000006</v>
      </c>
      <c r="I1336" s="14">
        <v>40</v>
      </c>
      <c r="J1336" s="14">
        <v>1225.72</v>
      </c>
    </row>
    <row r="1337" spans="1:10">
      <c r="A1337" s="131" t="str">
        <f t="shared" si="21"/>
        <v>Syndicat Résidence Studea Maisons-Alfort_2018-08</v>
      </c>
      <c r="B1337" s="14" t="s">
        <v>1287</v>
      </c>
      <c r="C1337" s="14" t="s">
        <v>1065</v>
      </c>
      <c r="D1337" s="14" t="s">
        <v>535</v>
      </c>
      <c r="E1337" s="14" t="s">
        <v>2189</v>
      </c>
      <c r="F1337" s="14">
        <v>31</v>
      </c>
      <c r="G1337" s="14">
        <v>1943.6</v>
      </c>
      <c r="H1337" s="14">
        <v>62.7</v>
      </c>
      <c r="I1337" s="14">
        <v>40</v>
      </c>
      <c r="J1337" s="14">
        <v>1166.1600000000001</v>
      </c>
    </row>
    <row r="1338" spans="1:10" hidden="1">
      <c r="A1338" s="131" t="str">
        <f t="shared" si="21"/>
        <v>Syndicat Résidence Studea Maisons-Alfort_2018-09</v>
      </c>
      <c r="B1338" s="14" t="s">
        <v>1287</v>
      </c>
      <c r="C1338" s="14" t="s">
        <v>1065</v>
      </c>
      <c r="D1338" s="14" t="s">
        <v>535</v>
      </c>
      <c r="E1338" s="14" t="s">
        <v>2268</v>
      </c>
      <c r="F1338" s="14">
        <v>31</v>
      </c>
      <c r="G1338" s="14">
        <v>1932.91</v>
      </c>
      <c r="H1338" s="14">
        <v>62.35</v>
      </c>
      <c r="I1338" s="14">
        <v>40</v>
      </c>
      <c r="J1338" s="14">
        <v>1159.75</v>
      </c>
    </row>
    <row r="1339" spans="1:10" hidden="1">
      <c r="A1339" s="131" t="str">
        <f t="shared" si="21"/>
        <v>Tagerim Résidences Étudiantes_2018-07</v>
      </c>
      <c r="B1339" s="14" t="s">
        <v>635</v>
      </c>
      <c r="C1339" s="14" t="s">
        <v>849</v>
      </c>
      <c r="D1339" s="14" t="s">
        <v>535</v>
      </c>
      <c r="E1339" s="14" t="s">
        <v>2144</v>
      </c>
      <c r="F1339" s="14">
        <v>23</v>
      </c>
      <c r="G1339" s="14">
        <v>872.8</v>
      </c>
      <c r="H1339" s="14">
        <v>37.950000000000003</v>
      </c>
      <c r="I1339" s="14">
        <v>40</v>
      </c>
      <c r="J1339" s="14">
        <v>523.67999999999995</v>
      </c>
    </row>
    <row r="1340" spans="1:10">
      <c r="A1340" s="131" t="str">
        <f t="shared" si="21"/>
        <v>Tagerim Résidences Étudiantes_2018-08</v>
      </c>
      <c r="B1340" s="14" t="s">
        <v>635</v>
      </c>
      <c r="C1340" s="14" t="s">
        <v>849</v>
      </c>
      <c r="D1340" s="14" t="s">
        <v>535</v>
      </c>
      <c r="E1340" s="14" t="s">
        <v>2189</v>
      </c>
      <c r="F1340" s="14">
        <v>23</v>
      </c>
      <c r="G1340" s="14">
        <v>905.9</v>
      </c>
      <c r="H1340" s="14">
        <v>39.39</v>
      </c>
      <c r="I1340" s="14">
        <v>40</v>
      </c>
      <c r="J1340" s="14">
        <v>543.54</v>
      </c>
    </row>
    <row r="1341" spans="1:10" hidden="1">
      <c r="A1341" s="131" t="str">
        <f t="shared" si="21"/>
        <v>Tagerim Résidences Étudiantes_2018-09</v>
      </c>
      <c r="B1341" s="14" t="s">
        <v>635</v>
      </c>
      <c r="C1341" s="14" t="s">
        <v>849</v>
      </c>
      <c r="D1341" s="14" t="s">
        <v>535</v>
      </c>
      <c r="E1341" s="14" t="s">
        <v>2268</v>
      </c>
      <c r="F1341" s="14">
        <v>23</v>
      </c>
      <c r="G1341" s="14">
        <v>751.71</v>
      </c>
      <c r="H1341" s="14">
        <v>32.68</v>
      </c>
      <c r="I1341" s="14">
        <v>40</v>
      </c>
      <c r="J1341" s="14">
        <v>451.03</v>
      </c>
    </row>
    <row r="1342" spans="1:10" hidden="1">
      <c r="A1342" s="131" t="str">
        <f t="shared" si="21"/>
        <v>Ténéo Apparthotel Bordeaux_2018-07</v>
      </c>
      <c r="B1342" s="14" t="s">
        <v>480</v>
      </c>
      <c r="C1342" s="14" t="s">
        <v>850</v>
      </c>
      <c r="D1342" s="14" t="s">
        <v>535</v>
      </c>
      <c r="E1342" s="14" t="s">
        <v>2144</v>
      </c>
      <c r="F1342" s="14">
        <v>10</v>
      </c>
      <c r="G1342" s="14">
        <v>891.52</v>
      </c>
      <c r="H1342" s="14">
        <v>89.15</v>
      </c>
      <c r="I1342" s="14">
        <v>40</v>
      </c>
      <c r="J1342" s="14">
        <v>534.91</v>
      </c>
    </row>
    <row r="1343" spans="1:10">
      <c r="A1343" s="131" t="str">
        <f t="shared" si="21"/>
        <v>Ténéo Apparthotel Bordeaux_2018-08</v>
      </c>
      <c r="B1343" s="14" t="s">
        <v>480</v>
      </c>
      <c r="C1343" s="14" t="s">
        <v>850</v>
      </c>
      <c r="D1343" s="14" t="s">
        <v>535</v>
      </c>
      <c r="E1343" s="14" t="s">
        <v>2189</v>
      </c>
      <c r="F1343" s="14">
        <v>10</v>
      </c>
      <c r="G1343" s="14">
        <v>836.91</v>
      </c>
      <c r="H1343" s="14">
        <v>83.69</v>
      </c>
      <c r="I1343" s="14">
        <v>40</v>
      </c>
      <c r="J1343" s="14">
        <v>502.15</v>
      </c>
    </row>
    <row r="1344" spans="1:10" hidden="1">
      <c r="A1344" s="131" t="str">
        <f t="shared" si="21"/>
        <v>Ténéo Apparthotel Bordeaux_2018-09</v>
      </c>
      <c r="B1344" s="14" t="s">
        <v>480</v>
      </c>
      <c r="C1344" s="14" t="s">
        <v>850</v>
      </c>
      <c r="D1344" s="14" t="s">
        <v>535</v>
      </c>
      <c r="E1344" s="14" t="s">
        <v>2268</v>
      </c>
      <c r="F1344" s="14">
        <v>10</v>
      </c>
      <c r="G1344" s="14">
        <v>850</v>
      </c>
      <c r="H1344" s="14">
        <v>85</v>
      </c>
      <c r="I1344" s="14">
        <v>40</v>
      </c>
      <c r="J1344" s="14">
        <v>510</v>
      </c>
    </row>
    <row r="1345" spans="1:10" hidden="1">
      <c r="A1345" s="131" t="str">
        <f t="shared" si="21"/>
        <v>Traducteo_2018-07</v>
      </c>
      <c r="B1345" s="14" t="s">
        <v>454</v>
      </c>
      <c r="C1345" s="14" t="s">
        <v>851</v>
      </c>
      <c r="D1345" s="14" t="s">
        <v>535</v>
      </c>
      <c r="E1345" s="14" t="s">
        <v>2144</v>
      </c>
      <c r="F1345" s="14">
        <v>2</v>
      </c>
      <c r="G1345" s="14">
        <v>0</v>
      </c>
      <c r="H1345" s="14">
        <v>0</v>
      </c>
      <c r="I1345" s="14">
        <v>30</v>
      </c>
      <c r="J1345" s="14">
        <v>0</v>
      </c>
    </row>
    <row r="1346" spans="1:10">
      <c r="A1346" s="131" t="str">
        <f t="shared" si="21"/>
        <v>Traducteo_2018-08</v>
      </c>
      <c r="B1346" s="14" t="s">
        <v>454</v>
      </c>
      <c r="C1346" s="14" t="s">
        <v>851</v>
      </c>
      <c r="D1346" s="14" t="s">
        <v>535</v>
      </c>
      <c r="E1346" s="14" t="s">
        <v>2189</v>
      </c>
      <c r="F1346" s="14">
        <v>2</v>
      </c>
      <c r="G1346" s="14">
        <v>70</v>
      </c>
      <c r="H1346" s="14">
        <v>35</v>
      </c>
      <c r="I1346" s="14">
        <v>30</v>
      </c>
      <c r="J1346" s="14">
        <v>49</v>
      </c>
    </row>
    <row r="1347" spans="1:10" hidden="1">
      <c r="A1347" s="131" t="str">
        <f t="shared" si="21"/>
        <v>Traducteo_2018-09</v>
      </c>
      <c r="B1347" s="14" t="s">
        <v>454</v>
      </c>
      <c r="C1347" s="14" t="s">
        <v>851</v>
      </c>
      <c r="D1347" s="14" t="s">
        <v>535</v>
      </c>
      <c r="E1347" s="14" t="s">
        <v>2268</v>
      </c>
      <c r="F1347" s="14">
        <v>2</v>
      </c>
      <c r="G1347" s="14">
        <v>360</v>
      </c>
      <c r="H1347" s="14">
        <v>180</v>
      </c>
      <c r="I1347" s="14">
        <v>30</v>
      </c>
      <c r="J1347" s="14">
        <v>252</v>
      </c>
    </row>
    <row r="1348" spans="1:10" hidden="1">
      <c r="A1348" s="131" t="str">
        <f t="shared" si="21"/>
        <v>Transports Baudron_2018-07</v>
      </c>
      <c r="B1348" s="14" t="s">
        <v>636</v>
      </c>
      <c r="C1348" s="14" t="s">
        <v>1796</v>
      </c>
      <c r="D1348" s="14" t="s">
        <v>535</v>
      </c>
      <c r="E1348" s="14" t="s">
        <v>2144</v>
      </c>
      <c r="F1348" s="14">
        <v>10</v>
      </c>
      <c r="G1348" s="14">
        <v>1817</v>
      </c>
      <c r="H1348" s="14">
        <v>181.7</v>
      </c>
      <c r="I1348" s="14">
        <v>25</v>
      </c>
      <c r="J1348" s="14">
        <v>1362.75</v>
      </c>
    </row>
    <row r="1349" spans="1:10">
      <c r="A1349" s="131" t="str">
        <f t="shared" si="21"/>
        <v>Transports Baudron_2018-08</v>
      </c>
      <c r="B1349" s="14" t="s">
        <v>636</v>
      </c>
      <c r="C1349" s="14" t="s">
        <v>1796</v>
      </c>
      <c r="D1349" s="14" t="s">
        <v>535</v>
      </c>
      <c r="E1349" s="14" t="s">
        <v>2189</v>
      </c>
      <c r="F1349" s="14">
        <v>9.1</v>
      </c>
      <c r="G1349" s="14">
        <v>1160.3</v>
      </c>
      <c r="H1349" s="14">
        <v>127.51</v>
      </c>
      <c r="I1349" s="14">
        <v>25</v>
      </c>
      <c r="J1349" s="14">
        <v>870.23</v>
      </c>
    </row>
    <row r="1350" spans="1:10" hidden="1">
      <c r="A1350" s="131" t="str">
        <f t="shared" si="21"/>
        <v>Transports Baudron_2018-09</v>
      </c>
      <c r="B1350" s="14" t="s">
        <v>636</v>
      </c>
      <c r="C1350" s="14" t="s">
        <v>1796</v>
      </c>
      <c r="D1350" s="14" t="s">
        <v>535</v>
      </c>
      <c r="E1350" s="14" t="s">
        <v>2268</v>
      </c>
      <c r="F1350" s="14">
        <v>10</v>
      </c>
      <c r="G1350" s="14">
        <v>1317</v>
      </c>
      <c r="H1350" s="14">
        <v>131.69999999999999</v>
      </c>
      <c r="I1350" s="14">
        <v>25</v>
      </c>
      <c r="J1350" s="14">
        <v>987.75</v>
      </c>
    </row>
    <row r="1351" spans="1:10" hidden="1">
      <c r="A1351" s="131" t="str">
        <f t="shared" si="21"/>
        <v>Transports Baudron_2018-07</v>
      </c>
      <c r="B1351" s="14" t="s">
        <v>636</v>
      </c>
      <c r="C1351" s="14" t="s">
        <v>1838</v>
      </c>
      <c r="D1351" s="14" t="s">
        <v>535</v>
      </c>
      <c r="E1351" s="14" t="s">
        <v>2144</v>
      </c>
      <c r="F1351" s="14">
        <v>8.4499999999999993</v>
      </c>
      <c r="G1351" s="14">
        <v>898</v>
      </c>
      <c r="H1351" s="14">
        <v>106.27</v>
      </c>
      <c r="I1351" s="14">
        <v>25</v>
      </c>
      <c r="J1351" s="14">
        <v>673.5</v>
      </c>
    </row>
    <row r="1352" spans="1:10">
      <c r="A1352" s="131" t="str">
        <f t="shared" si="21"/>
        <v>Transports Baudron_2018-08</v>
      </c>
      <c r="B1352" s="14" t="s">
        <v>636</v>
      </c>
      <c r="C1352" s="14" t="s">
        <v>1838</v>
      </c>
      <c r="D1352" s="14" t="s">
        <v>535</v>
      </c>
      <c r="E1352" s="14" t="s">
        <v>2189</v>
      </c>
      <c r="F1352" s="14">
        <v>6.39</v>
      </c>
      <c r="G1352" s="14">
        <v>580</v>
      </c>
      <c r="H1352" s="14">
        <v>90.77</v>
      </c>
      <c r="I1352" s="14">
        <v>25</v>
      </c>
      <c r="J1352" s="14">
        <v>435</v>
      </c>
    </row>
    <row r="1353" spans="1:10" hidden="1">
      <c r="A1353" s="131" t="str">
        <f t="shared" si="21"/>
        <v>Transports Baudron_2018-09</v>
      </c>
      <c r="B1353" s="14" t="s">
        <v>636</v>
      </c>
      <c r="C1353" s="14" t="s">
        <v>1838</v>
      </c>
      <c r="D1353" s="14" t="s">
        <v>535</v>
      </c>
      <c r="E1353" s="14" t="s">
        <v>2268</v>
      </c>
      <c r="F1353" s="14">
        <v>10</v>
      </c>
      <c r="G1353" s="14">
        <v>1545</v>
      </c>
      <c r="H1353" s="14">
        <v>154.5</v>
      </c>
      <c r="I1353" s="14">
        <v>25</v>
      </c>
      <c r="J1353" s="14">
        <v>1158.75</v>
      </c>
    </row>
    <row r="1354" spans="1:10" hidden="1">
      <c r="A1354" s="131" t="str">
        <f t="shared" si="21"/>
        <v>Urbis Park_2018-07</v>
      </c>
      <c r="B1354" s="14" t="s">
        <v>588</v>
      </c>
      <c r="C1354" s="14" t="s">
        <v>1066</v>
      </c>
      <c r="D1354" s="14" t="s">
        <v>535</v>
      </c>
      <c r="E1354" s="14" t="s">
        <v>2144</v>
      </c>
      <c r="F1354" s="14">
        <v>30</v>
      </c>
      <c r="G1354" s="14">
        <v>227.8</v>
      </c>
      <c r="H1354" s="14">
        <v>7.59</v>
      </c>
      <c r="I1354" s="14">
        <v>20</v>
      </c>
      <c r="J1354" s="14">
        <v>182.24</v>
      </c>
    </row>
    <row r="1355" spans="1:10">
      <c r="A1355" s="131" t="str">
        <f t="shared" si="21"/>
        <v>Urbis Park_2018-08</v>
      </c>
      <c r="B1355" s="14" t="s">
        <v>588</v>
      </c>
      <c r="C1355" s="14" t="s">
        <v>1066</v>
      </c>
      <c r="D1355" s="14" t="s">
        <v>535</v>
      </c>
      <c r="E1355" s="14" t="s">
        <v>2189</v>
      </c>
      <c r="F1355" s="14">
        <v>30</v>
      </c>
      <c r="G1355" s="14">
        <v>278.39999999999998</v>
      </c>
      <c r="H1355" s="14">
        <v>9.2799999999999994</v>
      </c>
      <c r="I1355" s="14">
        <v>20</v>
      </c>
      <c r="J1355" s="14">
        <v>222.72</v>
      </c>
    </row>
    <row r="1356" spans="1:10" hidden="1">
      <c r="A1356" s="131" t="str">
        <f t="shared" si="21"/>
        <v>Urbis Park_2018-09</v>
      </c>
      <c r="B1356" s="14" t="s">
        <v>588</v>
      </c>
      <c r="C1356" s="14" t="s">
        <v>1066</v>
      </c>
      <c r="D1356" s="14" t="s">
        <v>535</v>
      </c>
      <c r="E1356" s="14" t="s">
        <v>2268</v>
      </c>
      <c r="F1356" s="14">
        <v>30</v>
      </c>
      <c r="G1356" s="14">
        <v>83.2</v>
      </c>
      <c r="H1356" s="14">
        <v>2.77</v>
      </c>
      <c r="I1356" s="14">
        <v>20</v>
      </c>
      <c r="J1356" s="14">
        <v>66.56</v>
      </c>
    </row>
    <row r="1357" spans="1:10" hidden="1">
      <c r="A1357" s="131" t="str">
        <f t="shared" si="21"/>
        <v>Urbis Park_2018-07</v>
      </c>
      <c r="B1357" s="14" t="s">
        <v>588</v>
      </c>
      <c r="C1357" s="14" t="s">
        <v>2166</v>
      </c>
      <c r="D1357" s="14" t="s">
        <v>535</v>
      </c>
      <c r="E1357" s="14" t="s">
        <v>2144</v>
      </c>
      <c r="F1357" s="14">
        <v>100</v>
      </c>
      <c r="G1357" s="14">
        <v>101.75</v>
      </c>
      <c r="H1357" s="14">
        <v>1.02</v>
      </c>
      <c r="I1357" s="14">
        <v>20</v>
      </c>
      <c r="J1357" s="14">
        <v>81.400000000000006</v>
      </c>
    </row>
    <row r="1358" spans="1:10">
      <c r="A1358" s="131" t="str">
        <f t="shared" si="21"/>
        <v>Urbis Park_2018-08</v>
      </c>
      <c r="B1358" s="14" t="s">
        <v>588</v>
      </c>
      <c r="C1358" s="14" t="s">
        <v>2166</v>
      </c>
      <c r="D1358" s="14" t="s">
        <v>535</v>
      </c>
      <c r="E1358" s="14" t="s">
        <v>2189</v>
      </c>
      <c r="F1358" s="14">
        <v>100</v>
      </c>
      <c r="G1358" s="14">
        <v>10.029999999999999</v>
      </c>
      <c r="H1358" s="14">
        <v>0.1</v>
      </c>
      <c r="I1358" s="14">
        <v>20</v>
      </c>
      <c r="J1358" s="14">
        <v>8.02</v>
      </c>
    </row>
    <row r="1359" spans="1:10" hidden="1">
      <c r="A1359" s="131" t="str">
        <f t="shared" si="21"/>
        <v>Urbis Park_2018-09</v>
      </c>
      <c r="B1359" s="14" t="s">
        <v>588</v>
      </c>
      <c r="C1359" s="14" t="s">
        <v>2166</v>
      </c>
      <c r="D1359" s="14" t="s">
        <v>535</v>
      </c>
      <c r="E1359" s="14" t="s">
        <v>2268</v>
      </c>
      <c r="F1359" s="14">
        <v>100</v>
      </c>
      <c r="G1359" s="14">
        <v>3.49</v>
      </c>
      <c r="H1359" s="14">
        <v>0.03</v>
      </c>
      <c r="I1359" s="14">
        <v>20</v>
      </c>
      <c r="J1359" s="14">
        <v>2.79</v>
      </c>
    </row>
    <row r="1360" spans="1:10" hidden="1">
      <c r="A1360" s="131" t="str">
        <f t="shared" si="21"/>
        <v>Urbis Park_2018-07</v>
      </c>
      <c r="B1360" s="14" t="s">
        <v>588</v>
      </c>
      <c r="C1360" s="14" t="s">
        <v>852</v>
      </c>
      <c r="D1360" s="14" t="s">
        <v>535</v>
      </c>
      <c r="E1360" s="14" t="s">
        <v>2144</v>
      </c>
      <c r="F1360" s="14">
        <v>15</v>
      </c>
      <c r="G1360" s="14">
        <v>1587.1</v>
      </c>
      <c r="H1360" s="14">
        <v>105.81</v>
      </c>
      <c r="I1360" s="14">
        <v>20</v>
      </c>
      <c r="J1360" s="14">
        <v>1269.68</v>
      </c>
    </row>
    <row r="1361" spans="1:10">
      <c r="A1361" s="131" t="str">
        <f t="shared" si="21"/>
        <v>Urbis Park_2018-08</v>
      </c>
      <c r="B1361" s="14" t="s">
        <v>588</v>
      </c>
      <c r="C1361" s="14" t="s">
        <v>852</v>
      </c>
      <c r="D1361" s="14" t="s">
        <v>535</v>
      </c>
      <c r="E1361" s="14" t="s">
        <v>2189</v>
      </c>
      <c r="F1361" s="14">
        <v>15</v>
      </c>
      <c r="G1361" s="14">
        <v>869.5</v>
      </c>
      <c r="H1361" s="14">
        <v>57.97</v>
      </c>
      <c r="I1361" s="14">
        <v>20</v>
      </c>
      <c r="J1361" s="14">
        <v>695.6</v>
      </c>
    </row>
    <row r="1362" spans="1:10" hidden="1">
      <c r="A1362" s="131" t="str">
        <f t="shared" si="21"/>
        <v>Urbis Park_2018-09</v>
      </c>
      <c r="B1362" s="14" t="s">
        <v>588</v>
      </c>
      <c r="C1362" s="14" t="s">
        <v>852</v>
      </c>
      <c r="D1362" s="14" t="s">
        <v>535</v>
      </c>
      <c r="E1362" s="14" t="s">
        <v>2268</v>
      </c>
      <c r="F1362" s="14">
        <v>15</v>
      </c>
      <c r="G1362" s="14">
        <v>976.6</v>
      </c>
      <c r="H1362" s="14">
        <v>65.11</v>
      </c>
      <c r="I1362" s="14">
        <v>20</v>
      </c>
      <c r="J1362" s="14">
        <v>781.28</v>
      </c>
    </row>
    <row r="1363" spans="1:10" hidden="1">
      <c r="A1363" s="131" t="str">
        <f t="shared" si="21"/>
        <v>Urbis Park_2018-07</v>
      </c>
      <c r="B1363" s="14" t="s">
        <v>588</v>
      </c>
      <c r="C1363" s="14" t="s">
        <v>853</v>
      </c>
      <c r="D1363" s="14" t="s">
        <v>535</v>
      </c>
      <c r="E1363" s="14" t="s">
        <v>2144</v>
      </c>
      <c r="F1363" s="14">
        <v>30</v>
      </c>
      <c r="G1363" s="14">
        <v>1409.5</v>
      </c>
      <c r="H1363" s="14">
        <v>46.98</v>
      </c>
      <c r="I1363" s="14">
        <v>20</v>
      </c>
      <c r="J1363" s="14">
        <v>1127.5999999999999</v>
      </c>
    </row>
    <row r="1364" spans="1:10">
      <c r="A1364" s="131" t="str">
        <f t="shared" si="21"/>
        <v>Urbis Park_2018-08</v>
      </c>
      <c r="B1364" s="14" t="s">
        <v>588</v>
      </c>
      <c r="C1364" s="14" t="s">
        <v>853</v>
      </c>
      <c r="D1364" s="14" t="s">
        <v>535</v>
      </c>
      <c r="E1364" s="14" t="s">
        <v>2189</v>
      </c>
      <c r="F1364" s="14">
        <v>30</v>
      </c>
      <c r="G1364" s="14">
        <v>776.5</v>
      </c>
      <c r="H1364" s="14">
        <v>25.88</v>
      </c>
      <c r="I1364" s="14">
        <v>20</v>
      </c>
      <c r="J1364" s="14">
        <v>621.20000000000005</v>
      </c>
    </row>
    <row r="1365" spans="1:10" hidden="1">
      <c r="A1365" s="131" t="str">
        <f t="shared" si="21"/>
        <v>Urbis Park_2018-09</v>
      </c>
      <c r="B1365" s="14" t="s">
        <v>588</v>
      </c>
      <c r="C1365" s="14" t="s">
        <v>853</v>
      </c>
      <c r="D1365" s="14" t="s">
        <v>535</v>
      </c>
      <c r="E1365" s="14" t="s">
        <v>2268</v>
      </c>
      <c r="F1365" s="14">
        <v>30</v>
      </c>
      <c r="G1365" s="14">
        <v>3479.05</v>
      </c>
      <c r="H1365" s="14">
        <v>115.97</v>
      </c>
      <c r="I1365" s="14">
        <v>20</v>
      </c>
      <c r="J1365" s="14">
        <v>2783.24</v>
      </c>
    </row>
    <row r="1366" spans="1:10" hidden="1">
      <c r="A1366" s="131" t="str">
        <f t="shared" si="21"/>
        <v>Urbis Park_2018-07</v>
      </c>
      <c r="B1366" s="14" t="s">
        <v>588</v>
      </c>
      <c r="C1366" s="14" t="s">
        <v>854</v>
      </c>
      <c r="D1366" s="14" t="s">
        <v>535</v>
      </c>
      <c r="E1366" s="14" t="s">
        <v>2144</v>
      </c>
      <c r="F1366" s="14">
        <v>15</v>
      </c>
      <c r="G1366" s="14">
        <v>324.2</v>
      </c>
      <c r="H1366" s="14">
        <v>21.61</v>
      </c>
      <c r="I1366" s="14">
        <v>20</v>
      </c>
      <c r="J1366" s="14">
        <v>259.36</v>
      </c>
    </row>
    <row r="1367" spans="1:10">
      <c r="A1367" s="131" t="str">
        <f t="shared" si="21"/>
        <v>Urbis Park_2018-08</v>
      </c>
      <c r="B1367" s="14" t="s">
        <v>588</v>
      </c>
      <c r="C1367" s="14" t="s">
        <v>854</v>
      </c>
      <c r="D1367" s="14" t="s">
        <v>535</v>
      </c>
      <c r="E1367" s="14" t="s">
        <v>2189</v>
      </c>
      <c r="F1367" s="14">
        <v>15</v>
      </c>
      <c r="G1367" s="14">
        <v>450.8</v>
      </c>
      <c r="H1367" s="14">
        <v>30.05</v>
      </c>
      <c r="I1367" s="14">
        <v>20</v>
      </c>
      <c r="J1367" s="14">
        <v>360.64</v>
      </c>
    </row>
    <row r="1368" spans="1:10" hidden="1">
      <c r="A1368" s="131" t="str">
        <f t="shared" si="21"/>
        <v>Urbis Park_2018-09</v>
      </c>
      <c r="B1368" s="14" t="s">
        <v>588</v>
      </c>
      <c r="C1368" s="14" t="s">
        <v>854</v>
      </c>
      <c r="D1368" s="14" t="s">
        <v>535</v>
      </c>
      <c r="E1368" s="14" t="s">
        <v>2268</v>
      </c>
      <c r="F1368" s="14">
        <v>15</v>
      </c>
      <c r="G1368" s="14">
        <v>561.29999999999995</v>
      </c>
      <c r="H1368" s="14">
        <v>37.42</v>
      </c>
      <c r="I1368" s="14">
        <v>20</v>
      </c>
      <c r="J1368" s="14">
        <v>449.04</v>
      </c>
    </row>
    <row r="1369" spans="1:10" hidden="1">
      <c r="A1369" s="131" t="str">
        <f t="shared" si="21"/>
        <v>Urbis Park_2018-07</v>
      </c>
      <c r="B1369" s="14" t="s">
        <v>588</v>
      </c>
      <c r="C1369" s="14" t="s">
        <v>855</v>
      </c>
      <c r="D1369" s="14" t="s">
        <v>535</v>
      </c>
      <c r="E1369" s="14" t="s">
        <v>2144</v>
      </c>
      <c r="F1369" s="14">
        <v>30</v>
      </c>
      <c r="G1369" s="14">
        <v>841.4</v>
      </c>
      <c r="H1369" s="14">
        <v>28.05</v>
      </c>
      <c r="I1369" s="14">
        <v>20</v>
      </c>
      <c r="J1369" s="14">
        <v>673.12</v>
      </c>
    </row>
    <row r="1370" spans="1:10">
      <c r="A1370" s="131" t="str">
        <f t="shared" si="21"/>
        <v>Urbis Park_2018-08</v>
      </c>
      <c r="B1370" s="14" t="s">
        <v>588</v>
      </c>
      <c r="C1370" s="14" t="s">
        <v>855</v>
      </c>
      <c r="D1370" s="14" t="s">
        <v>535</v>
      </c>
      <c r="E1370" s="14" t="s">
        <v>2189</v>
      </c>
      <c r="F1370" s="14">
        <v>30</v>
      </c>
      <c r="G1370" s="14">
        <v>662.7</v>
      </c>
      <c r="H1370" s="14">
        <v>22.09</v>
      </c>
      <c r="I1370" s="14">
        <v>20</v>
      </c>
      <c r="J1370" s="14">
        <v>530.16</v>
      </c>
    </row>
    <row r="1371" spans="1:10" hidden="1">
      <c r="A1371" s="131" t="str">
        <f t="shared" si="21"/>
        <v>Urbis Park_2018-09</v>
      </c>
      <c r="B1371" s="14" t="s">
        <v>588</v>
      </c>
      <c r="C1371" s="14" t="s">
        <v>855</v>
      </c>
      <c r="D1371" s="14" t="s">
        <v>535</v>
      </c>
      <c r="E1371" s="14" t="s">
        <v>2268</v>
      </c>
      <c r="F1371" s="14">
        <v>30</v>
      </c>
      <c r="G1371" s="14">
        <v>933.76</v>
      </c>
      <c r="H1371" s="14">
        <v>31.13</v>
      </c>
      <c r="I1371" s="14">
        <v>20</v>
      </c>
      <c r="J1371" s="14">
        <v>747.01</v>
      </c>
    </row>
    <row r="1372" spans="1:10" hidden="1">
      <c r="A1372" s="131" t="str">
        <f t="shared" si="21"/>
        <v>Urbis Park_2018-07</v>
      </c>
      <c r="B1372" s="14" t="s">
        <v>588</v>
      </c>
      <c r="C1372" s="14" t="s">
        <v>1288</v>
      </c>
      <c r="D1372" s="14" t="s">
        <v>535</v>
      </c>
      <c r="E1372" s="14" t="s">
        <v>2144</v>
      </c>
      <c r="F1372" s="14">
        <v>10</v>
      </c>
      <c r="G1372" s="14">
        <v>29.3</v>
      </c>
      <c r="H1372" s="14">
        <v>2.93</v>
      </c>
      <c r="I1372" s="14">
        <v>20</v>
      </c>
      <c r="J1372" s="14">
        <v>23.44</v>
      </c>
    </row>
    <row r="1373" spans="1:10">
      <c r="A1373" s="131" t="str">
        <f t="shared" si="21"/>
        <v>Urbis Park_2018-08</v>
      </c>
      <c r="B1373" s="14" t="s">
        <v>588</v>
      </c>
      <c r="C1373" s="14" t="s">
        <v>1288</v>
      </c>
      <c r="D1373" s="14" t="s">
        <v>535</v>
      </c>
      <c r="E1373" s="14" t="s">
        <v>2189</v>
      </c>
      <c r="F1373" s="14">
        <v>10</v>
      </c>
      <c r="G1373" s="14">
        <v>70.8</v>
      </c>
      <c r="H1373" s="14">
        <v>7.08</v>
      </c>
      <c r="I1373" s="14">
        <v>20</v>
      </c>
      <c r="J1373" s="14">
        <v>56.64</v>
      </c>
    </row>
    <row r="1374" spans="1:10" hidden="1">
      <c r="A1374" s="131" t="str">
        <f t="shared" si="21"/>
        <v>Urbis Park_2018-09</v>
      </c>
      <c r="B1374" s="14" t="s">
        <v>588</v>
      </c>
      <c r="C1374" s="14" t="s">
        <v>1288</v>
      </c>
      <c r="D1374" s="14" t="s">
        <v>535</v>
      </c>
      <c r="E1374" s="14" t="s">
        <v>2268</v>
      </c>
      <c r="F1374" s="14">
        <v>10</v>
      </c>
      <c r="G1374" s="14">
        <v>0</v>
      </c>
      <c r="H1374" s="14">
        <v>0</v>
      </c>
      <c r="I1374" s="14">
        <v>20</v>
      </c>
      <c r="J1374" s="14">
        <v>0</v>
      </c>
    </row>
    <row r="1375" spans="1:10" hidden="1">
      <c r="A1375" s="131" t="str">
        <f t="shared" si="21"/>
        <v>Valopark_2018-07</v>
      </c>
      <c r="B1375" s="14" t="s">
        <v>1961</v>
      </c>
      <c r="C1375" s="14" t="s">
        <v>2167</v>
      </c>
      <c r="D1375" s="14" t="s">
        <v>535</v>
      </c>
      <c r="E1375" s="14" t="s">
        <v>2144</v>
      </c>
      <c r="F1375" s="14">
        <v>2</v>
      </c>
      <c r="G1375" s="14">
        <v>130.66999999999999</v>
      </c>
      <c r="H1375" s="14">
        <v>65.33</v>
      </c>
      <c r="I1375" s="14">
        <v>30</v>
      </c>
      <c r="J1375" s="14">
        <v>91.47</v>
      </c>
    </row>
    <row r="1376" spans="1:10">
      <c r="A1376" s="131" t="str">
        <f t="shared" si="21"/>
        <v>Valopark_2018-08</v>
      </c>
      <c r="B1376" s="14" t="s">
        <v>1961</v>
      </c>
      <c r="C1376" s="14" t="s">
        <v>2167</v>
      </c>
      <c r="D1376" s="14" t="s">
        <v>535</v>
      </c>
      <c r="E1376" s="14" t="s">
        <v>2189</v>
      </c>
      <c r="F1376" s="14">
        <v>2</v>
      </c>
      <c r="G1376" s="14">
        <v>135.47999999999999</v>
      </c>
      <c r="H1376" s="14">
        <v>67.739999999999995</v>
      </c>
      <c r="I1376" s="14">
        <v>30</v>
      </c>
      <c r="J1376" s="14">
        <v>94.84</v>
      </c>
    </row>
    <row r="1377" spans="1:10" hidden="1">
      <c r="A1377" s="131" t="str">
        <f t="shared" si="21"/>
        <v>Valopark_2018-09</v>
      </c>
      <c r="B1377" s="14" t="s">
        <v>1961</v>
      </c>
      <c r="C1377" s="14" t="s">
        <v>2167</v>
      </c>
      <c r="D1377" s="14" t="s">
        <v>535</v>
      </c>
      <c r="E1377" s="14" t="s">
        <v>2268</v>
      </c>
      <c r="F1377" s="14">
        <v>2</v>
      </c>
      <c r="G1377" s="14">
        <v>140</v>
      </c>
      <c r="H1377" s="14">
        <v>70</v>
      </c>
      <c r="I1377" s="14">
        <v>30</v>
      </c>
      <c r="J1377" s="14">
        <v>98</v>
      </c>
    </row>
    <row r="1378" spans="1:10" hidden="1">
      <c r="A1378" s="131" t="str">
        <f t="shared" si="21"/>
        <v>Valopark_2018-07</v>
      </c>
      <c r="B1378" s="14" t="s">
        <v>1961</v>
      </c>
      <c r="C1378" s="14" t="s">
        <v>1997</v>
      </c>
      <c r="D1378" s="14" t="s">
        <v>535</v>
      </c>
      <c r="E1378" s="14" t="s">
        <v>2144</v>
      </c>
      <c r="F1378" s="14">
        <v>2</v>
      </c>
      <c r="G1378" s="14">
        <v>55</v>
      </c>
      <c r="H1378" s="14">
        <v>27.5</v>
      </c>
      <c r="I1378" s="14">
        <v>30</v>
      </c>
      <c r="J1378" s="14">
        <v>38.5</v>
      </c>
    </row>
    <row r="1379" spans="1:10">
      <c r="A1379" s="131" t="str">
        <f t="shared" si="21"/>
        <v>Valopark_2018-08</v>
      </c>
      <c r="B1379" s="14" t="s">
        <v>1961</v>
      </c>
      <c r="C1379" s="14" t="s">
        <v>1997</v>
      </c>
      <c r="D1379" s="14" t="s">
        <v>535</v>
      </c>
      <c r="E1379" s="14" t="s">
        <v>2189</v>
      </c>
      <c r="F1379" s="14">
        <v>2</v>
      </c>
      <c r="G1379" s="14">
        <v>-77.06</v>
      </c>
      <c r="H1379" s="14">
        <v>-38.53</v>
      </c>
      <c r="I1379" s="14">
        <v>30</v>
      </c>
      <c r="J1379" s="14">
        <v>-53.94</v>
      </c>
    </row>
    <row r="1380" spans="1:10" hidden="1">
      <c r="A1380" s="131" t="str">
        <f t="shared" si="21"/>
        <v>Valopark_2018-07</v>
      </c>
      <c r="B1380" s="14" t="s">
        <v>1961</v>
      </c>
      <c r="C1380" s="14" t="s">
        <v>1998</v>
      </c>
      <c r="D1380" s="14" t="s">
        <v>535</v>
      </c>
      <c r="E1380" s="14" t="s">
        <v>2144</v>
      </c>
      <c r="F1380" s="14">
        <v>2</v>
      </c>
      <c r="G1380" s="14">
        <v>80</v>
      </c>
      <c r="H1380" s="14">
        <v>40</v>
      </c>
      <c r="I1380" s="14">
        <v>30</v>
      </c>
      <c r="J1380" s="14">
        <v>56</v>
      </c>
    </row>
    <row r="1381" spans="1:10">
      <c r="A1381" s="131" t="str">
        <f t="shared" si="21"/>
        <v>Valopark_2018-08</v>
      </c>
      <c r="B1381" s="14" t="s">
        <v>1961</v>
      </c>
      <c r="C1381" s="14" t="s">
        <v>1998</v>
      </c>
      <c r="D1381" s="14" t="s">
        <v>535</v>
      </c>
      <c r="E1381" s="14" t="s">
        <v>2189</v>
      </c>
      <c r="F1381" s="14">
        <v>2</v>
      </c>
      <c r="G1381" s="14">
        <v>80</v>
      </c>
      <c r="H1381" s="14">
        <v>40</v>
      </c>
      <c r="I1381" s="14">
        <v>30</v>
      </c>
      <c r="J1381" s="14">
        <v>56</v>
      </c>
    </row>
    <row r="1382" spans="1:10" hidden="1">
      <c r="A1382" s="131" t="str">
        <f t="shared" si="21"/>
        <v>Valopark_2018-09</v>
      </c>
      <c r="B1382" s="14" t="s">
        <v>1961</v>
      </c>
      <c r="C1382" s="14" t="s">
        <v>1998</v>
      </c>
      <c r="D1382" s="14" t="s">
        <v>535</v>
      </c>
      <c r="E1382" s="14" t="s">
        <v>2268</v>
      </c>
      <c r="F1382" s="14">
        <v>2</v>
      </c>
      <c r="G1382" s="14">
        <v>80</v>
      </c>
      <c r="H1382" s="14">
        <v>40</v>
      </c>
      <c r="I1382" s="14">
        <v>30</v>
      </c>
      <c r="J1382" s="14">
        <v>56</v>
      </c>
    </row>
    <row r="1383" spans="1:10" hidden="1">
      <c r="A1383" s="131" t="str">
        <f t="shared" si="21"/>
        <v>Valopark_2018-07</v>
      </c>
      <c r="B1383" s="14" t="s">
        <v>1961</v>
      </c>
      <c r="C1383" s="14" t="s">
        <v>1999</v>
      </c>
      <c r="D1383" s="14" t="s">
        <v>535</v>
      </c>
      <c r="E1383" s="14" t="s">
        <v>2144</v>
      </c>
      <c r="F1383" s="14">
        <v>3</v>
      </c>
      <c r="G1383" s="14">
        <v>136</v>
      </c>
      <c r="H1383" s="14">
        <v>45.33</v>
      </c>
      <c r="I1383" s="14">
        <v>30</v>
      </c>
      <c r="J1383" s="14">
        <v>95.2</v>
      </c>
    </row>
    <row r="1384" spans="1:10">
      <c r="A1384" s="131" t="str">
        <f t="shared" si="21"/>
        <v>Valopark_2018-08</v>
      </c>
      <c r="B1384" s="14" t="s">
        <v>1961</v>
      </c>
      <c r="C1384" s="14" t="s">
        <v>1999</v>
      </c>
      <c r="D1384" s="14" t="s">
        <v>535</v>
      </c>
      <c r="E1384" s="14" t="s">
        <v>2189</v>
      </c>
      <c r="F1384" s="14">
        <v>3</v>
      </c>
      <c r="G1384" s="14">
        <v>170</v>
      </c>
      <c r="H1384" s="14">
        <v>56.67</v>
      </c>
      <c r="I1384" s="14">
        <v>30</v>
      </c>
      <c r="J1384" s="14">
        <v>119</v>
      </c>
    </row>
    <row r="1385" spans="1:10" hidden="1">
      <c r="A1385" s="131" t="str">
        <f t="shared" si="21"/>
        <v>Valopark_2018-09</v>
      </c>
      <c r="B1385" s="14" t="s">
        <v>1961</v>
      </c>
      <c r="C1385" s="14" t="s">
        <v>1999</v>
      </c>
      <c r="D1385" s="14" t="s">
        <v>535</v>
      </c>
      <c r="E1385" s="14" t="s">
        <v>2268</v>
      </c>
      <c r="F1385" s="14">
        <v>3</v>
      </c>
      <c r="G1385" s="14">
        <v>170</v>
      </c>
      <c r="H1385" s="14">
        <v>56.67</v>
      </c>
      <c r="I1385" s="14">
        <v>30</v>
      </c>
      <c r="J1385" s="14">
        <v>119</v>
      </c>
    </row>
    <row r="1386" spans="1:10">
      <c r="A1386" s="131" t="str">
        <f t="shared" si="21"/>
        <v>Valopark_2018-08</v>
      </c>
      <c r="B1386" s="14" t="s">
        <v>1961</v>
      </c>
      <c r="C1386" s="14" t="s">
        <v>2233</v>
      </c>
      <c r="D1386" s="14" t="s">
        <v>535</v>
      </c>
      <c r="E1386" s="14" t="s">
        <v>2189</v>
      </c>
      <c r="F1386" s="14">
        <v>2</v>
      </c>
      <c r="G1386" s="14">
        <v>49</v>
      </c>
      <c r="H1386" s="14">
        <v>24.5</v>
      </c>
      <c r="I1386" s="14">
        <v>30</v>
      </c>
      <c r="J1386" s="14">
        <v>34.299999999999997</v>
      </c>
    </row>
    <row r="1387" spans="1:10" hidden="1">
      <c r="A1387" s="131" t="str">
        <f t="shared" ref="A1387:A1404" si="22">CONCATENATE(B1387,"_",E1387)</f>
        <v>Valopark_2018-09</v>
      </c>
      <c r="B1387" s="14" t="s">
        <v>1961</v>
      </c>
      <c r="C1387" s="14" t="s">
        <v>2233</v>
      </c>
      <c r="D1387" s="14" t="s">
        <v>535</v>
      </c>
      <c r="E1387" s="14" t="s">
        <v>2268</v>
      </c>
      <c r="F1387" s="14">
        <v>2</v>
      </c>
      <c r="G1387" s="14">
        <v>63.7</v>
      </c>
      <c r="H1387" s="14">
        <v>31.85</v>
      </c>
      <c r="I1387" s="14">
        <v>30</v>
      </c>
      <c r="J1387" s="14">
        <v>44.59</v>
      </c>
    </row>
    <row r="1388" spans="1:10" hidden="1">
      <c r="A1388" s="131" t="str">
        <f t="shared" si="22"/>
        <v>Valopark_2018-07</v>
      </c>
      <c r="B1388" s="14" t="s">
        <v>1961</v>
      </c>
      <c r="C1388" s="14" t="s">
        <v>2168</v>
      </c>
      <c r="D1388" s="14" t="s">
        <v>535</v>
      </c>
      <c r="E1388" s="14" t="s">
        <v>2144</v>
      </c>
      <c r="F1388" s="14">
        <v>2</v>
      </c>
      <c r="G1388" s="14">
        <v>31.61</v>
      </c>
      <c r="H1388" s="14">
        <v>15.8</v>
      </c>
      <c r="I1388" s="14">
        <v>30</v>
      </c>
      <c r="J1388" s="14">
        <v>22.13</v>
      </c>
    </row>
    <row r="1389" spans="1:10">
      <c r="A1389" s="131" t="str">
        <f t="shared" si="22"/>
        <v>Valopark_2018-08</v>
      </c>
      <c r="B1389" s="14" t="s">
        <v>1961</v>
      </c>
      <c r="C1389" s="14" t="s">
        <v>2168</v>
      </c>
      <c r="D1389" s="14" t="s">
        <v>535</v>
      </c>
      <c r="E1389" s="14" t="s">
        <v>2189</v>
      </c>
      <c r="F1389" s="14">
        <v>2</v>
      </c>
      <c r="G1389" s="14">
        <v>49</v>
      </c>
      <c r="H1389" s="14">
        <v>24.5</v>
      </c>
      <c r="I1389" s="14">
        <v>30</v>
      </c>
      <c r="J1389" s="14">
        <v>34.299999999999997</v>
      </c>
    </row>
    <row r="1390" spans="1:10" hidden="1">
      <c r="A1390" s="131" t="str">
        <f t="shared" si="22"/>
        <v>Valopark_2018-09</v>
      </c>
      <c r="B1390" s="14" t="s">
        <v>1961</v>
      </c>
      <c r="C1390" s="14" t="s">
        <v>2168</v>
      </c>
      <c r="D1390" s="14" t="s">
        <v>535</v>
      </c>
      <c r="E1390" s="14" t="s">
        <v>2268</v>
      </c>
      <c r="F1390" s="14">
        <v>2</v>
      </c>
      <c r="G1390" s="14">
        <v>49</v>
      </c>
      <c r="H1390" s="14">
        <v>24.5</v>
      </c>
      <c r="I1390" s="14">
        <v>30</v>
      </c>
      <c r="J1390" s="14">
        <v>34.299999999999997</v>
      </c>
    </row>
    <row r="1391" spans="1:10" hidden="1">
      <c r="A1391" s="131" t="str">
        <f t="shared" si="22"/>
        <v>Valopark_2018-07</v>
      </c>
      <c r="B1391" s="14" t="s">
        <v>1961</v>
      </c>
      <c r="C1391" s="14" t="s">
        <v>2326</v>
      </c>
      <c r="D1391" s="14" t="s">
        <v>535</v>
      </c>
      <c r="E1391" s="14" t="s">
        <v>2144</v>
      </c>
      <c r="F1391" s="14">
        <v>1</v>
      </c>
      <c r="G1391" s="14">
        <v>100</v>
      </c>
      <c r="H1391" s="14">
        <v>100</v>
      </c>
      <c r="I1391" s="14">
        <v>30</v>
      </c>
      <c r="J1391" s="14">
        <v>70</v>
      </c>
    </row>
    <row r="1392" spans="1:10" hidden="1">
      <c r="A1392" s="131" t="str">
        <f t="shared" si="22"/>
        <v>Valopark_2018-07</v>
      </c>
      <c r="B1392" s="14" t="s">
        <v>1961</v>
      </c>
      <c r="C1392" s="14" t="s">
        <v>2327</v>
      </c>
      <c r="D1392" s="14" t="s">
        <v>535</v>
      </c>
      <c r="E1392" s="14" t="s">
        <v>2144</v>
      </c>
      <c r="F1392" s="14">
        <v>2</v>
      </c>
      <c r="G1392" s="14">
        <v>180</v>
      </c>
      <c r="H1392" s="14">
        <v>90</v>
      </c>
      <c r="I1392" s="14">
        <v>30</v>
      </c>
      <c r="J1392" s="14">
        <v>126</v>
      </c>
    </row>
    <row r="1393" spans="1:10">
      <c r="A1393" s="131" t="str">
        <f t="shared" si="22"/>
        <v>Valopark_2018-08</v>
      </c>
      <c r="B1393" s="14" t="s">
        <v>1961</v>
      </c>
      <c r="C1393" s="14" t="s">
        <v>2234</v>
      </c>
      <c r="D1393" s="14" t="s">
        <v>535</v>
      </c>
      <c r="E1393" s="14" t="s">
        <v>2189</v>
      </c>
      <c r="F1393" s="14">
        <v>4</v>
      </c>
      <c r="G1393" s="14">
        <v>174.94</v>
      </c>
      <c r="H1393" s="14">
        <v>43.73</v>
      </c>
      <c r="I1393" s="14">
        <v>30</v>
      </c>
      <c r="J1393" s="14">
        <v>122.46</v>
      </c>
    </row>
    <row r="1394" spans="1:10" hidden="1">
      <c r="A1394" s="131" t="str">
        <f t="shared" si="22"/>
        <v>Valopark_2018-09</v>
      </c>
      <c r="B1394" s="14" t="s">
        <v>1961</v>
      </c>
      <c r="C1394" s="14" t="s">
        <v>2234</v>
      </c>
      <c r="D1394" s="14" t="s">
        <v>535</v>
      </c>
      <c r="E1394" s="14" t="s">
        <v>2268</v>
      </c>
      <c r="F1394" s="14">
        <v>4</v>
      </c>
      <c r="G1394" s="14">
        <v>-51.61</v>
      </c>
      <c r="H1394" s="14">
        <v>-12.9</v>
      </c>
      <c r="I1394" s="14">
        <v>30</v>
      </c>
      <c r="J1394" s="14">
        <v>-36.130000000000003</v>
      </c>
    </row>
    <row r="1395" spans="1:10">
      <c r="A1395" s="131" t="str">
        <f t="shared" si="22"/>
        <v>Valopark_2018-08</v>
      </c>
      <c r="B1395" s="14" t="s">
        <v>1961</v>
      </c>
      <c r="C1395" s="14" t="s">
        <v>2235</v>
      </c>
      <c r="D1395" s="14" t="s">
        <v>535</v>
      </c>
      <c r="E1395" s="14" t="s">
        <v>2189</v>
      </c>
      <c r="F1395" s="14">
        <v>5</v>
      </c>
      <c r="G1395" s="14">
        <v>34.840000000000003</v>
      </c>
      <c r="H1395" s="14">
        <v>6.97</v>
      </c>
      <c r="I1395" s="14">
        <v>30</v>
      </c>
      <c r="J1395" s="14">
        <v>24.39</v>
      </c>
    </row>
    <row r="1396" spans="1:10" hidden="1">
      <c r="A1396" s="131" t="str">
        <f t="shared" si="22"/>
        <v>Valopark_2018-09</v>
      </c>
      <c r="B1396" s="14" t="s">
        <v>1961</v>
      </c>
      <c r="C1396" s="14" t="s">
        <v>2235</v>
      </c>
      <c r="D1396" s="14" t="s">
        <v>535</v>
      </c>
      <c r="E1396" s="14" t="s">
        <v>2268</v>
      </c>
      <c r="F1396" s="14">
        <v>5</v>
      </c>
      <c r="G1396" s="14">
        <v>30</v>
      </c>
      <c r="H1396" s="14">
        <v>6</v>
      </c>
      <c r="I1396" s="14">
        <v>30</v>
      </c>
      <c r="J1396" s="14">
        <v>21</v>
      </c>
    </row>
    <row r="1397" spans="1:10" hidden="1">
      <c r="A1397" s="131" t="str">
        <f t="shared" si="22"/>
        <v>Villa Soleil_2018-07</v>
      </c>
      <c r="B1397" s="14" t="s">
        <v>2142</v>
      </c>
      <c r="C1397" s="14" t="s">
        <v>2312</v>
      </c>
      <c r="D1397" s="14" t="s">
        <v>535</v>
      </c>
      <c r="E1397" s="14" t="s">
        <v>2144</v>
      </c>
      <c r="F1397" s="14">
        <v>20</v>
      </c>
      <c r="G1397" s="14">
        <v>34.5</v>
      </c>
      <c r="H1397" s="14">
        <v>1.73</v>
      </c>
      <c r="I1397" s="14">
        <v>45</v>
      </c>
      <c r="J1397" s="14">
        <v>18.98</v>
      </c>
    </row>
    <row r="1398" spans="1:10" hidden="1">
      <c r="A1398" s="131" t="str">
        <f t="shared" si="22"/>
        <v>Villa Soleil_2018-09</v>
      </c>
      <c r="B1398" s="14" t="s">
        <v>2142</v>
      </c>
      <c r="C1398" s="14" t="s">
        <v>2312</v>
      </c>
      <c r="D1398" s="14" t="s">
        <v>535</v>
      </c>
      <c r="E1398" s="14" t="s">
        <v>2268</v>
      </c>
      <c r="F1398" s="14">
        <v>20</v>
      </c>
      <c r="G1398" s="14">
        <v>118.5</v>
      </c>
      <c r="H1398" s="14">
        <v>5.92</v>
      </c>
      <c r="I1398" s="14">
        <v>40</v>
      </c>
      <c r="J1398" s="14">
        <v>71.099999999999994</v>
      </c>
    </row>
    <row r="1399" spans="1:10" hidden="1">
      <c r="A1399" s="131" t="str">
        <f t="shared" si="22"/>
        <v>Vilogia_2018-07</v>
      </c>
      <c r="B1399" s="14" t="s">
        <v>1915</v>
      </c>
      <c r="C1399" s="14" t="s">
        <v>1916</v>
      </c>
      <c r="D1399" s="14" t="s">
        <v>1917</v>
      </c>
      <c r="E1399" s="14" t="s">
        <v>2144</v>
      </c>
      <c r="F1399" s="14">
        <v>16</v>
      </c>
      <c r="G1399" s="14">
        <v>543.44000000000005</v>
      </c>
      <c r="H1399" s="14">
        <v>33.97</v>
      </c>
      <c r="I1399" s="14">
        <v>30</v>
      </c>
      <c r="J1399" s="14">
        <v>380.41</v>
      </c>
    </row>
    <row r="1400" spans="1:10">
      <c r="A1400" s="131" t="str">
        <f t="shared" si="22"/>
        <v>Vilogia_2018-08</v>
      </c>
      <c r="B1400" s="14" t="s">
        <v>1915</v>
      </c>
      <c r="C1400" s="14" t="s">
        <v>1916</v>
      </c>
      <c r="D1400" s="14" t="s">
        <v>1917</v>
      </c>
      <c r="E1400" s="14" t="s">
        <v>2189</v>
      </c>
      <c r="F1400" s="14">
        <v>16</v>
      </c>
      <c r="G1400" s="14">
        <v>543.32000000000005</v>
      </c>
      <c r="H1400" s="14">
        <v>33.96</v>
      </c>
      <c r="I1400" s="14">
        <v>30</v>
      </c>
      <c r="J1400" s="14">
        <v>380.32</v>
      </c>
    </row>
    <row r="1401" spans="1:10" hidden="1">
      <c r="A1401" s="131" t="str">
        <f t="shared" si="22"/>
        <v>Vilogia_2018-09</v>
      </c>
      <c r="B1401" s="14" t="s">
        <v>1915</v>
      </c>
      <c r="C1401" s="14" t="s">
        <v>1916</v>
      </c>
      <c r="D1401" s="14" t="s">
        <v>1917</v>
      </c>
      <c r="E1401" s="14" t="s">
        <v>2268</v>
      </c>
      <c r="F1401" s="14">
        <v>16</v>
      </c>
      <c r="G1401" s="14">
        <v>618.91</v>
      </c>
      <c r="H1401" s="14">
        <v>38.68</v>
      </c>
      <c r="I1401" s="14">
        <v>30</v>
      </c>
      <c r="J1401" s="14">
        <v>433.24</v>
      </c>
    </row>
    <row r="1402" spans="1:10" hidden="1">
      <c r="A1402" s="131" t="str">
        <f t="shared" si="22"/>
        <v>Vilogia_2018-07</v>
      </c>
      <c r="B1402" s="14" t="s">
        <v>1915</v>
      </c>
      <c r="C1402" s="14" t="s">
        <v>2000</v>
      </c>
      <c r="D1402" s="14" t="s">
        <v>2001</v>
      </c>
      <c r="E1402" s="14" t="s">
        <v>2144</v>
      </c>
      <c r="F1402" s="14">
        <v>0</v>
      </c>
      <c r="G1402" s="14">
        <v>49.84</v>
      </c>
      <c r="H1402" s="14" t="s">
        <v>535</v>
      </c>
      <c r="I1402" s="14">
        <v>30</v>
      </c>
      <c r="J1402" s="14">
        <v>34.89</v>
      </c>
    </row>
    <row r="1403" spans="1:10">
      <c r="A1403" s="131" t="str">
        <f t="shared" si="22"/>
        <v>Vilogia_2018-08</v>
      </c>
      <c r="B1403" s="14" t="s">
        <v>1915</v>
      </c>
      <c r="C1403" s="14" t="s">
        <v>2000</v>
      </c>
      <c r="D1403" s="14" t="s">
        <v>2001</v>
      </c>
      <c r="E1403" s="14" t="s">
        <v>2189</v>
      </c>
      <c r="F1403" s="14">
        <v>1.74</v>
      </c>
      <c r="G1403" s="14">
        <v>38.39</v>
      </c>
      <c r="H1403" s="14">
        <v>22.06</v>
      </c>
      <c r="I1403" s="14">
        <v>30</v>
      </c>
      <c r="J1403" s="14">
        <v>26.87</v>
      </c>
    </row>
    <row r="1404" spans="1:10" hidden="1">
      <c r="A1404" s="131" t="str">
        <f t="shared" si="22"/>
        <v>Vilogia_2018-09</v>
      </c>
      <c r="B1404" s="14" t="s">
        <v>1915</v>
      </c>
      <c r="C1404" s="14" t="s">
        <v>2000</v>
      </c>
      <c r="D1404" s="14" t="s">
        <v>2001</v>
      </c>
      <c r="E1404" s="14" t="s">
        <v>2268</v>
      </c>
      <c r="F1404" s="14">
        <v>6</v>
      </c>
      <c r="G1404" s="14">
        <v>155.99</v>
      </c>
      <c r="H1404" s="14">
        <v>26</v>
      </c>
      <c r="I1404" s="14">
        <v>30</v>
      </c>
      <c r="J1404" s="14">
        <v>109.19</v>
      </c>
    </row>
  </sheetData>
  <autoFilter ref="A1:K1404" xr:uid="{A568C5C8-4ABE-4DF4-80B5-53239DE30D70}">
    <filterColumn colId="4">
      <filters>
        <filter val="2018-08"/>
        <filter val="Moi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R213"/>
  <sheetViews>
    <sheetView view="pageBreakPreview" zoomScale="80" zoomScaleNormal="100" zoomScaleSheetLayoutView="80" zoomScalePageLayoutView="70" workbookViewId="0">
      <selection activeCell="I6" sqref="I6:T6"/>
    </sheetView>
  </sheetViews>
  <sheetFormatPr baseColWidth="10" defaultColWidth="10.61328125" defaultRowHeight="16.2"/>
  <cols>
    <col min="1" max="2" width="3.23046875" style="30" customWidth="1"/>
    <col min="3" max="3" width="4.23046875" style="30" customWidth="1"/>
    <col min="4" max="19" width="3.23046875" style="30" customWidth="1"/>
    <col min="20" max="20" width="3.61328125" style="30" customWidth="1"/>
    <col min="21" max="21" width="23" style="28" customWidth="1"/>
    <col min="22" max="22" width="17" style="30" customWidth="1"/>
    <col min="23" max="23" width="27.765625" style="56" customWidth="1"/>
    <col min="24" max="24" width="20" style="30" customWidth="1"/>
    <col min="25" max="29" width="10.69140625" style="30" customWidth="1"/>
    <col min="30" max="37" width="7.3828125" style="30" customWidth="1"/>
    <col min="38" max="43" width="8.07421875" style="30" customWidth="1"/>
    <col min="44" max="44" width="9.61328125" style="30" customWidth="1"/>
    <col min="45" max="45" width="10.61328125" style="30" customWidth="1"/>
    <col min="46" max="16384" width="10.61328125" style="30"/>
  </cols>
  <sheetData>
    <row r="1" spans="1:25" ht="15" customHeight="1" thickBot="1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187" t="s">
        <v>46</v>
      </c>
      <c r="N1" s="188"/>
      <c r="O1" s="188"/>
      <c r="P1" s="188"/>
      <c r="Q1" s="188"/>
      <c r="R1" s="188"/>
      <c r="S1" s="188"/>
      <c r="T1" s="188"/>
      <c r="U1" s="189" t="s">
        <v>53</v>
      </c>
      <c r="V1" s="30" t="s">
        <v>2267</v>
      </c>
      <c r="W1" s="143" t="s">
        <v>2266</v>
      </c>
      <c r="X1" s="145" t="s">
        <v>2005</v>
      </c>
      <c r="Y1" s="114" t="s">
        <v>2171</v>
      </c>
    </row>
    <row r="2" spans="1:25" ht="15" customHeight="1" thickBot="1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188"/>
      <c r="N2" s="188"/>
      <c r="O2" s="188"/>
      <c r="P2" s="188"/>
      <c r="Q2" s="188"/>
      <c r="R2" s="188"/>
      <c r="S2" s="188"/>
      <c r="T2" s="188"/>
      <c r="U2" s="189"/>
      <c r="W2" s="148" t="str">
        <f>IF(AND('Data_ Contrats'!O4="M",SUMIF(Data_P!A:A,CONCATENATE('Data_ Contrats'!A4,"_",E$23),Data_P!J:J)),'Data_ Contrats'!A4," ")</f>
        <v>AB Parcs Sentier</v>
      </c>
      <c r="X2" s="147" t="str">
        <f>VLOOKUP(I6,'Data_ Contrats'!A9:O211,7,FALSE)</f>
        <v>vanessa.grondin@pierreval.com ; noemie.faustinleybach@pierreval.com</v>
      </c>
    </row>
    <row r="3" spans="1:25" ht="15" customHeight="1" thickBot="1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188"/>
      <c r="N3" s="188"/>
      <c r="O3" s="188"/>
      <c r="P3" s="188"/>
      <c r="Q3" s="188"/>
      <c r="R3" s="188"/>
      <c r="S3" s="188"/>
      <c r="T3" s="188"/>
      <c r="U3" s="189"/>
      <c r="W3" s="148" t="str">
        <f>IF(AND('Data_ Contrats'!O5="M",SUMIF(Data_P!A:A,CONCATENATE('Data_ Contrats'!A5,"_",E$23),Data_P!J:J)),'Data_ Contrats'!A5," ")</f>
        <v>Actis</v>
      </c>
    </row>
    <row r="4" spans="1:25" ht="15" customHeight="1" thickBot="1">
      <c r="A4" s="31"/>
      <c r="B4" s="31"/>
      <c r="C4" s="31"/>
      <c r="D4" s="31"/>
      <c r="E4" s="31"/>
      <c r="F4" s="31"/>
      <c r="G4" s="31"/>
      <c r="H4" s="31"/>
      <c r="I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189"/>
      <c r="W4" s="148" t="str">
        <f>IF(AND('Data_ Contrats'!O6="M",SUMIF(Data_P!A:A,CONCATENATE('Data_ Contrats'!A6,"_",E$23),Data_P!J:J)),'Data_ Contrats'!A6," ")</f>
        <v xml:space="preserve"> </v>
      </c>
      <c r="X4" s="57"/>
      <c r="Y4" s="132" t="s">
        <v>2004</v>
      </c>
    </row>
    <row r="5" spans="1:25" ht="15" customHeight="1" thickBot="1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189"/>
      <c r="W5" s="148" t="str">
        <f>IF(AND('Data_ Contrats'!O7="M",SUMIF(Data_P!A:A,CONCATENATE('Data_ Contrats'!A7,"_",E$23),Data_P!J:J)),'Data_ Contrats'!A7," ")</f>
        <v xml:space="preserve"> </v>
      </c>
    </row>
    <row r="6" spans="1:25" ht="15" customHeight="1" thickBot="1">
      <c r="A6" s="31"/>
      <c r="B6" s="31"/>
      <c r="C6" s="31"/>
      <c r="D6" s="31"/>
      <c r="E6" s="31"/>
      <c r="F6" s="31"/>
      <c r="G6" s="31"/>
      <c r="H6" s="31"/>
      <c r="I6" s="190" t="s">
        <v>28</v>
      </c>
      <c r="J6" s="190"/>
      <c r="K6" s="190"/>
      <c r="L6" s="190"/>
      <c r="M6" s="190"/>
      <c r="N6" s="190"/>
      <c r="O6" s="190"/>
      <c r="P6" s="190"/>
      <c r="Q6" s="190"/>
      <c r="R6" s="190"/>
      <c r="S6" s="190"/>
      <c r="T6" s="190"/>
      <c r="U6" s="28" t="s">
        <v>325</v>
      </c>
      <c r="W6" s="148" t="str">
        <f>IF(AND('Data_ Contrats'!O8="M",SUMIF(Data_P!A:A,CONCATENATE('Data_ Contrats'!A8,"_",E$23),Data_P!J:J)),'Data_ Contrats'!A8," ")</f>
        <v xml:space="preserve"> </v>
      </c>
    </row>
    <row r="7" spans="1:25" ht="15" customHeight="1" thickBot="1">
      <c r="A7" s="31"/>
      <c r="B7" s="31"/>
      <c r="C7" s="31"/>
      <c r="D7" s="31"/>
      <c r="E7" s="31"/>
      <c r="F7" s="31"/>
      <c r="G7" s="31"/>
      <c r="H7" s="31"/>
      <c r="I7" s="192" t="str">
        <f>CONCATENATE("A l'attention de ",VLOOKUP($I$6,'Data_ Contrats'!$A$4:$N$293,6))</f>
        <v>A l'attention de Mme Vanessa Grondin</v>
      </c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W7" s="148" t="str">
        <f>IF(AND('Data_ Contrats'!O9="M",SUMIF(Data_P!A:A,CONCATENATE('Data_ Contrats'!A9,"_",E$23),Data_P!J:J)),'Data_ Contrats'!A9," ")</f>
        <v xml:space="preserve"> </v>
      </c>
    </row>
    <row r="8" spans="1:25" ht="15" customHeight="1" thickBot="1">
      <c r="A8" s="31"/>
      <c r="B8" s="31"/>
      <c r="C8" s="31"/>
      <c r="D8" s="31"/>
      <c r="E8" s="31"/>
      <c r="F8" s="31"/>
      <c r="G8" s="31"/>
      <c r="H8" s="31"/>
      <c r="I8" s="195" t="str">
        <f>VLOOKUP($I$6,'Data_ Contrats'!$A$4:$N$293,4)</f>
        <v>3, boulevard René Descartes</v>
      </c>
      <c r="J8" s="195"/>
      <c r="K8" s="195"/>
      <c r="L8" s="195"/>
      <c r="M8" s="195"/>
      <c r="N8" s="195"/>
      <c r="O8" s="195"/>
      <c r="P8" s="195"/>
      <c r="Q8" s="195"/>
      <c r="R8" s="195"/>
      <c r="S8" s="195"/>
      <c r="T8" s="195"/>
      <c r="W8" s="148" t="str">
        <f>IF(AND('Data_ Contrats'!O10="M",SUMIF(Data_P!A:A,CONCATENATE('Data_ Contrats'!A10,"_",E$23),Data_P!J:J)),'Data_ Contrats'!A10," ")</f>
        <v>AEREL</v>
      </c>
    </row>
    <row r="9" spans="1:25" ht="15" customHeight="1" thickBot="1">
      <c r="A9" s="31"/>
      <c r="B9" s="31"/>
      <c r="C9" s="31"/>
      <c r="D9" s="31"/>
      <c r="E9" s="31"/>
      <c r="F9" s="31"/>
      <c r="G9" s="31"/>
      <c r="H9" s="31"/>
      <c r="I9" s="195"/>
      <c r="J9" s="195"/>
      <c r="K9" s="195"/>
      <c r="L9" s="195"/>
      <c r="M9" s="195"/>
      <c r="N9" s="195"/>
      <c r="O9" s="195"/>
      <c r="P9" s="195"/>
      <c r="Q9" s="195"/>
      <c r="R9" s="195"/>
      <c r="S9" s="195"/>
      <c r="T9" s="195"/>
      <c r="W9" s="148" t="str">
        <f>IF(AND('Data_ Contrats'!O11="M",SUMIF(Data_P!A:A,CONCATENATE('Data_ Contrats'!A11,"_",E$23),Data_P!J:J)),'Data_ Contrats'!A11," ")</f>
        <v>All Suites Orly</v>
      </c>
      <c r="X9" s="118"/>
    </row>
    <row r="10" spans="1:25" ht="15" customHeight="1" thickBot="1">
      <c r="A10" s="31"/>
      <c r="B10" s="31"/>
      <c r="C10" s="31"/>
      <c r="D10" s="31"/>
      <c r="E10" s="31"/>
      <c r="F10" s="31"/>
      <c r="G10" s="31"/>
      <c r="H10" s="31"/>
      <c r="I10" s="195"/>
      <c r="J10" s="195"/>
      <c r="K10" s="195"/>
      <c r="L10" s="195"/>
      <c r="M10" s="195"/>
      <c r="N10" s="195"/>
      <c r="O10" s="195"/>
      <c r="P10" s="195"/>
      <c r="Q10" s="195"/>
      <c r="R10" s="195"/>
      <c r="S10" s="195"/>
      <c r="T10" s="195"/>
      <c r="W10" s="148" t="str">
        <f>IF(AND('Data_ Contrats'!O12="M",SUMIF(Data_P!A:A,CONCATENATE('Data_ Contrats'!A12,"_",E$23),Data_P!J:J)),'Data_ Contrats'!A12," ")</f>
        <v xml:space="preserve"> </v>
      </c>
      <c r="X10" s="118"/>
    </row>
    <row r="11" spans="1:25" ht="15" customHeight="1" thickBot="1">
      <c r="A11" s="31"/>
      <c r="B11" s="31"/>
      <c r="C11" s="31"/>
      <c r="D11" s="31"/>
      <c r="E11" s="31"/>
      <c r="F11" s="99"/>
      <c r="G11" s="31"/>
      <c r="H11" s="31"/>
      <c r="I11" s="31" t="str">
        <f>VLOOKUP($I$6,'Data_ Contrats'!$A$4:$N$293,5)</f>
        <v>86360 Chasseneuil du Poitou</v>
      </c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W11" s="148" t="str">
        <f>IF(AND('Data_ Contrats'!O13="M",SUMIF(Data_P!A:A,CONCATENATE('Data_ Contrats'!A13,"_",E$23),Data_P!J:J)),'Data_ Contrats'!A13," ")</f>
        <v xml:space="preserve"> </v>
      </c>
      <c r="X11" s="118"/>
    </row>
    <row r="12" spans="1:25" ht="15" customHeight="1" thickBot="1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W12" s="148" t="str">
        <f>IF(AND('Data_ Contrats'!O14="M",SUMIF(Data_P!A:A,CONCATENATE('Data_ Contrats'!A14,"_",E$23),Data_P!J:J)),'Data_ Contrats'!A14," ")</f>
        <v xml:space="preserve"> </v>
      </c>
      <c r="X12" s="118"/>
    </row>
    <row r="13" spans="1:25" ht="15" customHeight="1" thickBot="1">
      <c r="A13" s="31"/>
      <c r="B13" s="31"/>
      <c r="C13" s="31"/>
      <c r="D13" s="31"/>
      <c r="E13" s="31"/>
      <c r="F13" s="31"/>
      <c r="G13" s="191"/>
      <c r="H13" s="19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W13" s="148" t="str">
        <f>IF(AND('Data_ Contrats'!O15="M",SUMIF(Data_P!A:A,CONCATENATE('Data_ Contrats'!A15,"_",E$23),Data_P!J:J)),'Data_ Contrats'!A15," ")</f>
        <v>Appart'City La Rochelle</v>
      </c>
      <c r="X13" s="118"/>
    </row>
    <row r="14" spans="1:25" ht="15" customHeight="1" thickBot="1">
      <c r="A14" s="18" t="s">
        <v>126</v>
      </c>
      <c r="B14" s="18"/>
      <c r="D14" s="99"/>
      <c r="E14" s="181">
        <f ca="1">TODAY()</f>
        <v>41922</v>
      </c>
      <c r="F14" s="181"/>
      <c r="G14" s="181"/>
      <c r="H14" s="181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W14" s="148" t="str">
        <f>IF(AND('Data_ Contrats'!O16="M",SUMIF(Data_P!A:A,CONCATENATE('Data_ Contrats'!A16,"_",E$23),Data_P!J:J)),'Data_ Contrats'!A16," ")</f>
        <v>Appart'City Limoges</v>
      </c>
      <c r="X14" s="118"/>
    </row>
    <row r="15" spans="1:25" ht="15" customHeight="1" thickBot="1">
      <c r="A15" s="18" t="s">
        <v>140</v>
      </c>
      <c r="B15" s="18"/>
      <c r="C15" s="18"/>
      <c r="E15" s="182" t="str">
        <f ca="1">CONCATENATE("AF_",VLOOKUP($I$6,'Data_ Contrats'!$A$1:$P$233,'Data_ Contrats'!B1),"_",TEXT(TODAY(),"aammjj"),"_01")</f>
        <v>AF_NAB_181011_01</v>
      </c>
      <c r="F15" s="182"/>
      <c r="G15" s="182"/>
      <c r="H15" s="182"/>
      <c r="I15" s="182"/>
      <c r="J15" s="182"/>
      <c r="K15" s="182"/>
      <c r="L15" s="182"/>
      <c r="M15" s="182"/>
      <c r="N15" s="182"/>
      <c r="O15" s="182"/>
      <c r="P15" s="182"/>
      <c r="Q15" s="182"/>
      <c r="R15" s="182"/>
      <c r="S15" s="182"/>
      <c r="T15" s="182"/>
      <c r="U15" s="189" t="s">
        <v>4</v>
      </c>
      <c r="W15" s="148" t="str">
        <f>IF(AND('Data_ Contrats'!O17="M",SUMIF(Data_P!A:A,CONCATENATE('Data_ Contrats'!A17,"_",E$23),Data_P!J:J)),'Data_ Contrats'!A17," ")</f>
        <v>Appart'City Lyon Perache</v>
      </c>
      <c r="X15" s="118"/>
    </row>
    <row r="16" spans="1:25" ht="15" customHeight="1" thickBot="1">
      <c r="A16" s="18"/>
      <c r="B16" s="18"/>
      <c r="C16" s="18"/>
      <c r="D16" s="18"/>
      <c r="E16" s="129"/>
      <c r="F16" s="129"/>
      <c r="G16" s="129"/>
      <c r="H16" s="129"/>
      <c r="I16" s="129"/>
      <c r="J16" s="129"/>
      <c r="K16" s="129"/>
      <c r="L16" s="129"/>
      <c r="M16" s="18"/>
      <c r="N16" s="18"/>
      <c r="O16" s="18"/>
      <c r="P16" s="18"/>
      <c r="Q16" s="18"/>
      <c r="R16" s="18"/>
      <c r="S16" s="18"/>
      <c r="T16" s="18"/>
      <c r="U16" s="189"/>
      <c r="W16" s="148" t="str">
        <f>IF(AND('Data_ Contrats'!O18="M",SUMIF(Data_P!A:A,CONCATENATE('Data_ Contrats'!A18,"_",E$23),Data_P!J:J)),'Data_ Contrats'!A18," ")</f>
        <v>Appart'City Lyon Villette</v>
      </c>
      <c r="X16" s="118"/>
    </row>
    <row r="17" spans="1:24" ht="15" customHeight="1" thickBot="1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9"/>
      <c r="W17" s="148" t="str">
        <f>IF(AND('Data_ Contrats'!O19="M",SUMIF(Data_P!A:A,CONCATENATE('Data_ Contrats'!A19,"_",E$23),Data_P!J:J)),'Data_ Contrats'!A19," ")</f>
        <v>Appart'City Lyon Villeurbanne</v>
      </c>
      <c r="X17" s="118"/>
    </row>
    <row r="18" spans="1:24" ht="15" customHeight="1" thickBot="1">
      <c r="A18" s="31" t="s">
        <v>20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9"/>
      <c r="W18" s="148" t="str">
        <f>IF(AND('Data_ Contrats'!O20="M",SUMIF(Data_P!A:A,CONCATENATE('Data_ Contrats'!A20,"_",E$23),Data_P!J:J)),'Data_ Contrats'!A20," ")</f>
        <v>Appart'City Marseille</v>
      </c>
      <c r="X18" s="118"/>
    </row>
    <row r="19" spans="1:24" ht="15" customHeight="1" thickBot="1">
      <c r="A19" s="31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9"/>
      <c r="W19" s="148" t="str">
        <f>IF(AND('Data_ Contrats'!O21="M",SUMIF(Data_P!A:A,CONCATENATE('Data_ Contrats'!A21,"_",E$23),Data_P!J:J)),'Data_ Contrats'!A21," ")</f>
        <v>Appart'City Montpellier</v>
      </c>
      <c r="X19" s="118"/>
    </row>
    <row r="20" spans="1:24" ht="15" customHeight="1" thickBot="1">
      <c r="A20" s="31" t="s">
        <v>104</v>
      </c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W20" s="148" t="str">
        <f>IF(AND('Data_ Contrats'!O22="M",SUMIF(Data_P!A:A,CONCATENATE('Data_ Contrats'!A22,"_",E$23),Data_P!J:J)),'Data_ Contrats'!A22," ")</f>
        <v>Appart'City Nice</v>
      </c>
      <c r="X20" s="118"/>
    </row>
    <row r="21" spans="1:24" ht="15" customHeight="1" thickBot="1">
      <c r="A21" s="31" t="s">
        <v>44</v>
      </c>
      <c r="B21" s="31"/>
      <c r="C21" s="31"/>
      <c r="D21" s="31"/>
      <c r="E21" s="31" t="str">
        <f>I6</f>
        <v>Newco Appart Bry</v>
      </c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W21" s="148" t="str">
        <f>IF(AND('Data_ Contrats'!O23="M",SUMIF(Data_P!A:A,CONCATENATE('Data_ Contrats'!A23,"_",E$23),Data_P!J:J)),'Data_ Contrats'!A23," ")</f>
        <v>Appart'City Perpignan</v>
      </c>
      <c r="X21" s="118"/>
    </row>
    <row r="22" spans="1:24" ht="15" customHeight="1" thickBot="1">
      <c r="A22" s="31" t="s">
        <v>2</v>
      </c>
      <c r="B22" s="31"/>
      <c r="C22" s="31"/>
      <c r="D22" s="31"/>
      <c r="E22" s="31" t="s">
        <v>141</v>
      </c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W22" s="148" t="str">
        <f>IF(AND('Data_ Contrats'!O24="M",SUMIF(Data_P!A:A,CONCATENATE('Data_ Contrats'!A24,"_",E$23),Data_P!J:J)),'Data_ Contrats'!A24," ")</f>
        <v>Aquitania SAS</v>
      </c>
      <c r="X22" s="118"/>
    </row>
    <row r="23" spans="1:24" ht="15" customHeight="1" thickBot="1">
      <c r="A23" s="31" t="s">
        <v>533</v>
      </c>
      <c r="B23" s="31"/>
      <c r="C23" s="31"/>
      <c r="D23" s="31"/>
      <c r="E23" s="19" t="s">
        <v>2268</v>
      </c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180" t="s">
        <v>91</v>
      </c>
      <c r="W23" s="148" t="str">
        <f>IF(AND('Data_ Contrats'!O25="M",SUMIF(Data_P!A:A,CONCATENATE('Data_ Contrats'!A25,"_",E$23),Data_P!J:J)),'Data_ Contrats'!A25," ")</f>
        <v xml:space="preserve"> </v>
      </c>
      <c r="X23" s="118"/>
    </row>
    <row r="24" spans="1:24" ht="15" customHeight="1" thickBot="1">
      <c r="A24" s="109" t="s">
        <v>3</v>
      </c>
      <c r="B24" s="109"/>
      <c r="C24" s="109"/>
      <c r="D24" s="109"/>
      <c r="E24" s="186">
        <f>E26/(1+E25)</f>
        <v>75.5</v>
      </c>
      <c r="F24" s="186"/>
      <c r="G24" s="186"/>
      <c r="H24" s="186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180"/>
      <c r="W24" s="148" t="str">
        <f>IF(AND('Data_ Contrats'!O26="M",SUMIF(Data_P!A:A,CONCATENATE('Data_ Contrats'!A26,"_",E$23),Data_P!J:J)),'Data_ Contrats'!A26," ")</f>
        <v>Aream Property</v>
      </c>
      <c r="X24" s="118"/>
    </row>
    <row r="25" spans="1:24" ht="15" customHeight="1" thickBot="1">
      <c r="A25" s="109" t="s">
        <v>71</v>
      </c>
      <c r="B25" s="109"/>
      <c r="C25" s="109"/>
      <c r="D25" s="109"/>
      <c r="E25" s="183">
        <f>VLOOKUP(I6,'Data_ Contrats'!A4:P210,16)</f>
        <v>0.2</v>
      </c>
      <c r="F25" s="184"/>
      <c r="G25" s="184"/>
      <c r="H25" s="109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28" t="s">
        <v>244</v>
      </c>
      <c r="W25" s="148" t="str">
        <f>IF(AND('Data_ Contrats'!O27="M",SUMIF(Data_P!A:A,CONCATENATE('Data_ Contrats'!A27,"_",E$23),Data_P!J:J)),'Data_ Contrats'!A27," ")</f>
        <v xml:space="preserve"> </v>
      </c>
      <c r="X25" s="118"/>
    </row>
    <row r="26" spans="1:24" ht="15" customHeight="1" thickBot="1">
      <c r="A26" s="109" t="s">
        <v>32</v>
      </c>
      <c r="B26" s="109"/>
      <c r="C26" s="109"/>
      <c r="D26" s="109"/>
      <c r="E26" s="185">
        <f>SUMIF(Data_P!A:A,U26,Data_P!J:J)</f>
        <v>90.6</v>
      </c>
      <c r="F26" s="185"/>
      <c r="G26" s="185"/>
      <c r="H26" s="185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138" t="str">
        <f>CONCATENATE(I6,"_",E23)</f>
        <v>Newco Appart Bry_2018-09</v>
      </c>
      <c r="W26" s="148" t="str">
        <f>IF(AND('Data_ Contrats'!O28="M",SUMIF(Data_P!A:A,CONCATENATE('Data_ Contrats'!A28,"_",E$23),Data_P!J:J)),'Data_ Contrats'!A28," ")</f>
        <v>Attentifimmo</v>
      </c>
      <c r="X26" s="118"/>
    </row>
    <row r="27" spans="1:24" ht="15" customHeight="1" thickBot="1">
      <c r="A27" s="126"/>
      <c r="B27" s="126"/>
      <c r="C27" s="126"/>
      <c r="D27" s="126"/>
      <c r="E27" s="126"/>
      <c r="F27" s="126"/>
      <c r="G27" s="126"/>
      <c r="H27" s="126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W27" s="148" t="str">
        <f>IF(AND('Data_ Contrats'!O29="M",SUMIF(Data_P!A:A,CONCATENATE('Data_ Contrats'!A29,"_",E$23),Data_P!J:J)),'Data_ Contrats'!A29," ")</f>
        <v xml:space="preserve"> </v>
      </c>
      <c r="X27" s="118"/>
    </row>
    <row r="28" spans="1:24" ht="15" customHeight="1" thickBot="1">
      <c r="A28" s="127"/>
      <c r="B28" s="127"/>
      <c r="C28" s="127"/>
      <c r="D28" s="127"/>
      <c r="E28" s="126"/>
      <c r="F28" s="128"/>
      <c r="G28" s="128"/>
      <c r="H28" s="128"/>
      <c r="I28" s="45"/>
      <c r="J28" s="45"/>
      <c r="K28" s="45"/>
      <c r="L28" s="45"/>
      <c r="M28" s="45"/>
      <c r="N28" s="44"/>
      <c r="O28" s="46"/>
      <c r="P28" s="46"/>
      <c r="Q28" s="31"/>
      <c r="R28" s="31"/>
      <c r="S28" s="31"/>
      <c r="T28" s="31"/>
      <c r="W28" s="148" t="str">
        <f>IF(AND('Data_ Contrats'!O30="M",SUMIF(Data_P!A:A,CONCATENATE('Data_ Contrats'!A30,"_",E$23),Data_P!J:J)),'Data_ Contrats'!A30," ")</f>
        <v xml:space="preserve"> </v>
      </c>
      <c r="X28" s="118"/>
    </row>
    <row r="29" spans="1:24" ht="15" customHeight="1" thickBot="1">
      <c r="D29" s="125"/>
      <c r="E29" s="31"/>
      <c r="F29" s="31"/>
      <c r="G29" s="20"/>
      <c r="H29" s="46"/>
      <c r="I29" s="58"/>
      <c r="J29" s="58"/>
      <c r="K29" s="58"/>
      <c r="L29" s="58"/>
      <c r="M29" s="47"/>
      <c r="N29" s="48"/>
      <c r="O29" s="48"/>
      <c r="P29" s="46"/>
      <c r="S29" s="31"/>
      <c r="T29" s="31"/>
      <c r="W29" s="148" t="str">
        <f>IF(AND('Data_ Contrats'!O31="M",SUMIF(Data_P!A:A,CONCATENATE('Data_ Contrats'!A31,"_",E$23),Data_P!J:J)),'Data_ Contrats'!A31," ")</f>
        <v xml:space="preserve"> </v>
      </c>
      <c r="X29" s="118"/>
    </row>
    <row r="30" spans="1:24" ht="15" customHeight="1" thickBot="1">
      <c r="F30" s="31"/>
      <c r="G30" s="20"/>
      <c r="H30" s="46"/>
      <c r="I30" s="68"/>
      <c r="J30" s="68"/>
      <c r="K30" s="68"/>
      <c r="L30" s="68"/>
      <c r="M30" s="47"/>
      <c r="N30" s="48"/>
      <c r="O30" s="48"/>
      <c r="P30" s="46"/>
      <c r="W30" s="148" t="str">
        <f>IF(AND('Data_ Contrats'!O32="M",SUMIF(Data_P!A:A,CONCATENATE('Data_ Contrats'!A32,"_",E$23),Data_P!J:J)),'Data_ Contrats'!A32," ")</f>
        <v xml:space="preserve"> </v>
      </c>
      <c r="X30" s="118"/>
    </row>
    <row r="31" spans="1:24" ht="15" customHeight="1" thickBot="1">
      <c r="A31" s="31" t="s">
        <v>1142</v>
      </c>
      <c r="B31" s="31"/>
      <c r="C31" s="31"/>
      <c r="D31" s="32"/>
      <c r="F31" s="31"/>
      <c r="G31" s="20"/>
      <c r="H31" s="46"/>
      <c r="I31" s="46"/>
      <c r="J31" s="48"/>
      <c r="K31" s="47"/>
      <c r="L31" s="44"/>
      <c r="M31" s="49"/>
      <c r="N31" s="48"/>
      <c r="O31" s="48"/>
      <c r="P31" s="46"/>
      <c r="W31" s="148" t="str">
        <f>IF(AND('Data_ Contrats'!O33="M",SUMIF(Data_P!A:A,CONCATENATE('Data_ Contrats'!A33,"_",E$23),Data_P!J:J)),'Data_ Contrats'!A33," ")</f>
        <v xml:space="preserve"> </v>
      </c>
      <c r="X31" s="118"/>
    </row>
    <row r="32" spans="1:24" ht="15" customHeight="1" thickBot="1">
      <c r="A32" s="31" t="s">
        <v>1143</v>
      </c>
      <c r="B32" s="31"/>
      <c r="C32" s="31"/>
      <c r="D32" s="32"/>
      <c r="H32" s="44"/>
      <c r="I32" s="44"/>
      <c r="J32" s="47"/>
      <c r="K32" s="47"/>
      <c r="L32" s="44"/>
      <c r="M32" s="44"/>
      <c r="N32" s="44"/>
      <c r="O32" s="44"/>
      <c r="P32" s="44"/>
      <c r="U32" s="149"/>
      <c r="W32" s="148" t="str">
        <f>IF(AND('Data_ Contrats'!O34="M",SUMIF(Data_P!A:A,CONCATENATE('Data_ Contrats'!A34,"_",E$23),Data_P!J:J)),'Data_ Contrats'!A34," ")</f>
        <v>Batigere Mulhouse</v>
      </c>
      <c r="X32" s="118"/>
    </row>
    <row r="33" spans="1:24" ht="15" customHeight="1" thickBot="1">
      <c r="A33" s="31" t="s">
        <v>80</v>
      </c>
      <c r="B33" s="31"/>
      <c r="C33" s="93" t="str">
        <f>VLOOKUP($I$6,'Data_ Contrats'!$A$1:$P$233,'Data_ Contrats'!M1)</f>
        <v>FR76 3004 7142 1400 0202 1290 177</v>
      </c>
      <c r="D33" s="153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20"/>
      <c r="R33" s="20"/>
      <c r="S33" s="20"/>
      <c r="T33" s="20"/>
      <c r="W33" s="148" t="str">
        <f>IF(AND('Data_ Contrats'!O35="M",SUMIF(Data_P!A:A,CONCATENATE('Data_ Contrats'!A35,"_",E$23),Data_P!J:J)),'Data_ Contrats'!A35," ")</f>
        <v>Batigere Nancy</v>
      </c>
      <c r="X33" s="118"/>
    </row>
    <row r="34" spans="1:24" ht="15" customHeight="1" thickBot="1">
      <c r="A34" s="31" t="s">
        <v>81</v>
      </c>
      <c r="B34" s="31"/>
      <c r="C34" s="93" t="str">
        <f>VLOOKUP($I$6,'Data_ Contrats'!$A$1:$P$233,'Data_ Contrats'!N1)</f>
        <v>CMCIFRPP</v>
      </c>
      <c r="H34" s="20"/>
      <c r="I34" s="20"/>
      <c r="L34" s="20"/>
      <c r="M34" s="20"/>
      <c r="N34" s="20"/>
      <c r="O34" s="20"/>
      <c r="P34" s="20"/>
      <c r="Q34" s="20"/>
      <c r="R34" s="20"/>
      <c r="S34" s="20"/>
      <c r="T34" s="20"/>
      <c r="W34" s="148" t="str">
        <f>IF(AND('Data_ Contrats'!O36="M",SUMIF(Data_P!A:A,CONCATENATE('Data_ Contrats'!A36,"_",E$23),Data_P!J:J)),'Data_ Contrats'!A36," ")</f>
        <v>Batigere Strasbourg</v>
      </c>
      <c r="X34" s="118"/>
    </row>
    <row r="35" spans="1:24" ht="15" customHeight="1" thickBot="1">
      <c r="H35" s="20"/>
      <c r="I35" s="20"/>
      <c r="L35" s="20"/>
      <c r="M35" s="20"/>
      <c r="N35" s="20"/>
      <c r="O35" s="20"/>
      <c r="P35" s="20"/>
      <c r="Q35" s="20"/>
      <c r="R35" s="20"/>
      <c r="S35" s="20"/>
      <c r="T35" s="20"/>
      <c r="W35" s="148" t="str">
        <f>IF(AND('Data_ Contrats'!O37="M",SUMIF(Data_P!A:A,CONCATENATE('Data_ Contrats'!A37,"_",E$23),Data_P!J:J)),'Data_ Contrats'!A37," ")</f>
        <v>Beep Valet</v>
      </c>
      <c r="X35" s="118"/>
    </row>
    <row r="36" spans="1:24" ht="15" customHeight="1" thickBot="1">
      <c r="L36" s="20"/>
      <c r="M36" s="20"/>
      <c r="N36" s="20"/>
      <c r="O36" s="20"/>
      <c r="P36" s="20"/>
      <c r="Q36" s="20"/>
      <c r="R36" s="20"/>
      <c r="S36" s="20"/>
      <c r="T36" s="20"/>
      <c r="W36" s="148" t="str">
        <f>IF(AND('Data_ Contrats'!O38="M",SUMIF(Data_P!A:A,CONCATENATE('Data_ Contrats'!A38,"_",E$23),Data_P!J:J)),'Data_ Contrats'!A38," ")</f>
        <v>Belalaan Meir Leasehold</v>
      </c>
      <c r="X36" s="118"/>
    </row>
    <row r="37" spans="1:24" ht="15" customHeight="1" thickBot="1">
      <c r="E37" s="32"/>
      <c r="F37" s="33"/>
      <c r="G37" s="21"/>
      <c r="H37" s="21"/>
      <c r="I37" s="21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W37" s="148" t="str">
        <f>IF(AND('Data_ Contrats'!O39="M",SUMIF(Data_P!A:A,CONCATENATE('Data_ Contrats'!A39,"_",E$23),Data_P!J:J)),'Data_ Contrats'!A39," ")</f>
        <v xml:space="preserve"> </v>
      </c>
      <c r="X37" s="118"/>
    </row>
    <row r="38" spans="1:24" ht="15" customHeight="1" thickBot="1">
      <c r="A38" s="96" t="s">
        <v>2006</v>
      </c>
      <c r="E38" s="32"/>
      <c r="F38" s="32"/>
      <c r="G38" s="21"/>
      <c r="H38" s="21"/>
      <c r="I38" s="21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W38" s="148" t="str">
        <f>IF(AND('Data_ Contrats'!O40="M",SUMIF(Data_P!A:A,CONCATENATE('Data_ Contrats'!A40,"_",E$23),Data_P!J:J)),'Data_ Contrats'!A40," ")</f>
        <v>Best Western Clermont Ferrand</v>
      </c>
      <c r="X38" s="118"/>
    </row>
    <row r="39" spans="1:24" ht="15" customHeight="1" thickBot="1">
      <c r="A39" s="114"/>
      <c r="B39" s="32"/>
      <c r="C39" s="115" t="s">
        <v>1144</v>
      </c>
      <c r="D39" s="32"/>
      <c r="E39" s="32"/>
      <c r="F39" s="32"/>
      <c r="G39" s="21"/>
      <c r="H39" s="21"/>
      <c r="I39" s="21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W39" s="148" t="str">
        <f>IF(AND('Data_ Contrats'!O41="M",SUMIF(Data_P!A:A,CONCATENATE('Data_ Contrats'!A41,"_",E$23),Data_P!J:J)),'Data_ Contrats'!A41," ")</f>
        <v xml:space="preserve"> </v>
      </c>
      <c r="X39" s="118"/>
    </row>
    <row r="40" spans="1:24" ht="15" customHeight="1" thickBot="1">
      <c r="A40" s="27"/>
      <c r="E40" s="32"/>
      <c r="F40" s="32"/>
      <c r="G40" s="21"/>
      <c r="H40" s="21"/>
      <c r="I40" s="21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W40" s="148" t="str">
        <f>IF(AND('Data_ Contrats'!O42="M",SUMIF(Data_P!A:A,CONCATENATE('Data_ Contrats'!A42,"_",E$23),Data_P!J:J)),'Data_ Contrats'!A42," ")</f>
        <v>Boxx'In</v>
      </c>
      <c r="X40" s="118"/>
    </row>
    <row r="41" spans="1:24" ht="15" customHeight="1" thickBot="1">
      <c r="E41" s="32"/>
      <c r="F41" s="32"/>
      <c r="H41" s="23"/>
      <c r="I41" s="23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W41" s="148" t="str">
        <f>IF(AND('Data_ Contrats'!O43="M",SUMIF(Data_P!A:A,CONCATENATE('Data_ Contrats'!A43,"_",E$23),Data_P!J:J)),'Data_ Contrats'!A43," ")</f>
        <v xml:space="preserve"> </v>
      </c>
      <c r="X41" s="118"/>
    </row>
    <row r="42" spans="1:24" ht="15" customHeight="1" thickBot="1">
      <c r="A42" s="95" t="s">
        <v>236</v>
      </c>
      <c r="B42" s="95"/>
      <c r="C42" s="95"/>
      <c r="D42" s="95"/>
      <c r="E42" s="24"/>
      <c r="G42" s="23"/>
      <c r="H42" s="23"/>
      <c r="I42" s="23"/>
      <c r="J42" s="31"/>
      <c r="K42" s="31"/>
      <c r="L42" s="31"/>
      <c r="M42" s="31"/>
      <c r="N42" s="31"/>
      <c r="P42" s="31"/>
      <c r="Q42" s="31"/>
      <c r="R42" s="31"/>
      <c r="S42" s="31"/>
      <c r="T42" s="31"/>
      <c r="W42" s="148" t="str">
        <f>IF(AND('Data_ Contrats'!O44="M",SUMIF(Data_P!A:A,CONCATENATE('Data_ Contrats'!A44,"_",E$23),Data_P!J:J)),'Data_ Contrats'!A44," ")</f>
        <v xml:space="preserve"> </v>
      </c>
      <c r="X42" s="118"/>
    </row>
    <row r="43" spans="1:24" ht="15" customHeight="1" thickBot="1">
      <c r="A43" s="95"/>
      <c r="B43" s="95" t="s">
        <v>532</v>
      </c>
      <c r="C43" s="20"/>
      <c r="D43" s="20"/>
      <c r="E43" s="31"/>
      <c r="F43" s="31"/>
      <c r="G43" s="23"/>
      <c r="H43" s="23"/>
      <c r="I43" s="23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W43" s="148" t="str">
        <f>IF(AND('Data_ Contrats'!O45="M",SUMIF(Data_P!A:A,CONCATENATE('Data_ Contrats'!A45,"_",E$23),Data_P!J:J)),'Data_ Contrats'!A45," ")</f>
        <v xml:space="preserve"> </v>
      </c>
      <c r="X43" s="118"/>
    </row>
    <row r="44" spans="1:24" ht="15" customHeight="1" thickBot="1">
      <c r="A44" s="20"/>
      <c r="B44" s="20"/>
      <c r="C44" s="20"/>
      <c r="D44" s="20"/>
      <c r="E44" s="31"/>
      <c r="F44" s="24"/>
      <c r="H44" s="22"/>
      <c r="I44" s="22"/>
      <c r="J44" s="25"/>
      <c r="L44" s="31"/>
      <c r="M44" s="22"/>
      <c r="N44" s="31"/>
      <c r="O44" s="31"/>
      <c r="P44" s="31"/>
      <c r="Q44" s="31"/>
      <c r="R44" s="31"/>
      <c r="S44" s="31"/>
      <c r="T44" s="31"/>
      <c r="W44" s="148" t="str">
        <f>IF(AND('Data_ Contrats'!O46="M",SUMIF(Data_P!A:A,CONCATENATE('Data_ Contrats'!A46,"_",E$23),Data_P!J:J)),'Data_ Contrats'!A46," ")</f>
        <v xml:space="preserve"> </v>
      </c>
      <c r="X44" s="118"/>
    </row>
    <row r="45" spans="1:24" ht="15" customHeight="1" thickBot="1">
      <c r="A45" s="20"/>
      <c r="C45" s="20"/>
      <c r="D45" s="20"/>
      <c r="E45" s="31"/>
      <c r="F45" s="31"/>
      <c r="G45" s="23"/>
      <c r="H45" s="23"/>
      <c r="I45" s="23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W45" s="148" t="str">
        <f>IF(AND('Data_ Contrats'!O47="M",SUMIF(Data_P!A:A,CONCATENATE('Data_ Contrats'!A47,"_",E$23),Data_P!J:J)),'Data_ Contrats'!A47," ")</f>
        <v xml:space="preserve"> </v>
      </c>
      <c r="X45" s="118"/>
    </row>
    <row r="46" spans="1:24" s="113" customFormat="1" ht="15" customHeight="1" thickBot="1">
      <c r="A46" s="20"/>
      <c r="C46" s="20"/>
      <c r="D46" s="20"/>
      <c r="E46" s="112"/>
      <c r="F46" s="112"/>
      <c r="G46" s="23"/>
      <c r="H46" s="23"/>
      <c r="I46" s="23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1"/>
      <c r="W46" s="148" t="str">
        <f>IF(AND('Data_ Contrats'!O48="M",SUMIF(Data_P!A:A,CONCATENATE('Data_ Contrats'!A48,"_",E$23),Data_P!J:J)),'Data_ Contrats'!A48," ")</f>
        <v>Campanile Lille</v>
      </c>
      <c r="X46" s="118"/>
    </row>
    <row r="47" spans="1:24" ht="15" customHeight="1" thickBot="1">
      <c r="F47" s="31"/>
      <c r="G47" s="22"/>
      <c r="H47" s="23"/>
      <c r="I47" s="23"/>
      <c r="J47" s="23"/>
      <c r="K47" s="23"/>
      <c r="L47" s="23"/>
      <c r="M47" s="23"/>
      <c r="N47" s="31"/>
      <c r="O47" s="31"/>
      <c r="P47" s="31"/>
      <c r="Q47" s="31"/>
      <c r="S47" s="31"/>
      <c r="T47" s="31"/>
      <c r="W47" s="148" t="str">
        <f>IF(AND('Data_ Contrats'!O49="M",SUMIF(Data_P!A:A,CONCATENATE('Data_ Contrats'!A49,"_",E$23),Data_P!J:J)),'Data_ Contrats'!A49," ")</f>
        <v>Campanile Nanterre</v>
      </c>
      <c r="X47" s="118"/>
    </row>
    <row r="48" spans="1:24" s="118" customFormat="1" ht="15" customHeight="1" thickBot="1">
      <c r="F48" s="134"/>
      <c r="G48" s="22"/>
      <c r="H48" s="23"/>
      <c r="I48" s="23"/>
      <c r="J48" s="23"/>
      <c r="K48" s="23"/>
      <c r="L48" s="23"/>
      <c r="M48" s="23"/>
      <c r="N48" s="134"/>
      <c r="O48" s="134"/>
      <c r="P48" s="134"/>
      <c r="Q48" s="134"/>
      <c r="S48" s="134"/>
      <c r="T48" s="134"/>
      <c r="U48" s="116"/>
      <c r="W48" s="148" t="str">
        <f>IF(AND('Data_ Contrats'!O50="M",SUMIF(Data_P!A:A,CONCATENATE('Data_ Contrats'!A50,"_",E$23),Data_P!J:J)),'Data_ Contrats'!A50," ")</f>
        <v>Campanile Roissy</v>
      </c>
    </row>
    <row r="49" spans="1:44" s="118" customFormat="1" ht="15" customHeight="1" thickBot="1">
      <c r="J49" s="134"/>
      <c r="O49" s="137"/>
      <c r="P49" s="137"/>
      <c r="Q49" s="137"/>
      <c r="R49" s="137"/>
      <c r="S49" s="137"/>
      <c r="T49" s="137"/>
      <c r="U49" s="116"/>
      <c r="W49" s="148" t="str">
        <f>IF(AND('Data_ Contrats'!O51="M",SUMIF(Data_P!A:A,CONCATENATE('Data_ Contrats'!A51,"_",E$23),Data_P!J:J)),'Data_ Contrats'!A51," ")</f>
        <v>Campanile Suresnes</v>
      </c>
    </row>
    <row r="50" spans="1:44" s="118" customFormat="1" ht="15" customHeight="1" thickBot="1">
      <c r="N50" s="137"/>
      <c r="O50" s="137"/>
      <c r="P50" s="137"/>
      <c r="Q50" s="137"/>
      <c r="R50" s="137"/>
      <c r="S50" s="137"/>
      <c r="T50" s="137"/>
      <c r="U50" s="116"/>
      <c r="W50" s="148" t="str">
        <f>IF(AND('Data_ Contrats'!O52="M",SUMIF(Data_P!A:A,CONCATENATE('Data_ Contrats'!A52,"_",E$23),Data_P!J:J)),'Data_ Contrats'!A52," ")</f>
        <v>CCN Poterie et Brossolette</v>
      </c>
    </row>
    <row r="51" spans="1:44" ht="15" customHeight="1" thickBot="1">
      <c r="A51" s="118"/>
      <c r="B51" s="118"/>
      <c r="C51" s="118"/>
      <c r="D51" s="118"/>
      <c r="E51" s="118"/>
      <c r="F51" s="118"/>
      <c r="G51" s="118"/>
      <c r="H51" s="118"/>
      <c r="I51" s="118"/>
      <c r="J51" s="118"/>
      <c r="K51" s="118"/>
      <c r="L51" s="118"/>
      <c r="M51" s="118"/>
      <c r="N51" s="137"/>
      <c r="O51" s="137"/>
      <c r="P51" s="137"/>
      <c r="Q51" s="137"/>
      <c r="R51" s="137"/>
      <c r="S51" s="137"/>
      <c r="T51" s="137"/>
      <c r="W51" s="148" t="str">
        <f>IF(AND('Data_ Contrats'!O53="M",SUMIF(Data_P!A:A,CONCATENATE('Data_ Contrats'!A53,"_",E$23),Data_P!J:J)),'Data_ Contrats'!A53," ")</f>
        <v xml:space="preserve"> </v>
      </c>
      <c r="X51" s="118"/>
    </row>
    <row r="52" spans="1:44" ht="19.2" customHeight="1" thickBot="1">
      <c r="A52" s="118"/>
      <c r="B52" s="118"/>
      <c r="C52" s="118"/>
      <c r="D52" s="118"/>
      <c r="E52" s="118"/>
      <c r="F52" s="118"/>
      <c r="G52" s="118"/>
      <c r="H52" s="118"/>
      <c r="I52" s="118"/>
      <c r="J52" s="118"/>
      <c r="K52" s="118"/>
      <c r="L52" s="118"/>
      <c r="M52" s="118"/>
      <c r="N52" s="196" t="s">
        <v>250</v>
      </c>
      <c r="O52" s="196"/>
      <c r="P52" s="196"/>
      <c r="Q52" s="196"/>
      <c r="R52" s="196"/>
      <c r="S52" s="196"/>
      <c r="T52" s="196"/>
      <c r="U52" s="29"/>
      <c r="V52" s="29"/>
      <c r="W52" s="148" t="str">
        <f>IF(AND('Data_ Contrats'!O54="M",SUMIF(Data_P!A:A,CONCATENATE('Data_ Contrats'!A54,"_",E$23),Data_P!J:J)),'Data_ Contrats'!A54," ")</f>
        <v>Citadines Austerlitz</v>
      </c>
      <c r="X52" s="118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44" s="37" customFormat="1" ht="16.8" thickBot="1">
      <c r="A53" s="118"/>
      <c r="B53" s="118"/>
      <c r="C53" s="118"/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96"/>
      <c r="O53" s="196"/>
      <c r="P53" s="196"/>
      <c r="Q53" s="196"/>
      <c r="R53" s="196"/>
      <c r="S53" s="196"/>
      <c r="T53" s="196"/>
      <c r="U53" s="36"/>
      <c r="V53" s="36"/>
      <c r="W53" s="148" t="str">
        <f>IF(AND('Data_ Contrats'!O55="M",SUMIF(Data_P!A:A,CONCATENATE('Data_ Contrats'!A55,"_",E$23),Data_P!J:J)),'Data_ Contrats'!A55," ")</f>
        <v>Citadines Bastille Gare de Lyon</v>
      </c>
      <c r="X53" s="118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</row>
    <row r="54" spans="1:44" s="37" customFormat="1" ht="16.8" thickBot="1">
      <c r="A54" s="118"/>
      <c r="B54" s="118"/>
      <c r="C54" s="94"/>
      <c r="D54" s="94"/>
      <c r="E54" s="94"/>
      <c r="F54" s="94"/>
      <c r="G54" s="118"/>
      <c r="H54" s="118"/>
      <c r="I54" s="118"/>
      <c r="J54" s="94"/>
      <c r="K54" s="118"/>
      <c r="L54" s="118"/>
      <c r="M54" s="69"/>
      <c r="N54" s="196"/>
      <c r="O54" s="196"/>
      <c r="P54" s="196"/>
      <c r="Q54" s="196"/>
      <c r="R54" s="196"/>
      <c r="S54" s="196"/>
      <c r="T54" s="196"/>
      <c r="U54" s="36"/>
      <c r="V54" s="36"/>
      <c r="W54" s="148" t="str">
        <f>IF(AND('Data_ Contrats'!O56="M",SUMIF(Data_P!A:A,CONCATENATE('Data_ Contrats'!A56,"_",E$23),Data_P!J:J)),'Data_ Contrats'!A56," ")</f>
        <v xml:space="preserve"> </v>
      </c>
      <c r="X54" s="118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</row>
    <row r="55" spans="1:44" ht="16.8" thickBot="1">
      <c r="A55" s="118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62"/>
      <c r="N55" s="62"/>
      <c r="O55" s="62"/>
      <c r="P55" s="118"/>
      <c r="Q55" s="118"/>
      <c r="R55" s="118"/>
      <c r="S55" s="118"/>
      <c r="T55" s="13"/>
      <c r="U55" s="29"/>
      <c r="V55" s="29"/>
      <c r="W55" s="148" t="str">
        <f>IF(AND('Data_ Contrats'!O57="M",SUMIF(Data_P!A:A,CONCATENATE('Data_ Contrats'!A57,"_",E$23),Data_P!J:J)),'Data_ Contrats'!A57," ")</f>
        <v>Citadines Montmartre</v>
      </c>
      <c r="X55" s="118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</row>
    <row r="56" spans="1:44" ht="16.8" thickBot="1">
      <c r="A56" s="94" t="s">
        <v>64</v>
      </c>
      <c r="B56" s="94"/>
      <c r="C56" s="118"/>
      <c r="D56" s="118"/>
      <c r="E56" s="118"/>
      <c r="F56" s="118"/>
      <c r="G56" s="118"/>
      <c r="H56" s="118"/>
      <c r="I56" s="118"/>
      <c r="J56" s="70" t="s">
        <v>249</v>
      </c>
      <c r="K56" s="118"/>
      <c r="L56" s="70"/>
      <c r="M56" s="62"/>
      <c r="N56" s="62"/>
      <c r="O56" s="62"/>
      <c r="P56" s="193" t="str">
        <f>IF('Détail de conso'!B5=0,"",'Détail de conso'!B5)</f>
        <v>2018-07</v>
      </c>
      <c r="Q56" s="193"/>
      <c r="R56" s="193"/>
      <c r="S56" s="118"/>
      <c r="T56" s="13"/>
      <c r="U56" s="29"/>
      <c r="V56" s="29"/>
      <c r="W56" s="148" t="str">
        <f>IF(AND('Data_ Contrats'!O58="M",SUMIF(Data_P!A:A,CONCATENATE('Data_ Contrats'!A58,"_",E$23),Data_P!J:J)),'Data_ Contrats'!A58," ")</f>
        <v>Citadines Montpellier</v>
      </c>
      <c r="X56" s="118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</row>
    <row r="57" spans="1:44" ht="16.8" thickBot="1">
      <c r="A57" s="34" t="str">
        <f>IF('Détail de conso'!A6=0,"",'Détail de conso'!A6)</f>
        <v>Paris - Aéroport Roissy - AEREL</v>
      </c>
      <c r="B57" s="122"/>
      <c r="C57" s="122"/>
      <c r="D57" s="122"/>
      <c r="E57" s="122"/>
      <c r="F57" s="122"/>
      <c r="G57" s="122"/>
      <c r="H57" s="122"/>
      <c r="I57" s="118"/>
      <c r="J57" s="120" t="str">
        <f>VLOOKUP(A57,Data_P!C:J,2,FALSE)</f>
        <v/>
      </c>
      <c r="K57" s="118"/>
      <c r="L57" s="123"/>
      <c r="M57" s="123"/>
      <c r="N57" s="121"/>
      <c r="O57" s="121"/>
      <c r="P57" s="194">
        <f>IF('Détail de conso'!B6=0,"",'Détail de conso'!B6)</f>
        <v>208.67</v>
      </c>
      <c r="Q57" s="194"/>
      <c r="R57" s="194"/>
      <c r="S57" s="118"/>
      <c r="T57" s="13"/>
      <c r="U57" s="29"/>
      <c r="V57" s="29"/>
      <c r="W57" s="148" t="str">
        <f>IF(AND('Data_ Contrats'!O59="M",SUMIF(Data_P!A:A,CONCATENATE('Data_ Contrats'!A59,"_",E$23),Data_P!J:J)),'Data_ Contrats'!A59," ")</f>
        <v>Citadines République</v>
      </c>
      <c r="X57" s="118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44" ht="16.8" thickBot="1">
      <c r="A58" s="34" t="str">
        <f>IF('Détail de conso'!A7=0,"",'Détail de conso'!A7)</f>
        <v>Total</v>
      </c>
      <c r="B58" s="122"/>
      <c r="C58" s="122"/>
      <c r="D58" s="122"/>
      <c r="E58" s="122"/>
      <c r="F58" s="122"/>
      <c r="G58" s="122"/>
      <c r="H58" s="122"/>
      <c r="I58" s="118"/>
      <c r="J58" s="120" t="e">
        <f>VLOOKUP(A58,Data_P!C:J,2,FALSE)</f>
        <v>#N/A</v>
      </c>
      <c r="K58" s="118"/>
      <c r="L58" s="123"/>
      <c r="M58" s="123"/>
      <c r="N58" s="34"/>
      <c r="O58" s="34"/>
      <c r="P58" s="194">
        <f>IF('Détail de conso'!B7=0,"",'Détail de conso'!B7)</f>
        <v>208.67</v>
      </c>
      <c r="Q58" s="194"/>
      <c r="R58" s="194"/>
      <c r="S58" s="118"/>
      <c r="T58" s="56"/>
      <c r="U58" s="29"/>
      <c r="V58" s="29"/>
      <c r="W58" s="148" t="str">
        <f>IF(AND('Data_ Contrats'!O60="M",SUMIF(Data_P!A:A,CONCATENATE('Data_ Contrats'!A60,"_",E$23),Data_P!J:J)),'Data_ Contrats'!A60," ")</f>
        <v>Citadines Saint-Germain</v>
      </c>
      <c r="X58" s="118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</row>
    <row r="59" spans="1:44" ht="16.8" thickBot="1">
      <c r="A59" s="34" t="str">
        <f>IF('Détail de conso'!A8=0,"",'Détail de conso'!A8)</f>
        <v/>
      </c>
      <c r="B59" s="122"/>
      <c r="C59" s="122"/>
      <c r="D59" s="122"/>
      <c r="E59" s="122"/>
      <c r="F59" s="122"/>
      <c r="G59" s="122"/>
      <c r="H59" s="122"/>
      <c r="I59" s="120"/>
      <c r="J59" s="120" t="e">
        <f>VLOOKUP(A59,Data_P!C:J,2,FALSE)</f>
        <v>#N/A</v>
      </c>
      <c r="K59" s="118"/>
      <c r="L59" s="123"/>
      <c r="M59" s="123"/>
      <c r="N59" s="34"/>
      <c r="O59" s="34"/>
      <c r="P59" s="194" t="str">
        <f>IF('Détail de conso'!B8=0,"",'Détail de conso'!B8)</f>
        <v/>
      </c>
      <c r="Q59" s="194"/>
      <c r="R59" s="194"/>
      <c r="S59" s="118"/>
      <c r="T59" s="56"/>
      <c r="U59" s="29"/>
      <c r="V59" s="29"/>
      <c r="W59" s="148" t="str">
        <f>IF(AND('Data_ Contrats'!O61="M",SUMIF(Data_P!A:A,CONCATENATE('Data_ Contrats'!A61,"_",E$23),Data_P!J:J)),'Data_ Contrats'!A61," ")</f>
        <v>Citadines Toulouse</v>
      </c>
      <c r="X59" s="118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44" ht="16.8" thickBot="1">
      <c r="A60" s="34" t="str">
        <f>IF('Détail de conso'!A9=0,"",'Détail de conso'!A9)</f>
        <v/>
      </c>
      <c r="B60" s="122"/>
      <c r="C60" s="122"/>
      <c r="D60" s="122"/>
      <c r="E60" s="122"/>
      <c r="F60" s="122"/>
      <c r="G60" s="122"/>
      <c r="H60" s="122"/>
      <c r="I60" s="120"/>
      <c r="J60" s="120" t="e">
        <f>VLOOKUP(A60,Data_P!C:J,2,FALSE)</f>
        <v>#N/A</v>
      </c>
      <c r="K60" s="118"/>
      <c r="L60" s="123"/>
      <c r="M60" s="123"/>
      <c r="N60" s="34"/>
      <c r="O60" s="34"/>
      <c r="P60" s="194" t="str">
        <f>IF('Détail de conso'!B9=0,"",'Détail de conso'!B9)</f>
        <v/>
      </c>
      <c r="Q60" s="194"/>
      <c r="R60" s="194"/>
      <c r="S60" s="118"/>
      <c r="T60" s="56"/>
      <c r="U60" s="29"/>
      <c r="V60" s="29"/>
      <c r="W60" s="148" t="str">
        <f>IF(AND('Data_ Contrats'!O62="M",SUMIF(Data_P!A:A,CONCATENATE('Data_ Contrats'!A62,"_",E$23),Data_P!J:J)),'Data_ Contrats'!A62," ")</f>
        <v>Citadines Tour Eiffel</v>
      </c>
      <c r="X60" s="118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44" ht="16.8" thickBot="1">
      <c r="A61" s="34" t="str">
        <f>IF('Détail de conso'!A10=0,"",'Détail de conso'!A10)</f>
        <v/>
      </c>
      <c r="B61" s="122"/>
      <c r="C61" s="122"/>
      <c r="D61" s="122"/>
      <c r="E61" s="122"/>
      <c r="F61" s="122"/>
      <c r="G61" s="122"/>
      <c r="H61" s="122"/>
      <c r="I61" s="120"/>
      <c r="J61" s="120" t="e">
        <f>VLOOKUP(A61,Data_P!C:J,2,FALSE)</f>
        <v>#N/A</v>
      </c>
      <c r="K61" s="118"/>
      <c r="L61" s="123"/>
      <c r="M61" s="123"/>
      <c r="N61" s="34"/>
      <c r="O61" s="34"/>
      <c r="P61" s="194" t="str">
        <f>IF('Détail de conso'!B10=0,"",'Détail de conso'!B10)</f>
        <v/>
      </c>
      <c r="Q61" s="194"/>
      <c r="R61" s="194"/>
      <c r="S61" s="118"/>
      <c r="T61" s="56"/>
      <c r="U61" s="29"/>
      <c r="V61" s="29"/>
      <c r="W61" s="148" t="str">
        <f>IF(AND('Data_ Contrats'!O63="M",SUMIF(Data_P!A:A,CONCATENATE('Data_ Contrats'!A63,"_",E$23),Data_P!J:J)),'Data_ Contrats'!A63," ")</f>
        <v>Citadines Trocadéro</v>
      </c>
      <c r="X61" s="118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44" ht="16.8" thickBot="1">
      <c r="A62" s="34" t="str">
        <f>IF('Détail de conso'!A11=0,"",'Détail de conso'!A11)</f>
        <v/>
      </c>
      <c r="B62" s="122"/>
      <c r="C62" s="122"/>
      <c r="D62" s="122"/>
      <c r="E62" s="122"/>
      <c r="F62" s="122"/>
      <c r="G62" s="122"/>
      <c r="H62" s="122"/>
      <c r="I62" s="120"/>
      <c r="J62" s="120"/>
      <c r="K62" s="118"/>
      <c r="L62" s="123"/>
      <c r="M62" s="123"/>
      <c r="N62" s="34"/>
      <c r="O62" s="34"/>
      <c r="P62" s="194" t="str">
        <f>IF('Détail de conso'!B11=0,"",'Détail de conso'!B11)</f>
        <v/>
      </c>
      <c r="Q62" s="194"/>
      <c r="R62" s="194"/>
      <c r="S62" s="118"/>
      <c r="T62" s="56"/>
      <c r="U62" s="29"/>
      <c r="V62" s="29"/>
      <c r="W62" s="148" t="str">
        <f>IF(AND('Data_ Contrats'!O64="M",SUMIF(Data_P!A:A,CONCATENATE('Data_ Contrats'!A64,"_",E$23),Data_P!J:J)),'Data_ Contrats'!A64," ")</f>
        <v>Cité Nouvelle</v>
      </c>
      <c r="X62" s="118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</row>
    <row r="63" spans="1:44" ht="16.8" thickBot="1">
      <c r="A63" s="34" t="str">
        <f>IF('Détail de conso'!A12=0,"",'Détail de conso'!A12)</f>
        <v/>
      </c>
      <c r="B63" s="122"/>
      <c r="C63" s="122"/>
      <c r="D63" s="122"/>
      <c r="E63" s="122"/>
      <c r="F63" s="122"/>
      <c r="G63" s="122"/>
      <c r="H63" s="122"/>
      <c r="I63" s="122"/>
      <c r="J63" s="120"/>
      <c r="K63" s="118"/>
      <c r="L63" s="123"/>
      <c r="M63" s="123"/>
      <c r="N63" s="34"/>
      <c r="O63" s="34"/>
      <c r="P63" s="194" t="str">
        <f>IF('Détail de conso'!B12=0,"",'Détail de conso'!B12)</f>
        <v/>
      </c>
      <c r="Q63" s="194"/>
      <c r="R63" s="194"/>
      <c r="S63" s="118"/>
      <c r="T63" s="56"/>
      <c r="U63" s="29"/>
      <c r="V63" s="29"/>
      <c r="W63" s="148" t="str">
        <f>IF(AND('Data_ Contrats'!O65="M",SUMIF(Data_P!A:A,CONCATENATE('Data_ Contrats'!A65,"_",E$23),Data_P!J:J)),'Data_ Contrats'!A65," ")</f>
        <v xml:space="preserve"> </v>
      </c>
      <c r="X63" s="118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44" ht="16.8" thickBot="1">
      <c r="A64" s="34" t="str">
        <f>IF('Détail de conso'!A13=0,"",'Détail de conso'!A13)</f>
        <v/>
      </c>
      <c r="B64" s="34"/>
      <c r="C64" s="34"/>
      <c r="D64" s="34"/>
      <c r="E64" s="34"/>
      <c r="F64" s="34"/>
      <c r="G64" s="34"/>
      <c r="H64" s="34"/>
      <c r="I64" s="34"/>
      <c r="J64" s="120"/>
      <c r="K64" s="120"/>
      <c r="L64" s="120"/>
      <c r="M64" s="120"/>
      <c r="N64" s="34"/>
      <c r="O64" s="34"/>
      <c r="P64" s="194" t="str">
        <f>IF('Détail de conso'!B13=0,"",'Détail de conso'!B13)</f>
        <v/>
      </c>
      <c r="Q64" s="194"/>
      <c r="R64" s="194"/>
      <c r="S64" s="118"/>
      <c r="T64" s="56"/>
      <c r="U64" s="29"/>
      <c r="V64" s="29"/>
      <c r="W64" s="148" t="str">
        <f>IF(AND('Data_ Contrats'!O66="M",SUMIF(Data_P!A:A,CONCATENATE('Data_ Contrats'!A66,"_",E$23),Data_P!J:J)),'Data_ Contrats'!A66," ")</f>
        <v xml:space="preserve"> </v>
      </c>
      <c r="X64" s="118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1:44" ht="16.8" thickBot="1">
      <c r="A65" s="34" t="str">
        <f>IF('Détail de conso'!A14=0,"",'Détail de conso'!A14)</f>
        <v/>
      </c>
      <c r="B65" s="118"/>
      <c r="C65" s="118"/>
      <c r="D65" s="118"/>
      <c r="E65" s="118"/>
      <c r="F65" s="118"/>
      <c r="G65" s="118"/>
      <c r="H65" s="118"/>
      <c r="I65" s="118"/>
      <c r="J65" s="120"/>
      <c r="K65" s="120"/>
      <c r="L65" s="119"/>
      <c r="M65" s="119"/>
      <c r="N65" s="118"/>
      <c r="O65" s="118"/>
      <c r="P65" s="194" t="str">
        <f>IF('Détail de conso'!B14=0,"",'Détail de conso'!B14)</f>
        <v/>
      </c>
      <c r="Q65" s="194"/>
      <c r="R65" s="194"/>
      <c r="S65" s="118"/>
      <c r="T65" s="56"/>
      <c r="U65" s="29"/>
      <c r="V65" s="29"/>
      <c r="W65" s="148" t="str">
        <f>IF(AND('Data_ Contrats'!O67="M",SUMIF(Data_P!A:A,CONCATENATE('Data_ Contrats'!A67,"_",E$23),Data_P!J:J)),'Data_ Contrats'!A67," ")</f>
        <v>Cogestra</v>
      </c>
      <c r="X65" s="118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</row>
    <row r="66" spans="1:44" ht="16.8" thickBot="1">
      <c r="A66" s="34" t="str">
        <f>IF('Détail de conso'!A15=0,"",'Détail de conso'!A15)</f>
        <v/>
      </c>
      <c r="B66" s="118"/>
      <c r="C66" s="118"/>
      <c r="D66" s="118"/>
      <c r="E66" s="118"/>
      <c r="F66" s="118"/>
      <c r="G66" s="118"/>
      <c r="H66" s="118"/>
      <c r="I66" s="118"/>
      <c r="J66" s="120"/>
      <c r="K66" s="120"/>
      <c r="L66" s="119"/>
      <c r="M66" s="119"/>
      <c r="N66" s="118"/>
      <c r="O66" s="118"/>
      <c r="P66" s="194" t="str">
        <f>IF('Détail de conso'!B15=0,"",'Détail de conso'!B15)</f>
        <v/>
      </c>
      <c r="Q66" s="194"/>
      <c r="R66" s="194"/>
      <c r="S66" s="118"/>
      <c r="T66" s="56"/>
      <c r="U66" s="29"/>
      <c r="V66" s="29"/>
      <c r="W66" s="148" t="str">
        <f>IF(AND('Data_ Contrats'!O68="M",SUMIF(Data_P!A:A,CONCATENATE('Data_ Contrats'!A68,"_",E$23),Data_P!J:J)),'Data_ Contrats'!A68," ")</f>
        <v xml:space="preserve"> </v>
      </c>
      <c r="X66" s="118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1:44" ht="16.8" thickBot="1">
      <c r="A67" s="34" t="str">
        <f>IF('Détail de conso'!A16=0,"",'Détail de conso'!A16)</f>
        <v/>
      </c>
      <c r="B67" s="118"/>
      <c r="C67" s="118"/>
      <c r="D67" s="118"/>
      <c r="E67" s="118"/>
      <c r="F67" s="118"/>
      <c r="G67" s="118"/>
      <c r="H67" s="118"/>
      <c r="I67" s="118"/>
      <c r="J67" s="120"/>
      <c r="K67" s="120"/>
      <c r="L67" s="119"/>
      <c r="M67" s="119"/>
      <c r="N67" s="118"/>
      <c r="O67" s="118"/>
      <c r="P67" s="194" t="str">
        <f>IF('Détail de conso'!B16=0,"",'Détail de conso'!B16)</f>
        <v/>
      </c>
      <c r="Q67" s="194"/>
      <c r="R67" s="194"/>
      <c r="S67" s="118"/>
      <c r="T67" s="56"/>
      <c r="U67" s="29"/>
      <c r="V67" s="29"/>
      <c r="W67" s="148" t="str">
        <f>IF(AND('Data_ Contrats'!O69="M",SUMIF(Data_P!A:A,CONCATENATE('Data_ Contrats'!A69,"_",E$23),Data_P!J:J)),'Data_ Contrats'!A69," ")</f>
        <v>Concorde Montparnasse</v>
      </c>
      <c r="X67" s="118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1:44" ht="16.8" thickBot="1">
      <c r="A68" s="34" t="str">
        <f>IF('Détail de conso'!A17=0,"",'Détail de conso'!A17)</f>
        <v/>
      </c>
      <c r="B68" s="118"/>
      <c r="C68" s="118"/>
      <c r="D68" s="118"/>
      <c r="E68" s="118"/>
      <c r="F68" s="118"/>
      <c r="G68" s="118"/>
      <c r="H68" s="118"/>
      <c r="I68" s="118"/>
      <c r="J68" s="120"/>
      <c r="K68" s="120"/>
      <c r="L68" s="119"/>
      <c r="M68" s="119"/>
      <c r="N68" s="118"/>
      <c r="O68" s="118"/>
      <c r="P68" s="194" t="str">
        <f>IF('Détail de conso'!B17=0,"",'Détail de conso'!B17)</f>
        <v/>
      </c>
      <c r="Q68" s="194"/>
      <c r="R68" s="194"/>
      <c r="S68" s="118"/>
      <c r="T68" s="56"/>
      <c r="U68" s="29"/>
      <c r="V68" s="29"/>
      <c r="W68" s="148" t="str">
        <f>IF(AND('Data_ Contrats'!O70="M",SUMIF(Data_P!A:A,CONCATENATE('Data_ Contrats'!A70,"_",E$23),Data_P!J:J)),'Data_ Contrats'!A70," ")</f>
        <v xml:space="preserve"> </v>
      </c>
      <c r="X68" s="118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1:44" ht="16.8" thickBot="1">
      <c r="A69" s="34" t="str">
        <f>IF('Détail de conso'!A18=0,"",'Détail de conso'!A18)</f>
        <v/>
      </c>
      <c r="B69" s="108"/>
      <c r="C69" s="118"/>
      <c r="D69" s="118"/>
      <c r="E69" s="118"/>
      <c r="F69" s="118"/>
      <c r="G69" s="118"/>
      <c r="H69" s="118"/>
      <c r="I69" s="118"/>
      <c r="J69" s="120"/>
      <c r="K69" s="120"/>
      <c r="L69" s="119"/>
      <c r="M69" s="119"/>
      <c r="N69" s="118"/>
      <c r="O69" s="118"/>
      <c r="P69" s="194" t="str">
        <f>IF('Détail de conso'!B18=0,"",'Détail de conso'!B18)</f>
        <v/>
      </c>
      <c r="Q69" s="194"/>
      <c r="R69" s="194"/>
      <c r="S69" s="118"/>
      <c r="T69" s="118"/>
      <c r="U69" s="29"/>
      <c r="V69" s="29"/>
      <c r="W69" s="148" t="str">
        <f>IF(AND('Data_ Contrats'!O71="M",SUMIF(Data_P!A:A,CONCATENATE('Data_ Contrats'!A71,"_",E$23),Data_P!J:J)),'Data_ Contrats'!A71," ")</f>
        <v>Crowne Plaza Montpellier</v>
      </c>
      <c r="X69" s="118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</row>
    <row r="70" spans="1:44" ht="16.8" thickBot="1">
      <c r="A70" s="34" t="str">
        <f>IF('Détail de conso'!A19=0,"",'Détail de conso'!A19)</f>
        <v/>
      </c>
      <c r="B70" s="118"/>
      <c r="C70" s="118"/>
      <c r="D70" s="118"/>
      <c r="E70" s="118"/>
      <c r="F70" s="118"/>
      <c r="G70" s="118"/>
      <c r="H70" s="118"/>
      <c r="I70" s="118"/>
      <c r="J70" s="120"/>
      <c r="K70" s="120"/>
      <c r="L70" s="119"/>
      <c r="M70" s="119"/>
      <c r="N70" s="118"/>
      <c r="O70" s="118"/>
      <c r="P70" s="194" t="str">
        <f>IF('Détail de conso'!B19=0,"",'Détail de conso'!B19)</f>
        <v/>
      </c>
      <c r="Q70" s="194"/>
      <c r="R70" s="194"/>
      <c r="S70" s="118"/>
      <c r="T70" s="118"/>
      <c r="U70" s="29"/>
      <c r="V70" s="29"/>
      <c r="W70" s="148" t="str">
        <f>IF(AND('Data_ Contrats'!O72="M",SUMIF(Data_P!A:A,CONCATENATE('Data_ Contrats'!A72,"_",E$23),Data_P!J:J)),'Data_ Contrats'!A72," ")</f>
        <v>CT Exploitation</v>
      </c>
      <c r="X70" s="118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1:44" ht="16.8" thickBot="1">
      <c r="A71" s="34" t="str">
        <f>IF('Détail de conso'!A20=0,"",'Détail de conso'!A20)</f>
        <v/>
      </c>
      <c r="B71" s="118"/>
      <c r="C71" s="118"/>
      <c r="D71" s="118"/>
      <c r="E71" s="118"/>
      <c r="F71" s="118"/>
      <c r="G71" s="118"/>
      <c r="H71" s="118"/>
      <c r="I71" s="118"/>
      <c r="J71" s="120"/>
      <c r="K71" s="120"/>
      <c r="L71" s="119"/>
      <c r="M71" s="119"/>
      <c r="N71" s="118"/>
      <c r="O71" s="118"/>
      <c r="P71" s="194" t="str">
        <f>IF('Détail de conso'!B20=0,"",'Détail de conso'!B20)</f>
        <v/>
      </c>
      <c r="Q71" s="194"/>
      <c r="R71" s="194"/>
      <c r="S71" s="118"/>
      <c r="T71" s="118"/>
      <c r="U71" s="29"/>
      <c r="V71" s="29"/>
      <c r="W71" s="148" t="str">
        <f>IF(AND('Data_ Contrats'!O73="M",SUMIF(Data_P!A:A,CONCATENATE('Data_ Contrats'!A73,"_",E$23),Data_P!J:J)),'Data_ Contrats'!A73," ")</f>
        <v xml:space="preserve"> </v>
      </c>
      <c r="X71" s="118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1:44" thickBot="1">
      <c r="A72" s="34" t="str">
        <f>IF('Détail de conso'!A21=0,"",'Détail de conso'!A21)</f>
        <v/>
      </c>
      <c r="B72" s="118"/>
      <c r="C72" s="118"/>
      <c r="D72" s="118"/>
      <c r="E72" s="118"/>
      <c r="F72" s="118"/>
      <c r="G72" s="118"/>
      <c r="H72" s="118"/>
      <c r="I72" s="118"/>
      <c r="J72" s="120"/>
      <c r="K72" s="120"/>
      <c r="L72" s="119"/>
      <c r="M72" s="119"/>
      <c r="N72" s="118"/>
      <c r="O72" s="118"/>
      <c r="P72" s="194" t="str">
        <f>IF('Détail de conso'!B21=0,"",'Détail de conso'!B21)</f>
        <v/>
      </c>
      <c r="Q72" s="194"/>
      <c r="R72" s="194"/>
      <c r="S72" s="118"/>
      <c r="T72" s="118"/>
      <c r="W72" s="148" t="e">
        <f>IF(AND('Data_ Contrats'!#REF!="M",SUMIF(Data_P!A:A,CONCATENATE('Data_ Contrats'!#REF!,"_",E$23),Data_P!J:J)),'Data_ Contrats'!#REF!," ")</f>
        <v>#REF!</v>
      </c>
      <c r="X72" s="118"/>
    </row>
    <row r="73" spans="1:44" thickBot="1">
      <c r="A73" s="34" t="str">
        <f>IF('Détail de conso'!A22=0,"",'Détail de conso'!A22)</f>
        <v/>
      </c>
      <c r="B73" s="118"/>
      <c r="C73" s="118"/>
      <c r="D73" s="118"/>
      <c r="E73" s="118"/>
      <c r="F73" s="118"/>
      <c r="G73" s="118"/>
      <c r="H73" s="118"/>
      <c r="I73" s="118"/>
      <c r="J73" s="120"/>
      <c r="K73" s="120"/>
      <c r="L73" s="119"/>
      <c r="M73" s="119"/>
      <c r="N73" s="118"/>
      <c r="O73" s="118"/>
      <c r="P73" s="194" t="str">
        <f>IF('Détail de conso'!B22=0,"",'Détail de conso'!B22)</f>
        <v/>
      </c>
      <c r="Q73" s="194"/>
      <c r="R73" s="194"/>
      <c r="S73" s="118"/>
      <c r="T73" s="118"/>
      <c r="W73" s="148" t="str">
        <f>IF(AND('Data_ Contrats'!O74="M",SUMIF(Data_P!A:A,CONCATENATE('Data_ Contrats'!A74,"_",E$23),Data_P!J:J)),'Data_ Contrats'!A74," ")</f>
        <v>Discount Parking Beauvais</v>
      </c>
      <c r="X73" s="118"/>
    </row>
    <row r="74" spans="1:44" thickBot="1">
      <c r="A74" s="34" t="str">
        <f>IF('Détail de conso'!A23=0,"",'Détail de conso'!A23)</f>
        <v/>
      </c>
      <c r="B74" s="118"/>
      <c r="C74" s="118"/>
      <c r="D74" s="118"/>
      <c r="E74" s="118"/>
      <c r="F74" s="118"/>
      <c r="G74" s="118"/>
      <c r="H74" s="118"/>
      <c r="I74" s="118"/>
      <c r="J74" s="120"/>
      <c r="K74" s="120"/>
      <c r="L74" s="118"/>
      <c r="M74" s="118"/>
      <c r="N74" s="118"/>
      <c r="O74" s="118"/>
      <c r="P74" s="194" t="str">
        <f>IF('Détail de conso'!B23=0,"",'Détail de conso'!B23)</f>
        <v/>
      </c>
      <c r="Q74" s="194"/>
      <c r="R74" s="194"/>
      <c r="S74" s="118"/>
      <c r="T74" s="118"/>
      <c r="W74" s="148" t="str">
        <f>IF(AND('Data_ Contrats'!O75="M",SUMIF(Data_P!A:A,CONCATENATE('Data_ Contrats'!A75,"_",E$23),Data_P!J:J)),'Data_ Contrats'!A75," ")</f>
        <v>Domaxis</v>
      </c>
      <c r="X74" s="118"/>
    </row>
    <row r="75" spans="1:44" thickBot="1">
      <c r="A75" s="34" t="str">
        <f>IF('Détail de conso'!A24=0,"",'Détail de conso'!A24)</f>
        <v/>
      </c>
      <c r="B75" s="118"/>
      <c r="C75" s="118"/>
      <c r="D75" s="118"/>
      <c r="E75" s="118"/>
      <c r="F75" s="118"/>
      <c r="G75" s="118"/>
      <c r="H75" s="118"/>
      <c r="I75" s="118"/>
      <c r="J75" s="120"/>
      <c r="K75" s="120"/>
      <c r="L75" s="118"/>
      <c r="M75" s="118"/>
      <c r="N75" s="118"/>
      <c r="O75" s="118"/>
      <c r="P75" s="194" t="str">
        <f>IF('Détail de conso'!B24=0,"",'Détail de conso'!B24)</f>
        <v/>
      </c>
      <c r="Q75" s="194"/>
      <c r="R75" s="194"/>
      <c r="S75" s="118"/>
      <c r="T75" s="118"/>
      <c r="W75" s="148" t="str">
        <f>IF(AND('Data_ Contrats'!O76="M",SUMIF(Data_P!A:A,CONCATENATE('Data_ Contrats'!A76,"_",E$23),Data_P!J:J)),'Data_ Contrats'!A76," ")</f>
        <v xml:space="preserve"> </v>
      </c>
      <c r="X75" s="118"/>
    </row>
    <row r="76" spans="1:44" thickBot="1">
      <c r="A76" s="34" t="str">
        <f>IF('Détail de conso'!A25=0,"",'Détail de conso'!A25)</f>
        <v/>
      </c>
      <c r="B76" s="118"/>
      <c r="C76" s="118"/>
      <c r="D76" s="118"/>
      <c r="E76" s="118"/>
      <c r="F76" s="118"/>
      <c r="G76" s="118"/>
      <c r="H76" s="118"/>
      <c r="I76" s="118"/>
      <c r="J76" s="120"/>
      <c r="K76" s="120"/>
      <c r="L76" s="118"/>
      <c r="M76" s="118"/>
      <c r="N76" s="118"/>
      <c r="O76" s="118"/>
      <c r="P76" s="194" t="str">
        <f>IF('Détail de conso'!B25=0,"",'Détail de conso'!B25)</f>
        <v/>
      </c>
      <c r="Q76" s="194"/>
      <c r="R76" s="194"/>
      <c r="S76" s="118"/>
      <c r="T76" s="118"/>
      <c r="W76" s="148" t="str">
        <f>IF(AND('Data_ Contrats'!O77="M",SUMIF(Data_P!A:A,CONCATENATE('Data_ Contrats'!A77,"_",E$23),Data_P!J:J)),'Data_ Contrats'!A77," ")</f>
        <v>Easypark 31</v>
      </c>
      <c r="X76" s="118"/>
    </row>
    <row r="77" spans="1:44" thickBot="1">
      <c r="A77" s="34" t="str">
        <f>IF('Détail de conso'!A26=0,"",'Détail de conso'!A26)</f>
        <v/>
      </c>
      <c r="B77" s="118"/>
      <c r="C77" s="118"/>
      <c r="D77" s="118"/>
      <c r="E77" s="118"/>
      <c r="F77" s="118"/>
      <c r="G77" s="118"/>
      <c r="H77" s="118"/>
      <c r="I77" s="118"/>
      <c r="J77" s="120"/>
      <c r="K77" s="118"/>
      <c r="L77" s="118"/>
      <c r="M77" s="118"/>
      <c r="N77" s="118"/>
      <c r="O77" s="118"/>
      <c r="P77" s="194" t="str">
        <f>IF('Détail de conso'!B26=0,"",'Détail de conso'!B26)</f>
        <v/>
      </c>
      <c r="Q77" s="194"/>
      <c r="R77" s="194"/>
      <c r="S77" s="118"/>
      <c r="T77" s="118"/>
      <c r="W77" s="148" t="str">
        <f>IF(AND('Data_ Contrats'!O78="M",SUMIF(Data_P!A:A,CONCATENATE('Data_ Contrats'!A78,"_",E$23),Data_P!J:J)),'Data_ Contrats'!A78," ")</f>
        <v>Efidis Hauts de Seine</v>
      </c>
      <c r="X77" s="118"/>
    </row>
    <row r="78" spans="1:44" thickBot="1">
      <c r="A78" s="34" t="str">
        <f>IF('Détail de conso'!A27=0,"",'Détail de conso'!A27)</f>
        <v/>
      </c>
      <c r="B78" s="118"/>
      <c r="C78" s="118"/>
      <c r="D78" s="118"/>
      <c r="E78" s="118"/>
      <c r="F78" s="118"/>
      <c r="G78" s="118"/>
      <c r="H78" s="118"/>
      <c r="I78" s="118"/>
      <c r="J78" s="120"/>
      <c r="K78" s="118"/>
      <c r="L78" s="118"/>
      <c r="M78" s="118"/>
      <c r="N78" s="118"/>
      <c r="O78" s="118"/>
      <c r="P78" s="194" t="str">
        <f>IF('Détail de conso'!B27=0,"",'Détail de conso'!B27)</f>
        <v/>
      </c>
      <c r="Q78" s="194"/>
      <c r="R78" s="194"/>
      <c r="S78" s="118"/>
      <c r="T78" s="118"/>
      <c r="W78" s="148" t="str">
        <f>IF(AND('Data_ Contrats'!O79="M",SUMIF(Data_P!A:A,CONCATENATE('Data_ Contrats'!A79,"_",E$23),Data_P!J:J)),'Data_ Contrats'!A79," ")</f>
        <v>Efidis Paris</v>
      </c>
      <c r="X78" s="118"/>
    </row>
    <row r="79" spans="1:44" s="118" customFormat="1" thickBot="1">
      <c r="A79" s="34" t="str">
        <f>IF('Détail de conso'!A28=0,"",'Détail de conso'!A28)</f>
        <v/>
      </c>
      <c r="J79" s="120"/>
      <c r="P79" s="194" t="str">
        <f>IF('Détail de conso'!B28=0,"",'Détail de conso'!B28)</f>
        <v/>
      </c>
      <c r="Q79" s="194"/>
      <c r="R79" s="194"/>
      <c r="U79" s="133"/>
      <c r="W79" s="148" t="str">
        <f>IF(AND('Data_ Contrats'!O80="M",SUMIF(Data_P!A:A,CONCATENATE('Data_ Contrats'!A80,"_",E$23),Data_P!J:J)),'Data_ Contrats'!A80," ")</f>
        <v xml:space="preserve"> </v>
      </c>
    </row>
    <row r="80" spans="1:44" thickBot="1">
      <c r="A80" s="34" t="str">
        <f>IF('Détail de conso'!A29=0,"",'Détail de conso'!A29)</f>
        <v/>
      </c>
      <c r="B80" s="118"/>
      <c r="C80" s="118"/>
      <c r="D80" s="118"/>
      <c r="E80" s="118"/>
      <c r="F80" s="118"/>
      <c r="G80" s="118"/>
      <c r="H80" s="118"/>
      <c r="I80" s="118"/>
      <c r="J80" s="120"/>
      <c r="K80" s="118"/>
      <c r="L80" s="118"/>
      <c r="M80" s="118"/>
      <c r="N80" s="118"/>
      <c r="O80" s="118"/>
      <c r="P80" s="194" t="str">
        <f>IF('Détail de conso'!B29=0,"",'Détail de conso'!B29)</f>
        <v/>
      </c>
      <c r="Q80" s="194"/>
      <c r="R80" s="194"/>
      <c r="S80" s="118"/>
      <c r="T80" s="118"/>
      <c r="W80" s="148" t="str">
        <f>IF(AND('Data_ Contrats'!O81="M",SUMIF(Data_P!A:A,CONCATENATE('Data_ Contrats'!A81,"_",E$23),Data_P!J:J)),'Data_ Contrats'!A81," ")</f>
        <v>Elysée Palace SNC</v>
      </c>
      <c r="X80" s="118"/>
    </row>
    <row r="81" spans="1:24" thickBot="1">
      <c r="A81" s="34" t="str">
        <f>IF('Détail de conso'!A30=0,"",'Détail de conso'!A30)</f>
        <v/>
      </c>
      <c r="B81" s="118"/>
      <c r="C81" s="118"/>
      <c r="D81" s="118"/>
      <c r="E81" s="118"/>
      <c r="F81" s="118"/>
      <c r="G81" s="118"/>
      <c r="H81" s="118"/>
      <c r="I81" s="118"/>
      <c r="J81" s="120"/>
      <c r="K81" s="118"/>
      <c r="L81" s="118"/>
      <c r="M81" s="118"/>
      <c r="N81" s="118"/>
      <c r="O81" s="118"/>
      <c r="P81" s="194" t="str">
        <f>IF('Détail de conso'!B30=0,"",'Détail de conso'!B30)</f>
        <v/>
      </c>
      <c r="Q81" s="194"/>
      <c r="R81" s="194"/>
      <c r="S81" s="118"/>
      <c r="T81" s="118"/>
      <c r="W81" s="148" t="str">
        <f>IF(AND('Data_ Contrats'!O82="M",SUMIF(Data_P!A:A,CONCATENATE('Data_ Contrats'!A82,"_",E$23),Data_P!J:J)),'Data_ Contrats'!A82," ")</f>
        <v>Erigere</v>
      </c>
      <c r="X81" s="118"/>
    </row>
    <row r="82" spans="1:24" thickBot="1">
      <c r="A82" s="34" t="str">
        <f>IF('Détail de conso'!A31=0,"",'Détail de conso'!A31)</f>
        <v/>
      </c>
      <c r="B82" s="118"/>
      <c r="C82" s="118"/>
      <c r="D82" s="118"/>
      <c r="E82" s="118"/>
      <c r="F82" s="118"/>
      <c r="G82" s="118"/>
      <c r="H82" s="118"/>
      <c r="I82" s="118"/>
      <c r="J82" s="120"/>
      <c r="K82" s="118"/>
      <c r="L82" s="118"/>
      <c r="M82" s="118"/>
      <c r="N82" s="118"/>
      <c r="O82" s="118"/>
      <c r="P82" s="194" t="str">
        <f>IF('Détail de conso'!B31=0,"",'Détail de conso'!B31)</f>
        <v/>
      </c>
      <c r="Q82" s="194"/>
      <c r="R82" s="194"/>
      <c r="S82" s="118"/>
      <c r="T82" s="118"/>
      <c r="W82" s="148" t="str">
        <f>IF(AND('Data_ Contrats'!O83="M",SUMIF(Data_P!A:A,CONCATENATE('Data_ Contrats'!A83,"_",E$23),Data_P!J:J)),'Data_ Contrats'!A83," ")</f>
        <v xml:space="preserve"> </v>
      </c>
      <c r="X82" s="118"/>
    </row>
    <row r="83" spans="1:24" thickBot="1">
      <c r="A83" s="34" t="str">
        <f>IF('Détail de conso'!A32=0,"",'Détail de conso'!A32)</f>
        <v/>
      </c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94" t="str">
        <f>IF('Détail de conso'!B34=0,"",'Détail de conso'!B34)</f>
        <v/>
      </c>
      <c r="Q83" s="194"/>
      <c r="R83" s="194"/>
      <c r="S83" s="118"/>
      <c r="T83" s="118"/>
      <c r="W83" s="148" t="str">
        <f>IF(AND('Data_ Contrats'!O84="M",SUMIF(Data_P!A:A,CONCATENATE('Data_ Contrats'!A84,"_",E$23),Data_P!J:J)),'Data_ Contrats'!A84," ")</f>
        <v>Fimare</v>
      </c>
      <c r="X83" s="118"/>
    </row>
    <row r="84" spans="1:24" thickBot="1">
      <c r="A84" s="34" t="str">
        <f>IF('Détail de conso'!A32=0,"",'Détail de conso'!A32)</f>
        <v/>
      </c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58"/>
      <c r="Q84" s="58"/>
      <c r="R84" s="118"/>
      <c r="S84" s="118"/>
      <c r="T84" s="118"/>
      <c r="W84" s="148" t="str">
        <f>IF(AND('Data_ Contrats'!O85="M",SUMIF(Data_P!A:A,CONCATENATE('Data_ Contrats'!A85,"_",E$23),Data_P!J:J)),'Data_ Contrats'!A85," ")</f>
        <v xml:space="preserve"> </v>
      </c>
      <c r="X84" s="118"/>
    </row>
    <row r="85" spans="1:24" thickBot="1">
      <c r="A85" s="34" t="str">
        <f>IF('Détail de conso'!A33=0,"",'Détail de conso'!A33)</f>
        <v/>
      </c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58"/>
      <c r="Q85" s="58"/>
      <c r="R85" s="118"/>
      <c r="S85" s="118"/>
      <c r="T85" s="118"/>
      <c r="W85" s="148" t="str">
        <f>IF(AND('Data_ Contrats'!O86="M",SUMIF(Data_P!A:A,CONCATENATE('Data_ Contrats'!A86,"_",E$23),Data_P!J:J)),'Data_ Contrats'!A86," ")</f>
        <v xml:space="preserve"> </v>
      </c>
      <c r="X85" s="118"/>
    </row>
    <row r="86" spans="1:24" thickBot="1">
      <c r="A86" s="34" t="str">
        <f>IF('Détail de conso'!A34=0,"",'Détail de conso'!A34)</f>
        <v/>
      </c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58"/>
      <c r="Q86" s="58"/>
      <c r="R86" s="118"/>
      <c r="S86" s="118"/>
      <c r="T86" s="118"/>
      <c r="W86" s="148" t="str">
        <f>IF(AND('Data_ Contrats'!O87="M",SUMIF(Data_P!A:A,CONCATENATE('Data_ Contrats'!A87,"_",E$23),Data_P!J:J)),'Data_ Contrats'!A87," ")</f>
        <v>Global Exploitation</v>
      </c>
      <c r="X86" s="118"/>
    </row>
    <row r="87" spans="1:24" thickBot="1">
      <c r="A87" s="34" t="str">
        <f>IF('Détail de conso'!A35=0,"",'Détail de conso'!A35)</f>
        <v/>
      </c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58"/>
      <c r="Q87" s="58"/>
      <c r="R87" s="118"/>
      <c r="S87" s="118"/>
      <c r="T87" s="118"/>
      <c r="W87" s="148" t="str">
        <f>IF(AND('Data_ Contrats'!O88="M",SUMIF(Data_P!A:A,CONCATENATE('Data_ Contrats'!A88,"_",E$23),Data_P!J:J)),'Data_ Contrats'!A88," ")</f>
        <v>Grand Garage de Clignancourt</v>
      </c>
      <c r="X87" s="118"/>
    </row>
    <row r="88" spans="1:24" thickBot="1">
      <c r="A88" s="34" t="str">
        <f>IF('Détail de conso'!A36=0,"",'Détail de conso'!A36)</f>
        <v/>
      </c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118"/>
      <c r="T88" s="118"/>
      <c r="W88" s="148" t="str">
        <f>IF(AND('Data_ Contrats'!O89="M",SUMIF(Data_P!A:A,CONCATENATE('Data_ Contrats'!A89,"_",E$23),Data_P!J:J)),'Data_ Contrats'!A89," ")</f>
        <v xml:space="preserve"> </v>
      </c>
      <c r="X88" s="118"/>
    </row>
    <row r="89" spans="1:24" thickBot="1">
      <c r="A89" s="34" t="str">
        <f>IF('Détail de conso'!A37=0,"",'Détail de conso'!A37)</f>
        <v/>
      </c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118"/>
      <c r="T89" s="118"/>
      <c r="W89" s="148" t="str">
        <f>IF(AND('Data_ Contrats'!O90="M",SUMIF(Data_P!A:A,CONCATENATE('Data_ Contrats'!A90,"_",E$23),Data_P!J:J)),'Data_ Contrats'!A90," ")</f>
        <v>Grenoble Habitat</v>
      </c>
      <c r="X89" s="118"/>
    </row>
    <row r="90" spans="1:24" thickBot="1">
      <c r="A90" s="34" t="str">
        <f>IF('Détail de conso'!A38=0,"",'Détail de conso'!A38)</f>
        <v/>
      </c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118"/>
      <c r="T90" s="118"/>
      <c r="W90" s="148" t="str">
        <f>IF(AND('Data_ Contrats'!O91="M",SUMIF(Data_P!A:A,CONCATENATE('Data_ Contrats'!A91,"_",E$23),Data_P!J:J)),'Data_ Contrats'!A91," ")</f>
        <v>GSA Résidences</v>
      </c>
      <c r="X90" s="118"/>
    </row>
    <row r="91" spans="1:24" thickBot="1">
      <c r="A91" s="118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118"/>
      <c r="T91" s="118"/>
      <c r="W91" s="148" t="str">
        <f>IF(AND('Data_ Contrats'!O92="M",SUMIF(Data_P!A:A,CONCATENATE('Data_ Contrats'!A92,"_",E$23),Data_P!J:J)),'Data_ Contrats'!A92," ")</f>
        <v xml:space="preserve"> </v>
      </c>
      <c r="X91" s="118"/>
    </row>
    <row r="92" spans="1:24" thickBot="1">
      <c r="A92" s="118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118"/>
      <c r="T92" s="118"/>
      <c r="W92" s="148" t="str">
        <f>IF(AND('Data_ Contrats'!O93="M",SUMIF(Data_P!A:A,CONCATENATE('Data_ Contrats'!A93,"_",E$23),Data_P!J:J)),'Data_ Contrats'!A93," ")</f>
        <v>Haute-Savoie Habitat</v>
      </c>
      <c r="X92" s="118"/>
    </row>
    <row r="93" spans="1:24" thickBot="1">
      <c r="A93" s="118"/>
      <c r="B93" s="118"/>
      <c r="C93" s="118"/>
      <c r="D93" s="118"/>
      <c r="E93" s="118"/>
      <c r="F93" s="118"/>
      <c r="G93" s="118"/>
      <c r="H93" s="118"/>
      <c r="I93" s="118"/>
      <c r="J93" s="118"/>
      <c r="K93" s="118"/>
      <c r="L93" s="118"/>
      <c r="M93" s="118"/>
      <c r="N93" s="118"/>
      <c r="O93" s="118"/>
      <c r="P93" s="118"/>
      <c r="Q93" s="118"/>
      <c r="R93" s="118"/>
      <c r="S93" s="118"/>
      <c r="T93" s="118"/>
      <c r="W93" s="148" t="str">
        <f>IF(AND('Data_ Contrats'!O94="M",SUMIF(Data_P!A:A,CONCATENATE('Data_ Contrats'!A94,"_",E$23),Data_P!J:J)),'Data_ Contrats'!A94," ")</f>
        <v xml:space="preserve"> </v>
      </c>
      <c r="X93" s="118"/>
    </row>
    <row r="94" spans="1:24" thickBot="1">
      <c r="A94" s="118"/>
      <c r="B94" s="118"/>
      <c r="C94" s="118"/>
      <c r="D94" s="118"/>
      <c r="E94" s="118"/>
      <c r="F94" s="118"/>
      <c r="G94" s="118"/>
      <c r="H94" s="118"/>
      <c r="I94" s="118"/>
      <c r="J94" s="118"/>
      <c r="K94" s="118"/>
      <c r="L94" s="118"/>
      <c r="M94" s="118"/>
      <c r="N94" s="118"/>
      <c r="O94" s="118"/>
      <c r="P94" s="118"/>
      <c r="Q94" s="118"/>
      <c r="R94" s="118"/>
      <c r="S94" s="118"/>
      <c r="T94" s="118"/>
      <c r="W94" s="148" t="str">
        <f>IF(AND('Data_ Contrats'!O95="M",SUMIF(Data_P!A:A,CONCATENATE('Data_ Contrats'!A95,"_",E$23),Data_P!J:J)),'Data_ Contrats'!A95," ")</f>
        <v>Holiday Inn Marne La Vallée</v>
      </c>
      <c r="X94" s="118"/>
    </row>
    <row r="95" spans="1:24" thickBot="1">
      <c r="W95" s="148" t="str">
        <f>IF(AND('Data_ Contrats'!O96="M",SUMIF(Data_P!A:A,CONCATENATE('Data_ Contrats'!A96,"_",E$23),Data_P!J:J)),'Data_ Contrats'!A96," ")</f>
        <v>Holiday Inn Roissy CDG</v>
      </c>
      <c r="X95" s="118"/>
    </row>
    <row r="96" spans="1:24" thickBot="1">
      <c r="W96" s="148" t="str">
        <f>IF(AND('Data_ Contrats'!O97="M",SUMIF(Data_P!A:A,CONCATENATE('Data_ Contrats'!A97,"_",E$23),Data_P!J:J)),'Data_ Contrats'!A97," ")</f>
        <v>Holiday Inn Vélizy</v>
      </c>
      <c r="X96" s="118"/>
    </row>
    <row r="97" spans="23:24" thickBot="1">
      <c r="W97" s="148" t="str">
        <f>IF(AND('Data_ Contrats'!O98="M",SUMIF(Data_P!A:A,CONCATENATE('Data_ Contrats'!A98,"_",E$23),Data_P!J:J)),'Data_ Contrats'!A98," ")</f>
        <v>Hôtel Ariana</v>
      </c>
      <c r="X97" s="118"/>
    </row>
    <row r="98" spans="23:24" thickBot="1">
      <c r="W98" s="148" t="str">
        <f>IF(AND('Data_ Contrats'!O99="M",SUMIF(Data_P!A:A,CONCATENATE('Data_ Contrats'!A99,"_",E$23),Data_P!J:J)),'Data_ Contrats'!A99," ")</f>
        <v xml:space="preserve"> </v>
      </c>
      <c r="X98" s="118"/>
    </row>
    <row r="99" spans="23:24" thickBot="1">
      <c r="W99" s="148" t="str">
        <f>IF(AND('Data_ Contrats'!O100="M",SUMIF(Data_P!A:A,CONCATENATE('Data_ Contrats'!A100,"_",E$23),Data_P!J:J)),'Data_ Contrats'!A100," ")</f>
        <v xml:space="preserve"> </v>
      </c>
      <c r="X99" s="118"/>
    </row>
    <row r="100" spans="23:24" thickBot="1">
      <c r="W100" s="148" t="str">
        <f>IF(AND('Data_ Contrats'!O101="M",SUMIF(Data_P!A:A,CONCATENATE('Data_ Contrats'!A101,"_",E$23),Data_P!J:J)),'Data_ Contrats'!A101," ")</f>
        <v xml:space="preserve"> </v>
      </c>
      <c r="X100" s="118"/>
    </row>
    <row r="101" spans="23:24" thickBot="1">
      <c r="W101" s="148" t="str">
        <f>IF(AND('Data_ Contrats'!O102="M",SUMIF(Data_P!A:A,CONCATENATE('Data_ Contrats'!A102,"_",E$23),Data_P!J:J)),'Data_ Contrats'!A102," ")</f>
        <v>Hôtel Elysée Serris</v>
      </c>
      <c r="X101" s="118"/>
    </row>
    <row r="102" spans="23:24" thickBot="1">
      <c r="W102" s="148" t="str">
        <f>IF(AND('Data_ Contrats'!O103="M",SUMIF(Data_P!A:A,CONCATENATE('Data_ Contrats'!A103,"_",E$23),Data_P!J:J)),'Data_ Contrats'!A103," ")</f>
        <v xml:space="preserve"> </v>
      </c>
      <c r="X102" s="118"/>
    </row>
    <row r="103" spans="23:24" thickBot="1">
      <c r="W103" s="148" t="str">
        <f>IF(AND('Data_ Contrats'!O104="M",SUMIF(Data_P!A:A,CONCATENATE('Data_ Contrats'!A104,"_",E$23),Data_P!J:J)),'Data_ Contrats'!A104," ")</f>
        <v>Ibis Budget Aubervilliers</v>
      </c>
      <c r="X103" s="118"/>
    </row>
    <row r="104" spans="23:24" thickBot="1">
      <c r="W104" s="148" t="str">
        <f>IF(AND('Data_ Contrats'!O105="M",SUMIF(Data_P!A:A,CONCATENATE('Data_ Contrats'!A105,"_",E$23),Data_P!J:J)),'Data_ Contrats'!A105," ")</f>
        <v xml:space="preserve"> </v>
      </c>
      <c r="X104" s="118"/>
    </row>
    <row r="105" spans="23:24" thickBot="1">
      <c r="W105" s="148" t="str">
        <f>IF(AND('Data_ Contrats'!O106="M",SUMIF(Data_P!A:A,CONCATENATE('Data_ Contrats'!A106,"_",E$23),Data_P!J:J)),'Data_ Contrats'!A106," ")</f>
        <v>Ibis Budget Nanterre</v>
      </c>
      <c r="X105" s="118"/>
    </row>
    <row r="106" spans="23:24" thickBot="1">
      <c r="W106" s="148" t="str">
        <f>IF(AND('Data_ Contrats'!O107="M",SUMIF(Data_P!A:A,CONCATENATE('Data_ Contrats'!A107,"_",E$23),Data_P!J:J)),'Data_ Contrats'!A107," ")</f>
        <v>Ibis Budget Porte de Montmartre</v>
      </c>
      <c r="X106" s="118"/>
    </row>
    <row r="107" spans="23:24" thickBot="1">
      <c r="W107" s="148" t="str">
        <f>IF(AND('Data_ Contrats'!O108="M",SUMIF(Data_P!A:A,CONCATENATE('Data_ Contrats'!A108,"_",E$23),Data_P!J:J)),'Data_ Contrats'!A108," ")</f>
        <v xml:space="preserve"> </v>
      </c>
      <c r="X107" s="118"/>
    </row>
    <row r="108" spans="23:24" thickBot="1">
      <c r="W108" s="148" t="str">
        <f>IF(AND('Data_ Contrats'!O109="M",SUMIF(Data_P!A:A,CONCATENATE('Data_ Contrats'!A109,"_",E$23),Data_P!J:J)),'Data_ Contrats'!A109," ")</f>
        <v>Ibis Budget Porte de Vanves</v>
      </c>
      <c r="X108" s="118"/>
    </row>
    <row r="109" spans="23:24" thickBot="1">
      <c r="W109" s="148" t="str">
        <f>IF(AND('Data_ Contrats'!O110="M",SUMIF(Data_P!A:A,CONCATENATE('Data_ Contrats'!A110,"_",E$23),Data_P!J:J)),'Data_ Contrats'!A110," ")</f>
        <v>Ibis Budget Porte d'Italie Est</v>
      </c>
      <c r="X109" s="118"/>
    </row>
    <row r="110" spans="23:24" thickBot="1">
      <c r="W110" s="148" t="str">
        <f>IF(AND('Data_ Contrats'!O111="M",SUMIF(Data_P!A:A,CONCATENATE('Data_ Contrats'!A111,"_",E$23),Data_P!J:J)),'Data_ Contrats'!A111," ")</f>
        <v>Ibis Budget Porte d'Italie Ouest</v>
      </c>
      <c r="X110" s="118"/>
    </row>
    <row r="111" spans="23:24" thickBot="1">
      <c r="W111" s="148" t="str">
        <f>IF(AND('Data_ Contrats'!O112="M",SUMIF(Data_P!A:A,CONCATENATE('Data_ Contrats'!A112,"_",E$23),Data_P!J:J)),'Data_ Contrats'!A112," ")</f>
        <v>Ibis Marseille Calanques</v>
      </c>
      <c r="X111" s="118"/>
    </row>
    <row r="112" spans="23:24" thickBot="1">
      <c r="W112" s="148" t="str">
        <f>IF(AND('Data_ Contrats'!O113="M",SUMIF(Data_P!A:A,CONCATENATE('Data_ Contrats'!A113,"_",E$23),Data_P!J:J)),'Data_ Contrats'!A113," ")</f>
        <v xml:space="preserve"> </v>
      </c>
      <c r="X112" s="118"/>
    </row>
    <row r="113" spans="23:24" thickBot="1">
      <c r="W113" s="148" t="str">
        <f>IF(AND('Data_ Contrats'!O114="M",SUMIF(Data_P!A:A,CONCATENATE('Data_ Contrats'!A114,"_",E$23),Data_P!J:J)),'Data_ Contrats'!A114," ")</f>
        <v>Ibis Styles Brussels Louise</v>
      </c>
      <c r="X113" s="118"/>
    </row>
    <row r="114" spans="23:24" thickBot="1">
      <c r="W114" s="148" t="str">
        <f>IF(AND('Data_ Contrats'!O115="M",SUMIF(Data_P!A:A,CONCATENATE('Data_ Contrats'!A115,"_",E$23),Data_P!J:J)),'Data_ Contrats'!A115," ")</f>
        <v>Ibis Styles Brussels Stephanie</v>
      </c>
      <c r="X114" s="118"/>
    </row>
    <row r="115" spans="23:24" thickBot="1">
      <c r="W115" s="148" t="str">
        <f>IF(AND('Data_ Contrats'!O116="M",SUMIF(Data_P!A:A,CONCATENATE('Data_ Contrats'!A116,"_",E$23),Data_P!J:J)),'Data_ Contrats'!A116," ")</f>
        <v xml:space="preserve"> </v>
      </c>
      <c r="X115" s="118"/>
    </row>
    <row r="116" spans="23:24" thickBot="1">
      <c r="W116" s="148" t="str">
        <f>IF(AND('Data_ Contrats'!O117="M",SUMIF(Data_P!A:A,CONCATENATE('Data_ Contrats'!A117,"_",E$23),Data_P!J:J)),'Data_ Contrats'!A117," ")</f>
        <v>Ibis Styles Roissy CDG</v>
      </c>
      <c r="X116" s="118"/>
    </row>
    <row r="117" spans="23:24" thickBot="1">
      <c r="W117" s="148" t="str">
        <f>IF(AND('Data_ Contrats'!O118="M",SUMIF(Data_P!A:A,CONCATENATE('Data_ Contrats'!A118,"_",E$23),Data_P!J:J)),'Data_ Contrats'!A118," ")</f>
        <v>Ibis Styles Saint-Malo Port</v>
      </c>
      <c r="X117" s="118"/>
    </row>
    <row r="118" spans="23:24" thickBot="1">
      <c r="W118" s="148" t="str">
        <f>IF(AND('Data_ Contrats'!O119="M",SUMIF(Data_P!A:A,CONCATENATE('Data_ Contrats'!A119,"_",E$23),Data_P!J:J)),'Data_ Contrats'!A119," ")</f>
        <v>Icade</v>
      </c>
      <c r="X118" s="118"/>
    </row>
    <row r="119" spans="23:24" thickBot="1">
      <c r="W119" s="148" t="str">
        <f>IF(AND('Data_ Contrats'!O120="M",SUMIF(Data_P!A:A,CONCATENATE('Data_ Contrats'!A120,"_",E$23),Data_P!J:J)),'Data_ Contrats'!A120," ")</f>
        <v>ICF Habitat La Sablière</v>
      </c>
      <c r="X119" s="118"/>
    </row>
    <row r="120" spans="23:24" thickBot="1">
      <c r="W120" s="148" t="str">
        <f>IF(AND('Data_ Contrats'!O121="M",SUMIF(Data_P!A:A,CONCATENATE('Data_ Contrats'!A121,"_",E$23),Data_P!J:J)),'Data_ Contrats'!A121," ")</f>
        <v xml:space="preserve"> </v>
      </c>
      <c r="X120" s="118"/>
    </row>
    <row r="121" spans="23:24" thickBot="1">
      <c r="W121" s="148" t="str">
        <f>IF(AND('Data_ Contrats'!O122="M",SUMIF(Data_P!A:A,CONCATENATE('Data_ Contrats'!A122,"_",E$23),Data_P!J:J)),'Data_ Contrats'!A122," ")</f>
        <v xml:space="preserve"> </v>
      </c>
      <c r="X121" s="118"/>
    </row>
    <row r="122" spans="23:24" thickBot="1">
      <c r="W122" s="148" t="str">
        <f>IF(AND('Data_ Contrats'!O123="M",SUMIF(Data_P!A:A,CONCATENATE('Data_ Contrats'!A123,"_",E$23),Data_P!J:J)),'Data_ Contrats'!A123," ")</f>
        <v xml:space="preserve"> </v>
      </c>
      <c r="X122" s="118"/>
    </row>
    <row r="123" spans="23:24" thickBot="1">
      <c r="W123" s="148" t="str">
        <f>IF(AND('Data_ Contrats'!O124="M",SUMIF(Data_P!A:A,CONCATENATE('Data_ Contrats'!A124,"_",E$23),Data_P!J:J)),'Data_ Contrats'!A124," ")</f>
        <v xml:space="preserve"> </v>
      </c>
      <c r="X123" s="118"/>
    </row>
    <row r="124" spans="23:24" thickBot="1">
      <c r="W124" s="148" t="str">
        <f>IF(AND('Data_ Contrats'!O125="M",SUMIF(Data_P!A:A,CONCATENATE('Data_ Contrats'!A125,"_",E$23),Data_P!J:J)),'Data_ Contrats'!A125," ")</f>
        <v xml:space="preserve"> </v>
      </c>
      <c r="X124" s="118"/>
    </row>
    <row r="125" spans="23:24" thickBot="1">
      <c r="W125" s="148" t="str">
        <f>IF(AND('Data_ Contrats'!O126="M",SUMIF(Data_P!A:A,CONCATENATE('Data_ Contrats'!A126,"_",E$23),Data_P!J:J)),'Data_ Contrats'!A126," ")</f>
        <v>KLEY CAEN</v>
      </c>
      <c r="X125" s="118"/>
    </row>
    <row r="126" spans="23:24" thickBot="1">
      <c r="W126" s="148" t="str">
        <f>IF(AND('Data_ Contrats'!O127="M",SUMIF(Data_P!A:A,CONCATENATE('Data_ Contrats'!A127,"_",E$23),Data_P!J:J)),'Data_ Contrats'!A127," ")</f>
        <v xml:space="preserve"> </v>
      </c>
      <c r="X126" s="118"/>
    </row>
    <row r="127" spans="23:24" thickBot="1">
      <c r="W127" s="148" t="str">
        <f>IF(AND('Data_ Contrats'!O128="M",SUMIF(Data_P!A:A,CONCATENATE('Data_ Contrats'!A128,"_",E$23),Data_P!J:J)),'Data_ Contrats'!A128," ")</f>
        <v>Kyriad Le Bourget</v>
      </c>
      <c r="X127" s="118"/>
    </row>
    <row r="128" spans="23:24" thickBot="1">
      <c r="W128" s="148" t="str">
        <f>IF(AND('Data_ Contrats'!O129="M",SUMIF(Data_P!A:A,CONCATENATE('Data_ Contrats'!A129,"_",E$23),Data_P!J:J)),'Data_ Contrats'!A129," ")</f>
        <v xml:space="preserve"> </v>
      </c>
      <c r="X128" s="118"/>
    </row>
    <row r="129" spans="23:24" thickBot="1">
      <c r="W129" s="148" t="str">
        <f>IF(AND('Data_ Contrats'!O130="M",SUMIF(Data_P!A:A,CONCATENATE('Data_ Contrats'!A130,"_",E$23),Data_P!J:J)),'Data_ Contrats'!A130," ")</f>
        <v xml:space="preserve"> </v>
      </c>
      <c r="X129" s="118"/>
    </row>
    <row r="130" spans="23:24" thickBot="1">
      <c r="W130" s="148" t="str">
        <f>IF(AND('Data_ Contrats'!O131="M",SUMIF(Data_P!A:A,CONCATENATE('Data_ Contrats'!A131,"_",E$23),Data_P!J:J)),'Data_ Contrats'!A131," ")</f>
        <v>Laurent Parking</v>
      </c>
      <c r="X130" s="118"/>
    </row>
    <row r="131" spans="23:24" thickBot="1">
      <c r="W131" s="148" t="str">
        <f>IF(AND('Data_ Contrats'!O132="M",SUMIF(Data_P!A:A,CONCATENATE('Data_ Contrats'!A132,"_",E$23),Data_P!J:J)),'Data_ Contrats'!A132," ")</f>
        <v>Les Estudines Lille</v>
      </c>
      <c r="X131" s="118"/>
    </row>
    <row r="132" spans="23:24" thickBot="1">
      <c r="W132" s="148" t="str">
        <f>IF(AND('Data_ Contrats'!O133="M",SUMIF(Data_P!A:A,CONCATENATE('Data_ Contrats'!A133,"_",E$23),Data_P!J:J)),'Data_ Contrats'!A133," ")</f>
        <v xml:space="preserve"> </v>
      </c>
      <c r="X132" s="118"/>
    </row>
    <row r="133" spans="23:24" thickBot="1">
      <c r="W133" s="148" t="str">
        <f>IF(AND('Data_ Contrats'!O134="M",SUMIF(Data_P!A:A,CONCATENATE('Data_ Contrats'!A134,"_",E$23),Data_P!J:J)),'Data_ Contrats'!A134," ")</f>
        <v>Lille Métropole Habitat</v>
      </c>
      <c r="X133" s="118"/>
    </row>
    <row r="134" spans="23:24" thickBot="1">
      <c r="W134" s="148" t="str">
        <f>IF(AND('Data_ Contrats'!O135="M",SUMIF(Data_P!A:A,CONCATENATE('Data_ Contrats'!A135,"_",E$23),Data_P!J:J)),'Data_ Contrats'!A135," ")</f>
        <v>Logement Bruxellois</v>
      </c>
      <c r="X134" s="118"/>
    </row>
    <row r="135" spans="23:24" thickBot="1">
      <c r="W135" s="148" t="str">
        <f>IF(AND('Data_ Contrats'!O136="M",SUMIF(Data_P!A:A,CONCATENATE('Data_ Contrats'!A136,"_",E$23),Data_P!J:J)),'Data_ Contrats'!A136," ")</f>
        <v>Logement Francilien</v>
      </c>
      <c r="X135" s="118"/>
    </row>
    <row r="136" spans="23:24" thickBot="1">
      <c r="W136" s="148" t="str">
        <f>IF(AND('Data_ Contrats'!O137="M",SUMIF(Data_P!A:A,CONCATENATE('Data_ Contrats'!A137,"_",E$23),Data_P!J:J)),'Data_ Contrats'!A137," ")</f>
        <v xml:space="preserve"> </v>
      </c>
      <c r="X136" s="118"/>
    </row>
    <row r="137" spans="23:24" thickBot="1">
      <c r="W137" s="148" t="str">
        <f>IF(AND('Data_ Contrats'!O138="M",SUMIF(Data_P!A:A,CONCATENATE('Data_ Contrats'!A138,"_",E$23),Data_P!J:J)),'Data_ Contrats'!A138," ")</f>
        <v xml:space="preserve"> </v>
      </c>
      <c r="X137" s="118"/>
    </row>
    <row r="138" spans="23:24" thickBot="1">
      <c r="W138" s="148" t="str">
        <f>IF(AND('Data_ Contrats'!O139="M",SUMIF(Data_P!A:A,CONCATENATE('Data_ Contrats'!A139,"_",E$23),Data_P!J:J)),'Data_ Contrats'!A139," ")</f>
        <v xml:space="preserve"> </v>
      </c>
      <c r="X138" s="118"/>
    </row>
    <row r="139" spans="23:24" thickBot="1">
      <c r="W139" s="148" t="str">
        <f>IF(AND('Data_ Contrats'!O140="M",SUMIF(Data_P!A:A,CONCATENATE('Data_ Contrats'!A140,"_",E$23),Data_P!J:J)),'Data_ Contrats'!A140," ")</f>
        <v>Mercure Bordeaux</v>
      </c>
      <c r="X139" s="118"/>
    </row>
    <row r="140" spans="23:24" thickBot="1">
      <c r="W140" s="148" t="str">
        <f>IF(AND('Data_ Contrats'!O141="M",SUMIF(Data_P!A:A,CONCATENATE('Data_ Contrats'!A141,"_",E$23),Data_P!J:J)),'Data_ Contrats'!A141," ")</f>
        <v>Mercure Centre Rennes</v>
      </c>
      <c r="X140" s="118"/>
    </row>
    <row r="141" spans="23:24" thickBot="1">
      <c r="W141" s="148" t="str">
        <f>IF(AND('Data_ Contrats'!O142="M",SUMIF(Data_P!A:A,CONCATENATE('Data_ Contrats'!A142,"_",E$23),Data_P!J:J)),'Data_ Contrats'!A142," ")</f>
        <v>Mercure Le Mans Centre</v>
      </c>
      <c r="X141" s="118"/>
    </row>
    <row r="142" spans="23:24" thickBot="1">
      <c r="W142" s="148" t="str">
        <f>IF(AND('Data_ Contrats'!O143="M",SUMIF(Data_P!A:A,CONCATENATE('Data_ Contrats'!A143,"_",E$23),Data_P!J:J)),'Data_ Contrats'!A143," ")</f>
        <v>Mercure Nancy</v>
      </c>
      <c r="X142" s="118"/>
    </row>
    <row r="143" spans="23:24" thickBot="1">
      <c r="W143" s="148" t="str">
        <f>IF(AND('Data_ Contrats'!O145="M",SUMIF(Data_P!A:A,CONCATENATE('Data_ Contrats'!A145,"_",E$23),Data_P!J:J)),'Data_ Contrats'!A145," ")</f>
        <v>Mercure Porte de St Cloud</v>
      </c>
      <c r="X143" s="118"/>
    </row>
    <row r="144" spans="23:24" thickBot="1">
      <c r="W144" s="148" t="str">
        <f>IF(AND('Data_ Contrats'!O146="M",SUMIF(Data_P!A:A,CONCATENATE('Data_ Contrats'!A146,"_",E$23),Data_P!J:J)),'Data_ Contrats'!A146," ")</f>
        <v xml:space="preserve"> </v>
      </c>
      <c r="X144" s="118"/>
    </row>
    <row r="145" spans="23:24" thickBot="1">
      <c r="W145" s="148" t="str">
        <f>IF(AND('Data_ Contrats'!O147="M",SUMIF(Data_P!A:A,CONCATENATE('Data_ Contrats'!A147,"_",E$23),Data_P!J:J)),'Data_ Contrats'!A147," ")</f>
        <v xml:space="preserve"> </v>
      </c>
      <c r="X145" s="118"/>
    </row>
    <row r="146" spans="23:24" thickBot="1">
      <c r="W146" s="148" t="str">
        <f>IF(AND('Data_ Contrats'!O148="M",SUMIF(Data_P!A:A,CONCATENATE('Data_ Contrats'!A148,"_",E$23),Data_P!J:J)),'Data_ Contrats'!A148," ")</f>
        <v>Métropole Habitat</v>
      </c>
      <c r="X146" s="118"/>
    </row>
    <row r="147" spans="23:24" thickBot="1">
      <c r="W147" s="148" t="str">
        <f>IF(AND('Data_ Contrats'!O149="M",SUMIF(Data_P!A:A,CONCATENATE('Data_ Contrats'!A149,"_",E$23),Data_P!J:J)),'Data_ Contrats'!A149," ")</f>
        <v xml:space="preserve"> </v>
      </c>
      <c r="X147" s="118"/>
    </row>
    <row r="148" spans="23:24" thickBot="1">
      <c r="W148" s="148" t="str">
        <f>IF(AND('Data_ Contrats'!O150="M",SUMIF(Data_P!A:A,CONCATENATE('Data_ Contrats'!A150,"_",E$23),Data_P!J:J)),'Data_ Contrats'!A150," ")</f>
        <v xml:space="preserve"> </v>
      </c>
      <c r="X148" s="118"/>
    </row>
    <row r="149" spans="23:24" thickBot="1">
      <c r="W149" s="148" t="str">
        <f>IF(AND('Data_ Contrats'!O151="M",SUMIF(Data_P!A:A,CONCATENATE('Data_ Contrats'!A151,"_",E$23),Data_P!J:J)),'Data_ Contrats'!A151," ")</f>
        <v xml:space="preserve"> </v>
      </c>
      <c r="X149" s="118"/>
    </row>
    <row r="150" spans="23:24" thickBot="1">
      <c r="W150" s="148" t="str">
        <f>IF(AND('Data_ Contrats'!O152="M",SUMIF(Data_P!A:A,CONCATENATE('Data_ Contrats'!A152,"_",E$23),Data_P!J:J)),'Data_ Contrats'!A152," ")</f>
        <v>Newco Appart Bry</v>
      </c>
      <c r="X150" s="118"/>
    </row>
    <row r="151" spans="23:24" thickBot="1">
      <c r="W151" s="148" t="str">
        <f>IF(AND('Data_ Contrats'!O153="M",SUMIF(Data_P!A:A,CONCATENATE('Data_ Contrats'!A153,"_",E$23),Data_P!J:J)),'Data_ Contrats'!A153," ")</f>
        <v xml:space="preserve"> </v>
      </c>
      <c r="X151" s="118"/>
    </row>
    <row r="152" spans="23:24" thickBot="1">
      <c r="W152" s="148" t="str">
        <f>IF(AND('Data_ Contrats'!O154="M",SUMIF(Data_P!A:A,CONCATENATE('Data_ Contrats'!A154,"_",E$23),Data_P!J:J)),'Data_ Contrats'!A154," ")</f>
        <v xml:space="preserve"> </v>
      </c>
      <c r="X152" s="118"/>
    </row>
    <row r="153" spans="23:24" thickBot="1">
      <c r="W153" s="148" t="str">
        <f>IF(AND('Data_ Contrats'!O155="M",SUMIF(Data_P!A:A,CONCATENATE('Data_ Contrats'!A155,"_",E$23),Data_P!J:J)),'Data_ Contrats'!A155," ")</f>
        <v>Notre Logis</v>
      </c>
      <c r="X153" s="118"/>
    </row>
    <row r="154" spans="23:24" thickBot="1">
      <c r="W154" s="148" t="str">
        <f>IF(AND('Data_ Contrats'!O156="M",SUMIF(Data_P!A:A,CONCATENATE('Data_ Contrats'!A156,"_",E$23),Data_P!J:J)),'Data_ Contrats'!A156," ")</f>
        <v>Novotel Avignon</v>
      </c>
      <c r="X154" s="118"/>
    </row>
    <row r="155" spans="23:24" thickBot="1">
      <c r="W155" s="148" t="str">
        <f>IF(AND('Data_ Contrats'!O157="M",SUMIF(Data_P!A:A,CONCATENATE('Data_ Contrats'!A157,"_",E$23),Data_P!J:J)),'Data_ Contrats'!A157," ")</f>
        <v>Novotel Montreuil Vincennes</v>
      </c>
      <c r="X155" s="118"/>
    </row>
    <row r="156" spans="23:24" thickBot="1">
      <c r="W156" s="148" t="str">
        <f>IF(AND('Data_ Contrats'!O158="M",SUMIF(Data_P!A:A,CONCATENATE('Data_ Contrats'!A158,"_",E$23),Data_P!J:J)),'Data_ Contrats'!A158," ")</f>
        <v>Novotel Nantes</v>
      </c>
      <c r="X156" s="118"/>
    </row>
    <row r="157" spans="23:24" thickBot="1">
      <c r="W157" s="148" t="str">
        <f>IF(AND('Data_ Contrats'!O159="M",SUMIF(Data_P!A:A,CONCATENATE('Data_ Contrats'!A159,"_",E$23),Data_P!J:J)),'Data_ Contrats'!A159," ")</f>
        <v xml:space="preserve"> </v>
      </c>
      <c r="X157" s="118"/>
    </row>
    <row r="158" spans="23:24" thickBot="1">
      <c r="W158" s="148" t="str">
        <f>IF(AND('Data_ Contrats'!O160="M",SUMIF(Data_P!A:A,CONCATENATE('Data_ Contrats'!A160,"_",E$23),Data_P!J:J)),'Data_ Contrats'!A160," ")</f>
        <v>Odalys Aix Le Tholonet</v>
      </c>
      <c r="X158" s="118"/>
    </row>
    <row r="159" spans="23:24" thickBot="1">
      <c r="W159" s="148" t="str">
        <f>IF(AND('Data_ Contrats'!O161="M",SUMIF(Data_P!A:A,CONCATENATE('Data_ Contrats'!A161,"_",E$23),Data_P!J:J)),'Data_ Contrats'!A161," ")</f>
        <v>Odalys Aix Les Floridianes</v>
      </c>
      <c r="X159" s="118"/>
    </row>
    <row r="160" spans="23:24" thickBot="1">
      <c r="W160" s="148" t="str">
        <f>IF(AND('Data_ Contrats'!O162="M",SUMIF(Data_P!A:A,CONCATENATE('Data_ Contrats'!A162,"_",E$23),Data_P!J:J)),'Data_ Contrats'!A162," ")</f>
        <v>Odalys Genève</v>
      </c>
      <c r="X160" s="118"/>
    </row>
    <row r="161" spans="23:24" thickBot="1">
      <c r="W161" s="148" t="str">
        <f>IF(AND('Data_ Contrats'!O163="M",SUMIF(Data_P!A:A,CONCATENATE('Data_ Contrats'!A163,"_",E$23),Data_P!J:J)),'Data_ Contrats'!A163," ")</f>
        <v>Odalys Levallois-Perret</v>
      </c>
      <c r="X161" s="118"/>
    </row>
    <row r="162" spans="23:24" thickBot="1">
      <c r="W162" s="148" t="str">
        <f>IF(AND('Data_ Contrats'!O164="M",SUMIF(Data_P!A:A,CONCATENATE('Data_ Contrats'!A164,"_",E$23),Data_P!J:J)),'Data_ Contrats'!A164," ")</f>
        <v>Odalys Lyon Bioparc</v>
      </c>
      <c r="X162" s="118"/>
    </row>
    <row r="163" spans="23:24" thickBot="1">
      <c r="W163" s="148" t="str">
        <f>IF(AND('Data_ Contrats'!O165="M",SUMIF(Data_P!A:A,CONCATENATE('Data_ Contrats'!A165,"_",E$23),Data_P!J:J)),'Data_ Contrats'!A165," ")</f>
        <v>Odalys Lyon Confluence</v>
      </c>
      <c r="X163" s="118"/>
    </row>
    <row r="164" spans="23:24" thickBot="1">
      <c r="W164" s="148" t="str">
        <f>IF(AND('Data_ Contrats'!O166="M",SUMIF(Data_P!A:A,CONCATENATE('Data_ Contrats'!A166,"_",E$23),Data_P!J:J)),'Data_ Contrats'!A166," ")</f>
        <v>Odalys Marseille</v>
      </c>
      <c r="X164" s="118"/>
    </row>
    <row r="165" spans="23:24" thickBot="1">
      <c r="W165" s="148" t="str">
        <f>IF(AND('Data_ Contrats'!O167="M",SUMIF(Data_P!A:A,CONCATENATE('Data_ Contrats'!A167,"_",E$23),Data_P!J:J)),'Data_ Contrats'!A167," ")</f>
        <v>OPH de Bobigny</v>
      </c>
      <c r="X165" s="118"/>
    </row>
    <row r="166" spans="23:24" thickBot="1">
      <c r="W166" s="148" t="str">
        <f>IF(AND('Data_ Contrats'!O168="M",SUMIF(Data_P!A:A,CONCATENATE('Data_ Contrats'!A168,"_",E$23),Data_P!J:J)),'Data_ Contrats'!A168," ")</f>
        <v xml:space="preserve"> </v>
      </c>
      <c r="X166" s="118"/>
    </row>
    <row r="167" spans="23:24" thickBot="1">
      <c r="W167" s="148" t="str">
        <f>IF(AND('Data_ Contrats'!O169="M",SUMIF(Data_P!A:A,CONCATENATE('Data_ Contrats'!A169,"_",E$23),Data_P!J:J)),'Data_ Contrats'!A169," ")</f>
        <v xml:space="preserve"> </v>
      </c>
      <c r="X167" s="118"/>
    </row>
    <row r="168" spans="23:24" thickBot="1">
      <c r="W168" s="148" t="str">
        <f>IF(AND('Data_ Contrats'!O170="M",SUMIF(Data_P!A:A,CONCATENATE('Data_ Contrats'!A170,"_",E$23),Data_P!J:J)),'Data_ Contrats'!A170," ")</f>
        <v>Parcorly</v>
      </c>
      <c r="X168" s="118"/>
    </row>
    <row r="169" spans="23:24" thickBot="1">
      <c r="W169" s="148" t="str">
        <f>IF(AND('Data_ Contrats'!O171="M",SUMIF(Data_P!A:A,CONCATENATE('Data_ Contrats'!A171,"_",E$23),Data_P!J:J)),'Data_ Contrats'!A171," ")</f>
        <v>Paris Habitat</v>
      </c>
      <c r="X169" s="118"/>
    </row>
    <row r="170" spans="23:24" thickBot="1">
      <c r="W170" s="148" t="str">
        <f>IF(AND('Data_ Contrats'!O172="M",SUMIF(Data_P!A:A,CONCATENATE('Data_ Contrats'!A172,"_",E$23),Data_P!J:J)),'Data_ Contrats'!A172," ")</f>
        <v>Paris Hotel Louis Blanc</v>
      </c>
      <c r="X170" s="118" t="str">
        <f>IF(SUMIF(Data_P!A:A,U180,Data_P!J:J)=0," ",IF('Data_ Contrats'!O160="M",'Data_ Contrats'!A160," "))</f>
        <v xml:space="preserve"> </v>
      </c>
    </row>
    <row r="171" spans="23:24" thickBot="1">
      <c r="W171" s="148" t="str">
        <f>IF(AND('Data_ Contrats'!O173="M",SUMIF(Data_P!A:A,CONCATENATE('Data_ Contrats'!A173,"_",E$23),Data_P!J:J)),'Data_ Contrats'!A173," ")</f>
        <v>Parking Cheap</v>
      </c>
      <c r="X171" s="118" t="str">
        <f>IF(SUMIF(Data_P!A:A,U181,Data_P!J:J)=0," ",IF('Data_ Contrats'!O161="M",'Data_ Contrats'!A161," "))</f>
        <v xml:space="preserve"> </v>
      </c>
    </row>
    <row r="172" spans="23:24" thickBot="1">
      <c r="W172" s="148" t="str">
        <f>IF(AND('Data_ Contrats'!O174="M",SUMIF(Data_P!A:A,CONCATENATE('Data_ Contrats'!A174,"_",E$23),Data_P!J:J)),'Data_ Contrats'!A174," ")</f>
        <v xml:space="preserve"> </v>
      </c>
      <c r="X172" s="118" t="str">
        <f>IF(SUMIF(Data_P!A:A,U182,Data_P!J:J)=0," ",IF('Data_ Contrats'!O162="M",'Data_ Contrats'!A162," "))</f>
        <v xml:space="preserve"> </v>
      </c>
    </row>
    <row r="173" spans="23:24" thickBot="1">
      <c r="W173" s="148" t="str">
        <f>IF(AND('Data_ Contrats'!O175="M",SUMIF(Data_P!A:A,CONCATENATE('Data_ Contrats'!A175,"_",E$23),Data_P!J:J)),'Data_ Contrats'!A175," ")</f>
        <v xml:space="preserve"> </v>
      </c>
      <c r="X173" s="118" t="str">
        <f>IF(SUMIF(Data_P!A:A,U183,Data_P!J:J)=0," ",IF('Data_ Contrats'!O163="M",'Data_ Contrats'!A163," "))</f>
        <v xml:space="preserve"> </v>
      </c>
    </row>
    <row r="174" spans="23:24" thickBot="1">
      <c r="W174" s="148" t="str">
        <f>IF(AND('Data_ Contrats'!O176="M",SUMIF(Data_P!A:A,CONCATENATE('Data_ Contrats'!A176,"_",E$23),Data_P!J:J)),'Data_ Contrats'!A176," ")</f>
        <v xml:space="preserve"> </v>
      </c>
      <c r="X174" s="118" t="str">
        <f>IF(SUMIF(Data_P!A:A,U184,Data_P!J:J)=0," ",IF('Data_ Contrats'!O164="M",'Data_ Contrats'!A164," "))</f>
        <v xml:space="preserve"> </v>
      </c>
    </row>
    <row r="175" spans="23:24" thickBot="1">
      <c r="W175" s="148" t="str">
        <f>IF(AND('Data_ Contrats'!O177="M",SUMIF(Data_P!A:A,CONCATENATE('Data_ Contrats'!A177,"_",E$23),Data_P!J:J)),'Data_ Contrats'!A177," ")</f>
        <v>Parking Services</v>
      </c>
      <c r="X175" s="118" t="str">
        <f>IF(SUMIF(Data_P!A:A,U185,Data_P!J:J)=0," ",IF('Data_ Contrats'!O165="M",'Data_ Contrats'!A165," "))</f>
        <v xml:space="preserve"> </v>
      </c>
    </row>
    <row r="176" spans="23:24" thickBot="1">
      <c r="W176" s="148" t="str">
        <f>IF(AND('Data_ Contrats'!O178="M",SUMIF(Data_P!A:A,CONCATENATE('Data_ Contrats'!A178,"_",E$23),Data_P!J:J)),'Data_ Contrats'!A178," ")</f>
        <v>Parking Soleil Orly</v>
      </c>
    </row>
    <row r="177" spans="23:23" thickBot="1">
      <c r="W177" s="148" t="str">
        <f>IF(AND('Data_ Contrats'!O179="M",SUMIF(Data_P!A:A,CONCATENATE('Data_ Contrats'!A179,"_",E$23),Data_P!J:J)),'Data_ Contrats'!A179," ")</f>
        <v>Partenord Habitat</v>
      </c>
    </row>
    <row r="178" spans="23:23" thickBot="1">
      <c r="W178" s="148" t="str">
        <f>IF(AND('Data_ Contrats'!O180="M",SUMIF(Data_P!A:A,CONCATENATE('Data_ Contrats'!A180,"_",E$23),Data_P!J:J)),'Data_ Contrats'!A180," ")</f>
        <v xml:space="preserve"> </v>
      </c>
    </row>
    <row r="179" spans="23:23" thickBot="1">
      <c r="W179" s="148" t="str">
        <f>IF(AND('Data_ Contrats'!O181="M",SUMIF(Data_P!A:A,CONCATENATE('Data_ Contrats'!A181,"_",E$23),Data_P!J:J)),'Data_ Contrats'!A181," ")</f>
        <v xml:space="preserve"> </v>
      </c>
    </row>
    <row r="180" spans="23:23" thickBot="1">
      <c r="W180" s="148" t="str">
        <f>IF(AND('Data_ Contrats'!O182="M",SUMIF(Data_P!A:A,CONCATENATE('Data_ Contrats'!A182,"_",E$23),Data_P!J:J)),'Data_ Contrats'!A182," ")</f>
        <v xml:space="preserve"> </v>
      </c>
    </row>
    <row r="181" spans="23:23" thickBot="1">
      <c r="W181" s="148" t="str">
        <f>IF(AND('Data_ Contrats'!O183="M",SUMIF(Data_P!A:A,CONCATENATE('Data_ Contrats'!A183,"_",E$23),Data_P!J:J)),'Data_ Contrats'!A183," ")</f>
        <v xml:space="preserve"> </v>
      </c>
    </row>
    <row r="182" spans="23:23" thickBot="1">
      <c r="W182" s="148" t="str">
        <f>IF(AND('Data_ Contrats'!O184="M",SUMIF(Data_P!A:A,CONCATENATE('Data_ Contrats'!A184,"_",E$23),Data_P!J:J)),'Data_ Contrats'!A184," ")</f>
        <v>Proxi Parking</v>
      </c>
    </row>
    <row r="183" spans="23:23" thickBot="1">
      <c r="W183" s="148" t="str">
        <f>IF(AND('Data_ Contrats'!O185="M",SUMIF(Data_P!A:A,CONCATENATE('Data_ Contrats'!A185,"_",E$23),Data_P!J:J)),'Data_ Contrats'!A185," ")</f>
        <v>Pullman La Défense</v>
      </c>
    </row>
    <row r="184" spans="23:23" thickBot="1">
      <c r="W184" s="148" t="str">
        <f>IF(AND('Data_ Contrats'!O186="M",SUMIF(Data_P!A:A,CONCATENATE('Data_ Contrats'!A186,"_",E$23),Data_P!J:J)),'Data_ Contrats'!A186," ")</f>
        <v>Pullman Toulouse</v>
      </c>
    </row>
    <row r="185" spans="23:23" thickBot="1">
      <c r="W185" s="148" t="str">
        <f>IF(AND('Data_ Contrats'!O187="M",SUMIF(Data_P!A:A,CONCATENATE('Data_ Contrats'!A187,"_",E$23),Data_P!J:J)),'Data_ Contrats'!A187," ")</f>
        <v>Quality Suites Bordeaux</v>
      </c>
    </row>
    <row r="186" spans="23:23" thickBot="1">
      <c r="W186" s="148" t="str">
        <f>IF(AND('Data_ Contrats'!O188="M",SUMIF(Data_P!A:A,CONCATENATE('Data_ Contrats'!A188,"_",E$23),Data_P!J:J)),'Data_ Contrats'!A188," ")</f>
        <v>Radisson Blu Nice</v>
      </c>
    </row>
    <row r="187" spans="23:23" thickBot="1">
      <c r="W187" s="148" t="str">
        <f>IF(AND('Data_ Contrats'!O189="M",SUMIF(Data_P!A:A,CONCATENATE('Data_ Contrats'!A189,"_",E$23),Data_P!J:J)),'Data_ Contrats'!A189," ")</f>
        <v xml:space="preserve"> </v>
      </c>
    </row>
    <row r="188" spans="23:23" thickBot="1">
      <c r="W188" s="148" t="str">
        <f>IF(AND('Data_ Contrats'!O190="M",SUMIF(Data_P!A:A,CONCATENATE('Data_ Contrats'!A190,"_",E$23),Data_P!J:J)),'Data_ Contrats'!A190," ")</f>
        <v>Reims Habitat</v>
      </c>
    </row>
    <row r="189" spans="23:23" thickBot="1">
      <c r="W189" s="148" t="str">
        <f>IF(AND('Data_ Contrats'!O191="M",SUMIF(Data_P!A:A,CONCATENATE('Data_ Contrats'!A191,"_",E$23),Data_P!J:J)),'Data_ Contrats'!A191," ")</f>
        <v>RESAPARK</v>
      </c>
    </row>
    <row r="190" spans="23:23" thickBot="1">
      <c r="W190" s="148" t="str">
        <f>IF(AND('Data_ Contrats'!O192="M",SUMIF(Data_P!A:A,CONCATENATE('Data_ Contrats'!A192,"_",E$23),Data_P!J:J)),'Data_ Contrats'!A192," ")</f>
        <v xml:space="preserve"> </v>
      </c>
    </row>
    <row r="191" spans="23:23" thickBot="1">
      <c r="W191" s="148" t="str">
        <f>IF(AND('Data_ Contrats'!O193="M",SUMIF(Data_P!A:A,CONCATENATE('Data_ Contrats'!A193,"_",E$23),Data_P!J:J)),'Data_ Contrats'!A193," ")</f>
        <v>RIVP</v>
      </c>
    </row>
    <row r="192" spans="23:23" thickBot="1">
      <c r="W192" s="148" t="str">
        <f>IF(AND('Data_ Contrats'!O194="M",SUMIF(Data_P!A:A,CONCATENATE('Data_ Contrats'!A194,"_",E$23),Data_P!J:J)),'Data_ Contrats'!A194," ")</f>
        <v>SAEMES</v>
      </c>
    </row>
    <row r="193" spans="22:23" thickBot="1">
      <c r="W193" s="148" t="str">
        <f>IF(AND('Data_ Contrats'!O195="M",SUMIF(Data_P!A:A,CONCATENATE('Data_ Contrats'!A195,"_",E$23),Data_P!J:J)),'Data_ Contrats'!A195," ")</f>
        <v xml:space="preserve"> </v>
      </c>
    </row>
    <row r="194" spans="22:23" thickBot="1">
      <c r="W194" s="148" t="str">
        <f>IF(AND('Data_ Contrats'!O196="M",SUMIF(Data_P!A:A,CONCATENATE('Data_ Contrats'!A196,"_",E$23),Data_P!J:J)),'Data_ Contrats'!A196," ")</f>
        <v>SCI Hotel de Valfons</v>
      </c>
    </row>
    <row r="195" spans="22:23" thickBot="1">
      <c r="W195" s="148" t="str">
        <f>IF(AND('Data_ Contrats'!O197="M",SUMIF(Data_P!A:A,CONCATENATE('Data_ Contrats'!A197,"_",E$23),Data_P!J:J)),'Data_ Contrats'!A197," ")</f>
        <v>SCI Isabou</v>
      </c>
    </row>
    <row r="196" spans="22:23" thickBot="1">
      <c r="W196" s="148" t="str">
        <f>IF(AND('Data_ Contrats'!O198="M",SUMIF(Data_P!A:A,CONCATENATE('Data_ Contrats'!A198,"_",E$23),Data_P!J:J)),'Data_ Contrats'!A198," ")</f>
        <v>SIA Habitat</v>
      </c>
    </row>
    <row r="197" spans="22:23" thickBot="1">
      <c r="W197" s="148" t="str">
        <f>IF(AND('Data_ Contrats'!O199="M",SUMIF(Data_P!A:A,CONCATENATE('Data_ Contrats'!A199,"_",E$23),Data_P!J:J)),'Data_ Contrats'!A199," ")</f>
        <v>SNI</v>
      </c>
    </row>
    <row r="198" spans="22:23" thickBot="1">
      <c r="W198" s="148" t="str">
        <f>IF(AND('Data_ Contrats'!O200="M",SUMIF(Data_P!A:A,CONCATENATE('Data_ Contrats'!A200,"_",E$23),Data_P!J:J)),'Data_ Contrats'!A200," ")</f>
        <v>Société Hotelière Saint Germain</v>
      </c>
    </row>
    <row r="199" spans="22:23" thickBot="1">
      <c r="W199" s="148" t="str">
        <f>IF(AND('Data_ Contrats'!O201="M",SUMIF(Data_P!A:A,CONCATENATE('Data_ Contrats'!A201,"_",E$23),Data_P!J:J)),'Data_ Contrats'!A201," ")</f>
        <v xml:space="preserve"> </v>
      </c>
    </row>
    <row r="200" spans="22:23" thickBot="1">
      <c r="W200" s="148" t="str">
        <f>IF(AND('Data_ Contrats'!O202="M",SUMIF(Data_P!A:A,CONCATENATE('Data_ Contrats'!A202,"_",E$23),Data_P!J:J)),'Data_ Contrats'!A202," ")</f>
        <v>Sofitel La Défense</v>
      </c>
    </row>
    <row r="201" spans="22:23" thickBot="1">
      <c r="W201" s="148" t="str">
        <f>IF(AND('Data_ Contrats'!O203="M",SUMIF(Data_P!A:A,CONCATENATE('Data_ Contrats'!A203,"_",E$23),Data_P!J:J)),'Data_ Contrats'!A203," ")</f>
        <v>SOLIME</v>
      </c>
    </row>
    <row r="202" spans="22:23" thickBot="1">
      <c r="W202" s="148" t="str">
        <f>IF(AND('Data_ Contrats'!O204="M",SUMIF(Data_P!A:A,CONCATENATE('Data_ Contrats'!A204,"_",E$23),Data_P!J:J)),'Data_ Contrats'!A204," ")</f>
        <v>Somnoo Ibis Colmar</v>
      </c>
    </row>
    <row r="203" spans="22:23" thickBot="1">
      <c r="W203" s="148" t="str">
        <f>IF(AND('Data_ Contrats'!O205="M",SUMIF(Data_P!A:A,CONCATENATE('Data_ Contrats'!A205,"_",E$23),Data_P!J:J)),'Data_ Contrats'!A205," ")</f>
        <v xml:space="preserve"> </v>
      </c>
    </row>
    <row r="204" spans="22:23" thickBot="1">
      <c r="W204" s="148" t="str">
        <f>IF(AND('Data_ Contrats'!O206="M",SUMIF(Data_P!A:A,CONCATENATE('Data_ Contrats'!A206,"_",E$23),Data_P!J:J)),'Data_ Contrats'!A206," ")</f>
        <v>Somnoo Mercure Cergy</v>
      </c>
    </row>
    <row r="205" spans="22:23" thickBot="1">
      <c r="W205" s="148" t="str">
        <f>IF(AND('Data_ Contrats'!O207="M",SUMIF(Data_P!A:A,CONCATENATE('Data_ Contrats'!A207,"_",E$23),Data_P!J:J)),'Data_ Contrats'!A207," ")</f>
        <v xml:space="preserve"> </v>
      </c>
    </row>
    <row r="206" spans="22:23" thickBot="1">
      <c r="W206" s="148" t="str">
        <f>IF(AND('Data_ Contrats'!O208="M",SUMIF(Data_P!A:A,CONCATENATE('Data_ Contrats'!A208,"_",E$23),Data_P!J:J)),'Data_ Contrats'!A208," ")</f>
        <v>Study O Bordeaux</v>
      </c>
    </row>
    <row r="207" spans="22:23" thickBot="1">
      <c r="W207" s="148" t="str">
        <f>IF(AND('Data_ Contrats'!O209="M",SUMIF(Data_P!A:A,CONCATENATE('Data_ Contrats'!A209,"_",E$23),Data_P!J:J)),'Data_ Contrats'!A209," ")</f>
        <v xml:space="preserve"> </v>
      </c>
    </row>
    <row r="208" spans="22:23" thickBot="1">
      <c r="V208" s="144"/>
      <c r="W208" s="148" t="str">
        <f>IF(AND('Data_ Contrats'!O210="M",SUMIF(Data_P!A:A,CONCATENATE('Data_ Contrats'!A210,"_",E$23),Data_P!J:J)),'Data_ Contrats'!A210," ")</f>
        <v xml:space="preserve"> </v>
      </c>
    </row>
    <row r="209" spans="23:23" thickBot="1">
      <c r="W209" s="148" t="str">
        <f>IF(AND('Data_ Contrats'!O211="M",SUMIF(Data_P!A:A,CONCATENATE('Data_ Contrats'!A211,"_",E$23),Data_P!J:J)),'Data_ Contrats'!A211," ")</f>
        <v xml:space="preserve"> </v>
      </c>
    </row>
    <row r="210" spans="23:23" thickBot="1">
      <c r="W210" s="148" t="str">
        <f>IF(AND('Data_ Contrats'!O212="M",SUMIF(Data_P!A:A,CONCATENATE('Data_ Contrats'!A212,"_",E$23),Data_P!J:J)),'Data_ Contrats'!A212," ")</f>
        <v xml:space="preserve"> </v>
      </c>
    </row>
    <row r="211" spans="23:23" thickBot="1">
      <c r="W211" s="148" t="str">
        <f>IF(AND('Data_ Contrats'!O213="M",SUMIF(Data_P!A:A,CONCATENATE('Data_ Contrats'!A213,"_",E$23),Data_P!J:J)),'Data_ Contrats'!A213," ")</f>
        <v xml:space="preserve"> </v>
      </c>
    </row>
    <row r="212" spans="23:23" thickBot="1">
      <c r="W212" s="148" t="str">
        <f>IF(AND('Data_ Contrats'!O214="M",SUMIF(Data_P!A:A,CONCATENATE('Data_ Contrats'!A214,"_",E$23),Data_P!J:J)),'Data_ Contrats'!A214," ")</f>
        <v>Tagerim Résidences Étudiantes</v>
      </c>
    </row>
    <row r="213" spans="23:23" ht="15.6">
      <c r="W213" s="148" t="str">
        <f>IF(AND('Data_ Contrats'!O215="M",SUMIF(Data_P!A:A,CONCATENATE('Data_ Contrats'!A215,"_",E$23),Data_P!J:J)),'Data_ Contrats'!A215," ")</f>
        <v>Ténéo Apparthotel Bordeaux</v>
      </c>
    </row>
  </sheetData>
  <mergeCells count="42">
    <mergeCell ref="P83:R83"/>
    <mergeCell ref="P78:R78"/>
    <mergeCell ref="P79:R79"/>
    <mergeCell ref="P80:R80"/>
    <mergeCell ref="P81:R81"/>
    <mergeCell ref="P82:R82"/>
    <mergeCell ref="P75:R75"/>
    <mergeCell ref="P76:R76"/>
    <mergeCell ref="P77:R77"/>
    <mergeCell ref="P61:R61"/>
    <mergeCell ref="P62:R62"/>
    <mergeCell ref="P63:R63"/>
    <mergeCell ref="P64:R64"/>
    <mergeCell ref="P65:R65"/>
    <mergeCell ref="P66:R66"/>
    <mergeCell ref="P67:R67"/>
    <mergeCell ref="P71:R71"/>
    <mergeCell ref="P72:R72"/>
    <mergeCell ref="P73:R73"/>
    <mergeCell ref="P74:R74"/>
    <mergeCell ref="P68:R68"/>
    <mergeCell ref="P70:R70"/>
    <mergeCell ref="P56:R56"/>
    <mergeCell ref="P57:R57"/>
    <mergeCell ref="I8:T10"/>
    <mergeCell ref="P69:R69"/>
    <mergeCell ref="P58:R58"/>
    <mergeCell ref="P59:R59"/>
    <mergeCell ref="P60:R60"/>
    <mergeCell ref="N52:T54"/>
    <mergeCell ref="M1:T3"/>
    <mergeCell ref="U1:U5"/>
    <mergeCell ref="I6:T6"/>
    <mergeCell ref="G13:H13"/>
    <mergeCell ref="U15:U19"/>
    <mergeCell ref="I7:T7"/>
    <mergeCell ref="U23:U24"/>
    <mergeCell ref="E14:H14"/>
    <mergeCell ref="E15:T15"/>
    <mergeCell ref="E25:G25"/>
    <mergeCell ref="E26:H26"/>
    <mergeCell ref="E24:H24"/>
  </mergeCells>
  <phoneticPr fontId="28" type="noConversion"/>
  <dataValidations disablePrompts="1" count="1">
    <dataValidation type="list" allowBlank="1" showInputMessage="1" showErrorMessage="1" sqref="I6:T6" xr:uid="{00000000-0002-0000-0300-000000000000}">
      <formula1>$W$2:$W$208</formula1>
    </dataValidation>
  </dataValidations>
  <hyperlinks>
    <hyperlink ref="C39" r:id="rId1" xr:uid="{00000000-0004-0000-0300-000000000000}"/>
    <hyperlink ref="Y1" r:id="rId2" xr:uid="{67DC7B3A-C767-402D-BADF-9941D74C9D59}"/>
  </hyperlinks>
  <pageMargins left="0.59055118110236227" right="0.35433070866141736" top="0.74803149606299213" bottom="0.74803149606299213" header="0.51181102362204722" footer="0.51181102362204722"/>
  <pageSetup paperSize="9" orientation="portrait" horizontalDpi="4294967292" verticalDpi="4294967292" r:id="rId3"/>
  <headerFooter>
    <oddFooter>&amp;C&amp;"-,Regular"&amp;11ZENPARK – SA au capital de 403 432  EUR
RCS Paris 537 527 145  – CODE NAF 6201Z – TVA intracommunautaire FR00537527145
Siège social : 142 rue Montmartre, 75002 Paris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Feuil4.Imprimer">
                <anchor moveWithCells="1" sizeWithCells="1">
                  <from>
                    <xdr:col>20</xdr:col>
                    <xdr:colOff>228600</xdr:colOff>
                    <xdr:row>8</xdr:row>
                    <xdr:rowOff>30480</xdr:rowOff>
                  </from>
                  <to>
                    <xdr:col>20</xdr:col>
                    <xdr:colOff>2141220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Feuil4.Mails">
                <anchor moveWithCells="1" sizeWithCells="1">
                  <from>
                    <xdr:col>21</xdr:col>
                    <xdr:colOff>106680</xdr:colOff>
                    <xdr:row>8</xdr:row>
                    <xdr:rowOff>76200</xdr:rowOff>
                  </from>
                  <to>
                    <xdr:col>21</xdr:col>
                    <xdr:colOff>1493520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1000000}">
          <x14:formula1>
            <xm:f>Data_P!$B:$B</xm:f>
          </x14:formula1>
          <xm:sqref>E21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AT461"/>
  <sheetViews>
    <sheetView view="pageLayout" topLeftCell="A52" zoomScale="67" zoomScalePageLayoutView="67" workbookViewId="0">
      <selection activeCell="K83" sqref="K83"/>
    </sheetView>
  </sheetViews>
  <sheetFormatPr baseColWidth="10" defaultColWidth="10.61328125" defaultRowHeight="15.6"/>
  <cols>
    <col min="1" max="3" width="3.23046875" style="105" customWidth="1"/>
    <col min="4" max="4" width="2.3046875" style="105" customWidth="1"/>
    <col min="5" max="5" width="2.53515625" style="105" customWidth="1"/>
    <col min="6" max="6" width="3.61328125" style="105" customWidth="1"/>
    <col min="7" max="7" width="3.23046875" style="105" customWidth="1"/>
    <col min="8" max="8" width="2.4609375" style="105" customWidth="1"/>
    <col min="9" max="9" width="2.765625" style="105" customWidth="1"/>
    <col min="10" max="11" width="3.23046875" style="105" customWidth="1"/>
    <col min="12" max="12" width="3.921875" style="105" customWidth="1"/>
    <col min="13" max="13" width="3.23046875" style="105" customWidth="1"/>
    <col min="14" max="14" width="3.921875" style="105" customWidth="1"/>
    <col min="15" max="15" width="3.23046875" style="105" customWidth="1"/>
    <col min="16" max="16" width="3.921875" style="105" customWidth="1"/>
    <col min="17" max="17" width="3.23046875" style="105" customWidth="1"/>
    <col min="18" max="18" width="4.61328125" style="105" customWidth="1"/>
    <col min="19" max="19" width="3.23046875" style="105" customWidth="1"/>
    <col min="20" max="20" width="3.921875" style="105" customWidth="1"/>
    <col min="21" max="21" width="35.23046875" style="103" customWidth="1"/>
    <col min="22" max="22" width="17" style="105" customWidth="1"/>
    <col min="23" max="23" width="11" style="105" customWidth="1"/>
    <col min="24" max="24" width="29.07421875" style="118" customWidth="1"/>
    <col min="25" max="31" width="10.69140625" style="105" customWidth="1"/>
    <col min="32" max="39" width="7.3828125" style="105" customWidth="1"/>
    <col min="40" max="45" width="8.07421875" style="105" customWidth="1"/>
    <col min="46" max="46" width="9.61328125" style="105" customWidth="1"/>
    <col min="47" max="47" width="10.61328125" style="105" customWidth="1"/>
    <col min="48" max="16384" width="10.61328125" style="105"/>
  </cols>
  <sheetData>
    <row r="1" spans="1:24" ht="15" customHeight="1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87" t="s">
        <v>46</v>
      </c>
      <c r="N1" s="188"/>
      <c r="O1" s="188"/>
      <c r="P1" s="188"/>
      <c r="Q1" s="188"/>
      <c r="R1" s="188"/>
      <c r="S1" s="188"/>
      <c r="T1" s="188"/>
      <c r="U1" s="189" t="s">
        <v>53</v>
      </c>
      <c r="X1" s="165" t="s">
        <v>2003</v>
      </c>
    </row>
    <row r="2" spans="1:24" ht="15" customHeight="1">
      <c r="A2" s="153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88"/>
      <c r="N2" s="188"/>
      <c r="O2" s="188"/>
      <c r="P2" s="188"/>
      <c r="Q2" s="188"/>
      <c r="R2" s="188"/>
      <c r="S2" s="188"/>
      <c r="T2" s="188"/>
      <c r="U2" s="189"/>
      <c r="X2" s="166" t="str">
        <f>IF('Data_ Contrats'!O4="T",'Data_ Contrats'!A4," ")</f>
        <v xml:space="preserve"> </v>
      </c>
    </row>
    <row r="3" spans="1:24" ht="15" customHeight="1">
      <c r="A3" s="153"/>
      <c r="B3" s="153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88"/>
      <c r="N3" s="188"/>
      <c r="O3" s="188"/>
      <c r="P3" s="188"/>
      <c r="Q3" s="188"/>
      <c r="R3" s="188"/>
      <c r="S3" s="188"/>
      <c r="T3" s="188"/>
      <c r="U3" s="189"/>
      <c r="X3" s="166" t="str">
        <f>IF('Data_ Contrats'!O5="T",'Data_ Contrats'!A5," ")</f>
        <v xml:space="preserve"> </v>
      </c>
    </row>
    <row r="4" spans="1:24" ht="15" customHeight="1">
      <c r="A4" s="153"/>
      <c r="B4" s="153"/>
      <c r="C4" s="153"/>
      <c r="D4" s="153"/>
      <c r="E4" s="153"/>
      <c r="F4" s="153"/>
      <c r="G4" s="153"/>
      <c r="H4" s="153"/>
      <c r="I4" s="153"/>
      <c r="J4" s="118"/>
      <c r="K4" s="153"/>
      <c r="L4" s="153"/>
      <c r="M4" s="153"/>
      <c r="N4" s="153"/>
      <c r="O4" s="153"/>
      <c r="P4" s="153"/>
      <c r="Q4" s="153"/>
      <c r="R4" s="153"/>
      <c r="S4" s="153"/>
      <c r="T4" s="153"/>
      <c r="U4" s="189"/>
      <c r="X4" s="166" t="str">
        <f>IF('Data_ Contrats'!O6="T",'Data_ Contrats'!A6," ")</f>
        <v>Adoma</v>
      </c>
    </row>
    <row r="5" spans="1:24" ht="15" customHeight="1">
      <c r="A5" s="153"/>
      <c r="B5" s="153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153"/>
      <c r="P5" s="153"/>
      <c r="Q5" s="153"/>
      <c r="R5" s="153"/>
      <c r="S5" s="153"/>
      <c r="T5" s="153"/>
      <c r="U5" s="189"/>
      <c r="X5" s="166" t="str">
        <f>IF('Data_ Contrats'!O7="T",'Data_ Contrats'!A7," ")</f>
        <v>Adonis Carcassonne</v>
      </c>
    </row>
    <row r="6" spans="1:24" ht="15" customHeight="1">
      <c r="A6" s="153"/>
      <c r="B6" s="153"/>
      <c r="C6" s="153"/>
      <c r="D6" s="153"/>
      <c r="E6" s="153"/>
      <c r="F6" s="153"/>
      <c r="G6" s="153"/>
      <c r="H6" s="153"/>
      <c r="I6" s="192" t="s">
        <v>1978</v>
      </c>
      <c r="J6" s="192"/>
      <c r="K6" s="192"/>
      <c r="L6" s="192"/>
      <c r="M6" s="192"/>
      <c r="N6" s="192"/>
      <c r="O6" s="192"/>
      <c r="P6" s="192"/>
      <c r="Q6" s="192"/>
      <c r="R6" s="192"/>
      <c r="S6" s="192"/>
      <c r="T6" s="192"/>
      <c r="U6" s="103" t="s">
        <v>50</v>
      </c>
      <c r="X6" s="166" t="str">
        <f>IF('Data_ Contrats'!O8="T",'Data_ Contrats'!A8," ")</f>
        <v>Adonis La Baule</v>
      </c>
    </row>
    <row r="7" spans="1:24" ht="15" customHeight="1">
      <c r="A7" s="153"/>
      <c r="B7" s="153"/>
      <c r="C7" s="153"/>
      <c r="D7" s="153"/>
      <c r="E7" s="153"/>
      <c r="F7" s="153"/>
      <c r="G7" s="153"/>
      <c r="H7" s="153"/>
      <c r="I7" s="17" t="str">
        <f>CONCATENATE("A l'attention de ",VLOOKUP($I$6,'Data_ Contrats'!$A$7:$N$293,6))</f>
        <v>A l'attention de Salem Aouami</v>
      </c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X7" s="166" t="str">
        <f>IF('Data_ Contrats'!O9="T",'Data_ Contrats'!A9," ")</f>
        <v>Adonis Paris Sud</v>
      </c>
    </row>
    <row r="8" spans="1:24" ht="15" customHeight="1">
      <c r="A8" s="153"/>
      <c r="B8" s="153"/>
      <c r="C8" s="153"/>
      <c r="D8" s="153"/>
      <c r="E8" s="153"/>
      <c r="F8" s="153"/>
      <c r="G8" s="153"/>
      <c r="H8" s="153"/>
      <c r="I8" s="195" t="str">
        <f>VLOOKUP($I$6,'Data_ Contrats'!$A$7:$S$293,4)</f>
        <v>Chaussée de Ninove 664</v>
      </c>
      <c r="J8" s="195"/>
      <c r="K8" s="195"/>
      <c r="L8" s="195"/>
      <c r="M8" s="195"/>
      <c r="N8" s="195"/>
      <c r="O8" s="195"/>
      <c r="P8" s="195"/>
      <c r="Q8" s="195"/>
      <c r="R8" s="195"/>
      <c r="S8" s="195"/>
      <c r="T8" s="195"/>
      <c r="X8" s="166" t="str">
        <f>IF('Data_ Contrats'!O10="T",'Data_ Contrats'!A10," ")</f>
        <v xml:space="preserve"> </v>
      </c>
    </row>
    <row r="9" spans="1:24" ht="15" customHeight="1">
      <c r="A9" s="153"/>
      <c r="B9" s="153"/>
      <c r="C9" s="153"/>
      <c r="D9" s="153"/>
      <c r="E9" s="153"/>
      <c r="F9" s="153"/>
      <c r="G9" s="153"/>
      <c r="H9" s="153"/>
      <c r="I9" s="195"/>
      <c r="J9" s="195"/>
      <c r="K9" s="195"/>
      <c r="L9" s="195"/>
      <c r="M9" s="195"/>
      <c r="N9" s="195"/>
      <c r="O9" s="195"/>
      <c r="P9" s="195"/>
      <c r="Q9" s="195"/>
      <c r="R9" s="195"/>
      <c r="S9" s="195"/>
      <c r="T9" s="195"/>
      <c r="X9" s="166" t="str">
        <f>IF('Data_ Contrats'!O11="T",'Data_ Contrats'!A11," ")</f>
        <v xml:space="preserve"> </v>
      </c>
    </row>
    <row r="10" spans="1:24" ht="15" customHeight="1">
      <c r="A10" s="153"/>
      <c r="B10" s="153"/>
      <c r="C10" s="153"/>
      <c r="D10" s="153"/>
      <c r="E10" s="153"/>
      <c r="F10" s="153"/>
      <c r="G10" s="153"/>
      <c r="H10" s="153"/>
      <c r="I10" s="195"/>
      <c r="J10" s="195"/>
      <c r="K10" s="195"/>
      <c r="L10" s="195"/>
      <c r="M10" s="195"/>
      <c r="N10" s="195"/>
      <c r="O10" s="195"/>
      <c r="P10" s="195"/>
      <c r="Q10" s="195"/>
      <c r="R10" s="195"/>
      <c r="S10" s="195"/>
      <c r="T10" s="195"/>
      <c r="X10" s="166" t="str">
        <f>IF('Data_ Contrats'!O12="T",'Data_ Contrats'!A12," ")</f>
        <v>Alter Cités</v>
      </c>
    </row>
    <row r="11" spans="1:24" ht="15" customHeight="1">
      <c r="A11" s="153"/>
      <c r="B11" s="153"/>
      <c r="C11" s="153"/>
      <c r="D11" s="153"/>
      <c r="E11" s="153"/>
      <c r="F11" s="153"/>
      <c r="G11" s="153"/>
      <c r="H11" s="153"/>
      <c r="I11" s="153" t="str">
        <f>VLOOKUP($I$6,'Data_ Contrats'!$A$7:$S$293,5)</f>
        <v>1070 Brussels, Belgique</v>
      </c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X11" s="166" t="str">
        <f>IF('Data_ Contrats'!O13="T",'Data_ Contrats'!A13," ")</f>
        <v xml:space="preserve"> </v>
      </c>
    </row>
    <row r="12" spans="1:24" ht="15" customHeight="1">
      <c r="A12" s="153"/>
      <c r="B12" s="153"/>
      <c r="C12" s="153"/>
      <c r="D12" s="153"/>
      <c r="E12" s="153"/>
      <c r="F12" s="153"/>
      <c r="G12" s="153"/>
      <c r="H12" s="153"/>
      <c r="I12" s="153"/>
      <c r="J12" s="153"/>
      <c r="K12" s="153"/>
      <c r="L12" s="153"/>
      <c r="M12" s="153"/>
      <c r="N12" s="153"/>
      <c r="O12" s="153"/>
      <c r="P12" s="153"/>
      <c r="Q12" s="153"/>
      <c r="R12" s="153"/>
      <c r="S12" s="153"/>
      <c r="T12" s="153"/>
      <c r="X12" s="166" t="str">
        <f>IF('Data_ Contrats'!O14="T",'Data_ Contrats'!A14," ")</f>
        <v>ANTIN 75/77/94</v>
      </c>
    </row>
    <row r="13" spans="1:24" ht="15" customHeight="1">
      <c r="A13" s="153"/>
      <c r="B13" s="153"/>
      <c r="C13" s="153"/>
      <c r="D13" s="153"/>
      <c r="E13" s="153"/>
      <c r="F13" s="153"/>
      <c r="G13" s="191"/>
      <c r="H13" s="191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X13" s="166" t="str">
        <f>IF('Data_ Contrats'!O15="T",'Data_ Contrats'!A15," ")</f>
        <v xml:space="preserve"> </v>
      </c>
    </row>
    <row r="14" spans="1:24" ht="15" customHeight="1">
      <c r="A14" s="18" t="s">
        <v>126</v>
      </c>
      <c r="B14" s="18"/>
      <c r="C14" s="181">
        <f ca="1">TODAY()</f>
        <v>41922</v>
      </c>
      <c r="D14" s="181"/>
      <c r="E14" s="181"/>
      <c r="F14" s="181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X14" s="166" t="str">
        <f>IF('Data_ Contrats'!O16="T",'Data_ Contrats'!A16," ")</f>
        <v xml:space="preserve"> </v>
      </c>
    </row>
    <row r="15" spans="1:24" ht="15" customHeight="1">
      <c r="A15" s="18" t="s">
        <v>140</v>
      </c>
      <c r="B15" s="18"/>
      <c r="C15" s="18"/>
      <c r="D15" s="197" t="str">
        <f ca="1">CONCATENATE("AF_",VLOOKUP($I$6,'Data_ Contrats'!$A$5:$P$233,'Data_ Contrats'!B1),"_",TEXT(TODAY(),"aammjj"),"_01")</f>
        <v>AF_HPL_181011_01</v>
      </c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89" t="s">
        <v>4</v>
      </c>
      <c r="X15" s="166" t="str">
        <f>IF('Data_ Contrats'!O17="T",'Data_ Contrats'!A17," ")</f>
        <v xml:space="preserve"> </v>
      </c>
    </row>
    <row r="16" spans="1:24" ht="15" customHeight="1">
      <c r="A16" s="18"/>
      <c r="B16" s="18"/>
      <c r="C16" s="18"/>
      <c r="D16" s="18"/>
      <c r="E16" s="129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9"/>
      <c r="S16" s="129"/>
      <c r="T16" s="129"/>
      <c r="U16" s="189"/>
      <c r="X16" s="166" t="str">
        <f>IF('Data_ Contrats'!O18="T",'Data_ Contrats'!A18," ")</f>
        <v xml:space="preserve"> </v>
      </c>
    </row>
    <row r="17" spans="1:24" ht="15" customHeight="1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9"/>
      <c r="X17" s="166" t="str">
        <f>IF('Data_ Contrats'!O19="T",'Data_ Contrats'!A19," ")</f>
        <v xml:space="preserve"> </v>
      </c>
    </row>
    <row r="18" spans="1:24" ht="15" customHeight="1">
      <c r="A18" s="153" t="s">
        <v>20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9"/>
      <c r="X18" s="166" t="str">
        <f>IF('Data_ Contrats'!O20="T",'Data_ Contrats'!A20," ")</f>
        <v xml:space="preserve"> </v>
      </c>
    </row>
    <row r="19" spans="1:24" ht="15" customHeight="1">
      <c r="A19" s="153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9"/>
      <c r="X19" s="166" t="str">
        <f>IF('Data_ Contrats'!O21="T",'Data_ Contrats'!A21," ")</f>
        <v xml:space="preserve"> </v>
      </c>
    </row>
    <row r="20" spans="1:24" ht="15" customHeight="1">
      <c r="A20" s="153" t="s">
        <v>104</v>
      </c>
      <c r="B20" s="153"/>
      <c r="C20" s="153"/>
      <c r="D20" s="153"/>
      <c r="E20" s="153"/>
      <c r="F20" s="153"/>
      <c r="G20" s="153"/>
      <c r="H20" s="153"/>
      <c r="I20" s="153"/>
      <c r="J20" s="153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X20" s="166" t="str">
        <f>IF('Data_ Contrats'!O22="T",'Data_ Contrats'!A22," ")</f>
        <v xml:space="preserve"> </v>
      </c>
    </row>
    <row r="21" spans="1:24" ht="15" customHeight="1">
      <c r="A21" s="153" t="s">
        <v>44</v>
      </c>
      <c r="B21" s="153"/>
      <c r="C21" s="153"/>
      <c r="D21" s="153"/>
      <c r="E21" s="153" t="str">
        <f>I6</f>
        <v>Hotel Prince de Liege</v>
      </c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X21" s="166" t="str">
        <f>IF('Data_ Contrats'!O23="T",'Data_ Contrats'!A23," ")</f>
        <v xml:space="preserve"> </v>
      </c>
    </row>
    <row r="22" spans="1:24" ht="15" customHeight="1">
      <c r="A22" s="153" t="s">
        <v>2</v>
      </c>
      <c r="B22" s="153"/>
      <c r="C22" s="153"/>
      <c r="D22" s="153"/>
      <c r="E22" s="153" t="s">
        <v>141</v>
      </c>
      <c r="F22" s="153"/>
      <c r="G22" s="153"/>
      <c r="H22" s="153"/>
      <c r="I22" s="153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89" t="s">
        <v>91</v>
      </c>
      <c r="X22" s="166" t="str">
        <f>IF('Data_ Contrats'!O24="T",'Data_ Contrats'!A24," ")</f>
        <v xml:space="preserve"> </v>
      </c>
    </row>
    <row r="23" spans="1:24" ht="15" customHeight="1">
      <c r="A23" s="153" t="s">
        <v>534</v>
      </c>
      <c r="B23" s="153"/>
      <c r="C23" s="153"/>
      <c r="D23" s="153"/>
      <c r="E23" s="201" t="s">
        <v>2144</v>
      </c>
      <c r="F23" s="201"/>
      <c r="G23" s="153"/>
      <c r="H23" s="153"/>
      <c r="I23" s="202" t="s">
        <v>2189</v>
      </c>
      <c r="J23" s="202"/>
      <c r="K23" s="153"/>
      <c r="L23" s="153"/>
      <c r="M23" s="202" t="s">
        <v>2268</v>
      </c>
      <c r="N23" s="202"/>
      <c r="O23" s="109"/>
      <c r="P23" s="109"/>
      <c r="Q23" s="17" t="s">
        <v>246</v>
      </c>
      <c r="R23" s="153"/>
      <c r="S23" s="153"/>
      <c r="T23" s="153"/>
      <c r="U23" s="189"/>
      <c r="X23" s="166" t="str">
        <f>IF('Data_ Contrats'!O25="T",'Data_ Contrats'!A25," ")</f>
        <v>Aralis</v>
      </c>
    </row>
    <row r="24" spans="1:24" ht="15" customHeight="1">
      <c r="A24" s="153" t="s">
        <v>3</v>
      </c>
      <c r="B24" s="153"/>
      <c r="C24" s="153"/>
      <c r="D24" s="153"/>
      <c r="E24" s="198">
        <f>E26/(1+E25)</f>
        <v>47.5</v>
      </c>
      <c r="F24" s="198"/>
      <c r="G24" s="198"/>
      <c r="H24" s="198"/>
      <c r="I24" s="198">
        <f>I26/(1+I25)</f>
        <v>47.5</v>
      </c>
      <c r="J24" s="198"/>
      <c r="K24" s="198"/>
      <c r="L24" s="198"/>
      <c r="M24" s="199">
        <f>M26/(1+M25)</f>
        <v>11.041666666666668</v>
      </c>
      <c r="N24" s="199"/>
      <c r="O24" s="199"/>
      <c r="P24" s="199"/>
      <c r="Q24" s="200">
        <f>SUM(E24,I24,M24)</f>
        <v>106.04166666666667</v>
      </c>
      <c r="R24" s="200"/>
      <c r="S24" s="200"/>
      <c r="T24" s="200"/>
      <c r="U24" s="103" t="s">
        <v>245</v>
      </c>
      <c r="X24" s="166" t="str">
        <f>IF('Data_ Contrats'!O26="T",'Data_ Contrats'!A26," ")</f>
        <v xml:space="preserve"> </v>
      </c>
    </row>
    <row r="25" spans="1:24" ht="15" customHeight="1">
      <c r="A25" s="109" t="s">
        <v>71</v>
      </c>
      <c r="B25" s="109"/>
      <c r="C25" s="109"/>
      <c r="D25" s="109"/>
      <c r="E25" s="183">
        <v>0.2</v>
      </c>
      <c r="F25" s="184"/>
      <c r="G25" s="184"/>
      <c r="H25" s="109"/>
      <c r="I25" s="183">
        <v>0.2</v>
      </c>
      <c r="J25" s="184"/>
      <c r="K25" s="184"/>
      <c r="L25" s="109"/>
      <c r="M25" s="183">
        <v>0.2</v>
      </c>
      <c r="N25" s="184"/>
      <c r="O25" s="184"/>
      <c r="P25" s="109"/>
      <c r="Q25" s="203">
        <v>0.2</v>
      </c>
      <c r="R25" s="204"/>
      <c r="S25" s="204"/>
      <c r="T25" s="109"/>
      <c r="U25" s="103" t="str">
        <f>CONCATENATE(I6,"_",E23)</f>
        <v>Hotel Prince de Liege_2018-07</v>
      </c>
      <c r="X25" s="166" t="str">
        <f>IF('Data_ Contrats'!O27="T",'Data_ Contrats'!A27," ")</f>
        <v xml:space="preserve"> </v>
      </c>
    </row>
    <row r="26" spans="1:24" ht="15" customHeight="1">
      <c r="A26" s="109" t="s">
        <v>247</v>
      </c>
      <c r="B26" s="109"/>
      <c r="C26" s="109"/>
      <c r="D26" s="109"/>
      <c r="E26" s="199">
        <f>SUMIF(Data_P!$A:$A,U25,Data_P!$J:$J)</f>
        <v>57</v>
      </c>
      <c r="F26" s="199"/>
      <c r="G26" s="199"/>
      <c r="H26" s="199"/>
      <c r="I26" s="199">
        <f>SUMIF(Data_P!$A:$A,U26,Data_P!$J:$J)</f>
        <v>57</v>
      </c>
      <c r="J26" s="199"/>
      <c r="K26" s="199"/>
      <c r="L26" s="199"/>
      <c r="M26" s="199">
        <f>SUMIF(Data_P!$A:$A,U27,Data_P!$J:$J)</f>
        <v>13.25</v>
      </c>
      <c r="N26" s="199"/>
      <c r="O26" s="199"/>
      <c r="P26" s="199"/>
      <c r="Q26" s="206">
        <f>SUM(E26,I26,M26)</f>
        <v>127.25</v>
      </c>
      <c r="R26" s="207"/>
      <c r="S26" s="207"/>
      <c r="T26" s="207"/>
      <c r="U26" s="103" t="str">
        <f>CONCATENATE(I6,"_",I23)</f>
        <v>Hotel Prince de Liege_2018-08</v>
      </c>
      <c r="X26" s="166" t="str">
        <f>IF('Data_ Contrats'!O28="T",'Data_ Contrats'!A28," ")</f>
        <v xml:space="preserve"> </v>
      </c>
    </row>
    <row r="27" spans="1:24" ht="15" customHeight="1">
      <c r="A27" s="109"/>
      <c r="B27" s="109"/>
      <c r="C27" s="109"/>
      <c r="D27" s="109"/>
      <c r="E27" s="152"/>
      <c r="F27" s="152"/>
      <c r="G27" s="152"/>
      <c r="H27" s="152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3" t="str">
        <f>CONCATENATE(I6,"_",M23)</f>
        <v>Hotel Prince de Liege_2018-09</v>
      </c>
      <c r="X27" s="166" t="str">
        <f>IF('Data_ Contrats'!O29="T",'Data_ Contrats'!A29," ")</f>
        <v>Auvergne Habitat</v>
      </c>
    </row>
    <row r="28" spans="1:24" ht="15" customHeight="1">
      <c r="A28" s="20"/>
      <c r="B28" s="20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118"/>
      <c r="O28" s="153"/>
      <c r="P28" s="153"/>
      <c r="Q28" s="153"/>
      <c r="R28" s="153"/>
      <c r="S28" s="153"/>
      <c r="T28" s="153"/>
      <c r="X28" s="166" t="str">
        <f>IF('Data_ Contrats'!O30="T",'Data_ Contrats'!A30," ")</f>
        <v>Aximo</v>
      </c>
    </row>
    <row r="29" spans="1:24" ht="15" customHeight="1">
      <c r="A29" s="20"/>
      <c r="B29" s="20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118"/>
      <c r="O29" s="153"/>
      <c r="P29" s="153"/>
      <c r="Q29" s="153"/>
      <c r="R29" s="153"/>
      <c r="S29" s="153"/>
      <c r="T29" s="153"/>
      <c r="X29" s="166" t="str">
        <f>IF('Data_ Contrats'!O31="T",'Data_ Contrats'!A31," ")</f>
        <v>Aximo</v>
      </c>
    </row>
    <row r="30" spans="1:24" ht="15" customHeight="1">
      <c r="A30" s="153" t="s">
        <v>65</v>
      </c>
      <c r="B30" s="153"/>
      <c r="C30" s="153"/>
      <c r="D30" s="153"/>
      <c r="E30" s="153"/>
      <c r="F30" s="153"/>
      <c r="G30" s="20"/>
      <c r="H30" s="20"/>
      <c r="I30" s="20"/>
      <c r="J30" s="20"/>
      <c r="K30" s="20"/>
      <c r="L30" s="34"/>
      <c r="M30" s="34"/>
      <c r="N30" s="118"/>
      <c r="O30" s="118"/>
      <c r="P30" s="118"/>
      <c r="Q30" s="118"/>
      <c r="R30" s="118"/>
      <c r="S30" s="118"/>
      <c r="T30" s="118"/>
      <c r="X30" s="166" t="str">
        <f>IF('Data_ Contrats'!O32="T",'Data_ Contrats'!A32," ")</f>
        <v xml:space="preserve"> </v>
      </c>
    </row>
    <row r="31" spans="1:24" ht="15" customHeight="1">
      <c r="A31" s="153" t="s">
        <v>30</v>
      </c>
      <c r="B31" s="153"/>
      <c r="C31" s="153"/>
      <c r="D31" s="153"/>
      <c r="E31" s="153"/>
      <c r="F31" s="153"/>
      <c r="G31" s="20"/>
      <c r="H31" s="20"/>
      <c r="I31" s="20"/>
      <c r="J31" s="20"/>
      <c r="K31" s="20"/>
      <c r="L31" s="34"/>
      <c r="M31" s="35"/>
      <c r="N31" s="118"/>
      <c r="O31" s="118"/>
      <c r="P31" s="118"/>
      <c r="Q31" s="118"/>
      <c r="R31" s="118"/>
      <c r="S31" s="118"/>
      <c r="T31" s="118"/>
      <c r="X31" s="166" t="str">
        <f>IF('Data_ Contrats'!O33="T",'Data_ Contrats'!A33," ")</f>
        <v xml:space="preserve"> </v>
      </c>
    </row>
    <row r="32" spans="1:24" ht="15" customHeight="1">
      <c r="A32" s="153" t="s">
        <v>80</v>
      </c>
      <c r="B32" s="153"/>
      <c r="C32" s="153" t="str">
        <f>VLOOKUP($I$6,'Data_ Contrats'!$A$5:$P$233,'Data_ Contrats'!M1)</f>
        <v>BE40 0689 0657 5363</v>
      </c>
      <c r="D32" s="153"/>
      <c r="E32" s="153"/>
      <c r="F32" s="153"/>
      <c r="G32" s="20"/>
      <c r="H32" s="20"/>
      <c r="I32" s="20"/>
      <c r="J32" s="20"/>
      <c r="K32" s="20"/>
      <c r="L32" s="118"/>
      <c r="M32" s="118"/>
      <c r="N32" s="118"/>
      <c r="O32" s="118"/>
      <c r="P32" s="118"/>
      <c r="Q32" s="118"/>
      <c r="R32" s="118"/>
      <c r="S32" s="118"/>
      <c r="T32" s="118"/>
      <c r="X32" s="166" t="str">
        <f>IF('Data_ Contrats'!O34="T",'Data_ Contrats'!A34," ")</f>
        <v xml:space="preserve"> </v>
      </c>
    </row>
    <row r="33" spans="1:24" ht="15" customHeight="1">
      <c r="A33" s="153" t="s">
        <v>81</v>
      </c>
      <c r="B33" s="153"/>
      <c r="C33" s="153" t="str">
        <f>VLOOKUP($I$6,'Data_ Contrats'!$A$5:$P$233,'Data_ Contrats'!N1)</f>
        <v>GKCCBEBB</v>
      </c>
      <c r="D33" s="153"/>
      <c r="E33" s="153"/>
      <c r="F33" s="153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X33" s="166" t="str">
        <f>IF('Data_ Contrats'!O35="T",'Data_ Contrats'!A35," ")</f>
        <v xml:space="preserve"> </v>
      </c>
    </row>
    <row r="34" spans="1:24" ht="15" customHeight="1">
      <c r="A34" s="118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20"/>
      <c r="M34" s="20"/>
      <c r="N34" s="20"/>
      <c r="O34" s="20"/>
      <c r="P34" s="20"/>
      <c r="Q34" s="20"/>
      <c r="R34" s="20"/>
      <c r="S34" s="20"/>
      <c r="T34" s="20"/>
      <c r="X34" s="166" t="str">
        <f>IF('Data_ Contrats'!O36="T",'Data_ Contrats'!A36," ")</f>
        <v xml:space="preserve"> </v>
      </c>
    </row>
    <row r="35" spans="1:24" ht="15" customHeight="1">
      <c r="A35" s="118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20"/>
      <c r="M35" s="20"/>
      <c r="N35" s="20"/>
      <c r="O35" s="20"/>
      <c r="P35" s="20"/>
      <c r="Q35" s="20"/>
      <c r="R35" s="20"/>
      <c r="S35" s="20"/>
      <c r="T35" s="20"/>
      <c r="X35" s="166" t="str">
        <f>IF('Data_ Contrats'!O37="T",'Data_ Contrats'!A37," ")</f>
        <v xml:space="preserve"> </v>
      </c>
    </row>
    <row r="36" spans="1:24" ht="15" customHeight="1">
      <c r="A36" s="118" t="s">
        <v>374</v>
      </c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20"/>
      <c r="M36" s="20"/>
      <c r="N36" s="20"/>
      <c r="O36" s="20"/>
      <c r="P36" s="20"/>
      <c r="Q36" s="20"/>
      <c r="R36" s="20"/>
      <c r="S36" s="20"/>
      <c r="T36" s="20"/>
      <c r="X36" s="166" t="str">
        <f>IF('Data_ Contrats'!O38="T",'Data_ Contrats'!A38," ")</f>
        <v xml:space="preserve"> </v>
      </c>
    </row>
    <row r="37" spans="1:24" ht="15" customHeight="1">
      <c r="A37" s="118"/>
      <c r="B37" s="32"/>
      <c r="C37" s="32"/>
      <c r="D37" s="32"/>
      <c r="E37" s="32"/>
      <c r="F37" s="33"/>
      <c r="G37" s="21"/>
      <c r="H37" s="21"/>
      <c r="I37" s="21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X37" s="166" t="str">
        <f>IF('Data_ Contrats'!O39="T",'Data_ Contrats'!A39," ")</f>
        <v xml:space="preserve"> </v>
      </c>
    </row>
    <row r="38" spans="1:24" ht="15" customHeight="1">
      <c r="A38" s="27" t="s">
        <v>45</v>
      </c>
      <c r="B38" s="32"/>
      <c r="C38" s="32"/>
      <c r="D38" s="32"/>
      <c r="E38" s="32"/>
      <c r="F38" s="32"/>
      <c r="G38" s="21"/>
      <c r="H38" s="21"/>
      <c r="I38" s="21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X38" s="166" t="str">
        <f>IF('Data_ Contrats'!O40="T",'Data_ Contrats'!A40," ")</f>
        <v xml:space="preserve"> </v>
      </c>
    </row>
    <row r="39" spans="1:24" ht="15" customHeight="1">
      <c r="A39" s="118"/>
      <c r="B39" s="32"/>
      <c r="C39" s="32"/>
      <c r="D39" s="32"/>
      <c r="E39" s="32"/>
      <c r="F39" s="32"/>
      <c r="G39" s="21"/>
      <c r="H39" s="21"/>
      <c r="I39" s="21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X39" s="166" t="str">
        <f>IF('Data_ Contrats'!O41="T",'Data_ Contrats'!A41," ")</f>
        <v xml:space="preserve"> </v>
      </c>
    </row>
    <row r="40" spans="1:24" ht="15" customHeight="1">
      <c r="A40" s="27" t="s">
        <v>2279</v>
      </c>
      <c r="B40" s="32"/>
      <c r="C40" s="32"/>
      <c r="D40" s="32"/>
      <c r="E40" s="32"/>
      <c r="F40" s="32"/>
      <c r="G40" s="21"/>
      <c r="H40" s="21"/>
      <c r="I40" s="21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X40" s="166" t="str">
        <f>IF('Data_ Contrats'!O42="T",'Data_ Contrats'!A42," ")</f>
        <v xml:space="preserve"> </v>
      </c>
    </row>
    <row r="41" spans="1:24" ht="15" customHeight="1">
      <c r="A41" s="118"/>
      <c r="B41" s="32"/>
      <c r="C41" s="32"/>
      <c r="D41" s="32"/>
      <c r="E41" s="32"/>
      <c r="F41" s="32"/>
      <c r="G41" s="118"/>
      <c r="H41" s="23"/>
      <c r="I41" s="23"/>
      <c r="J41" s="153"/>
      <c r="K41" s="153"/>
      <c r="L41" s="153"/>
      <c r="M41" s="153"/>
      <c r="N41" s="153"/>
      <c r="O41" s="153"/>
      <c r="P41" s="153"/>
      <c r="Q41" s="153"/>
      <c r="R41" s="153"/>
      <c r="S41" s="153"/>
      <c r="T41" s="153"/>
      <c r="X41" s="166" t="str">
        <f>IF('Data_ Contrats'!O43="T",'Data_ Contrats'!A43," ")</f>
        <v>BUGEAUD &amp; FILLE</v>
      </c>
    </row>
    <row r="42" spans="1:24" ht="15" customHeight="1">
      <c r="A42" s="153"/>
      <c r="B42" s="153"/>
      <c r="C42" s="153"/>
      <c r="D42" s="153"/>
      <c r="E42" s="153"/>
      <c r="F42" s="118"/>
      <c r="G42" s="23"/>
      <c r="H42" s="23"/>
      <c r="I42" s="23"/>
      <c r="J42" s="153"/>
      <c r="K42" s="153"/>
      <c r="L42" s="153"/>
      <c r="M42" s="153"/>
      <c r="N42" s="153"/>
      <c r="O42" s="118"/>
      <c r="P42" s="153"/>
      <c r="Q42" s="153"/>
      <c r="R42" s="153"/>
      <c r="S42" s="153"/>
      <c r="T42" s="153"/>
      <c r="X42" s="166" t="str">
        <f>IF('Data_ Contrats'!O44="T",'Data_ Contrats'!A44," ")</f>
        <v xml:space="preserve"> </v>
      </c>
    </row>
    <row r="43" spans="1:24" ht="15" customHeight="1">
      <c r="A43" s="27" t="s">
        <v>236</v>
      </c>
      <c r="B43" s="27"/>
      <c r="C43" s="26"/>
      <c r="D43" s="26"/>
      <c r="E43" s="153"/>
      <c r="F43" s="153"/>
      <c r="G43" s="23"/>
      <c r="H43" s="23"/>
      <c r="I43" s="23"/>
      <c r="J43" s="153"/>
      <c r="K43" s="153"/>
      <c r="L43" s="153"/>
      <c r="M43" s="153"/>
      <c r="N43" s="153"/>
      <c r="O43" s="153"/>
      <c r="P43" s="153"/>
      <c r="Q43" s="153"/>
      <c r="R43" s="153"/>
      <c r="S43" s="153"/>
      <c r="T43" s="153"/>
      <c r="X43" s="166" t="str">
        <f>IF('Data_ Contrats'!O45="T",'Data_ Contrats'!A45," ")</f>
        <v>Campanile Bobigny</v>
      </c>
    </row>
    <row r="44" spans="1:24" ht="15" customHeight="1">
      <c r="A44" s="27"/>
      <c r="B44" s="27" t="s">
        <v>237</v>
      </c>
      <c r="C44" s="26"/>
      <c r="D44" s="26"/>
      <c r="E44" s="24"/>
      <c r="F44" s="24"/>
      <c r="G44" s="118"/>
      <c r="H44" s="22"/>
      <c r="I44" s="22"/>
      <c r="J44" s="25"/>
      <c r="K44" s="118"/>
      <c r="L44" s="153"/>
      <c r="M44" s="22"/>
      <c r="N44" s="153"/>
      <c r="O44" s="153"/>
      <c r="P44" s="153"/>
      <c r="Q44" s="153"/>
      <c r="R44" s="153"/>
      <c r="S44" s="153"/>
      <c r="T44" s="153"/>
      <c r="X44" s="166" t="str">
        <f>IF('Data_ Contrats'!O46="T",'Data_ Contrats'!A46," ")</f>
        <v xml:space="preserve"> </v>
      </c>
    </row>
    <row r="45" spans="1:24" ht="15" customHeight="1">
      <c r="A45" s="153"/>
      <c r="B45" s="118"/>
      <c r="C45" s="153"/>
      <c r="D45" s="153"/>
      <c r="E45" s="153"/>
      <c r="F45" s="153"/>
      <c r="G45" s="23"/>
      <c r="H45" s="23"/>
      <c r="I45" s="23"/>
      <c r="J45" s="153"/>
      <c r="K45" s="153"/>
      <c r="L45" s="153"/>
      <c r="M45" s="153"/>
      <c r="N45" s="153"/>
      <c r="O45" s="153"/>
      <c r="P45" s="153"/>
      <c r="Q45" s="153"/>
      <c r="R45" s="153"/>
      <c r="S45" s="153"/>
      <c r="T45" s="153"/>
      <c r="X45" s="166" t="str">
        <f>IF('Data_ Contrats'!O47="T",'Data_ Contrats'!A47," ")</f>
        <v>Campanile La Villette</v>
      </c>
    </row>
    <row r="46" spans="1:24" ht="15" customHeight="1">
      <c r="A46" s="153"/>
      <c r="B46" s="153" t="s">
        <v>2280</v>
      </c>
      <c r="C46" s="153"/>
      <c r="D46" s="153"/>
      <c r="E46" s="153"/>
      <c r="F46" s="153"/>
      <c r="G46" s="22"/>
      <c r="H46" s="23"/>
      <c r="I46" s="23"/>
      <c r="J46" s="23"/>
      <c r="K46" s="23"/>
      <c r="L46" s="23"/>
      <c r="M46" s="23"/>
      <c r="N46" s="153"/>
      <c r="O46" s="153"/>
      <c r="P46" s="153"/>
      <c r="Q46" s="153"/>
      <c r="R46" s="153"/>
      <c r="S46" s="153"/>
      <c r="T46" s="153"/>
      <c r="X46" s="166" t="str">
        <f>IF('Data_ Contrats'!O48="T",'Data_ Contrats'!A48," ")</f>
        <v xml:space="preserve"> </v>
      </c>
    </row>
    <row r="47" spans="1:24" ht="15" customHeight="1">
      <c r="A47" s="104"/>
      <c r="B47" s="104"/>
      <c r="C47" s="104"/>
      <c r="D47" s="104"/>
      <c r="E47" s="104"/>
      <c r="F47" s="104"/>
      <c r="G47" s="23"/>
      <c r="H47" s="23"/>
      <c r="I47" s="23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X47" s="166" t="str">
        <f>IF('Data_ Contrats'!O49="T",'Data_ Contrats'!A49," ")</f>
        <v xml:space="preserve"> </v>
      </c>
    </row>
    <row r="48" spans="1:24" ht="15" customHeight="1">
      <c r="A48" s="104"/>
      <c r="B48" s="104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X48" s="166" t="str">
        <f>IF('Data_ Contrats'!O50="T",'Data_ Contrats'!A50," ")</f>
        <v xml:space="preserve"> </v>
      </c>
    </row>
    <row r="49" spans="1:46" ht="16.2" customHeight="1">
      <c r="O49" s="150"/>
      <c r="P49" s="150"/>
      <c r="Q49" s="150"/>
      <c r="R49" s="150"/>
      <c r="S49" s="150"/>
      <c r="T49" s="150"/>
      <c r="U49" s="56"/>
      <c r="V49" s="56"/>
      <c r="W49" s="56"/>
      <c r="X49" s="166" t="str">
        <f>IF('Data_ Contrats'!O51="T",'Data_ Contrats'!A51," ")</f>
        <v xml:space="preserve"> </v>
      </c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</row>
    <row r="50" spans="1:46" ht="16.2" customHeight="1">
      <c r="N50" s="150"/>
      <c r="O50" s="150"/>
      <c r="P50" s="150"/>
      <c r="Q50" s="150"/>
      <c r="R50" s="150"/>
      <c r="S50" s="150"/>
      <c r="T50" s="150"/>
      <c r="U50" s="56"/>
      <c r="V50" s="56"/>
      <c r="W50" s="56"/>
      <c r="X50" s="166" t="str">
        <f>IF('Data_ Contrats'!O52="T",'Data_ Contrats'!A52," ")</f>
        <v xml:space="preserve"> </v>
      </c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</row>
    <row r="51" spans="1:46" ht="16.2" customHeight="1">
      <c r="N51" s="150"/>
      <c r="O51" s="150"/>
      <c r="P51" s="150"/>
      <c r="Q51" s="150"/>
      <c r="R51" s="150"/>
      <c r="S51" s="150"/>
      <c r="T51" s="150"/>
      <c r="U51" s="56"/>
      <c r="V51" s="56"/>
      <c r="W51" s="56"/>
      <c r="X51" s="166" t="str">
        <f>IF('Data_ Contrats'!O53="T",'Data_ Contrats'!A53," ")</f>
        <v>Centre Hospitalier Intercommunal de Créteil</v>
      </c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</row>
    <row r="52" spans="1:46" ht="23.4" customHeight="1">
      <c r="N52" s="196" t="s">
        <v>250</v>
      </c>
      <c r="O52" s="196"/>
      <c r="P52" s="196"/>
      <c r="Q52" s="196"/>
      <c r="R52" s="196"/>
      <c r="S52" s="196"/>
      <c r="T52" s="196"/>
      <c r="U52" s="56"/>
      <c r="V52" s="56"/>
      <c r="W52" s="56"/>
      <c r="X52" s="166" t="str">
        <f>IF('Data_ Contrats'!O54="T",'Data_ Contrats'!A54," ")</f>
        <v xml:space="preserve"> </v>
      </c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</row>
    <row r="53" spans="1:46" ht="25.2" customHeight="1">
      <c r="N53" s="196"/>
      <c r="O53" s="196"/>
      <c r="P53" s="196"/>
      <c r="Q53" s="196"/>
      <c r="R53" s="196"/>
      <c r="S53" s="196"/>
      <c r="T53" s="196"/>
      <c r="U53" s="56"/>
      <c r="V53" s="56"/>
      <c r="W53" s="56"/>
      <c r="X53" s="166" t="str">
        <f>IF('Data_ Contrats'!O55="T",'Data_ Contrats'!A55," ")</f>
        <v xml:space="preserve"> </v>
      </c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</row>
    <row r="54" spans="1:46" ht="16.2">
      <c r="N54" s="196"/>
      <c r="O54" s="196"/>
      <c r="P54" s="196"/>
      <c r="Q54" s="196"/>
      <c r="R54" s="196"/>
      <c r="S54" s="196"/>
      <c r="T54" s="196"/>
      <c r="U54" s="56"/>
      <c r="V54" s="56"/>
      <c r="W54" s="56"/>
      <c r="X54" s="166" t="str">
        <f>IF('Data_ Contrats'!O56="T",'Data_ Contrats'!A56," ")</f>
        <v xml:space="preserve"> </v>
      </c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</row>
    <row r="55" spans="1:46" ht="18">
      <c r="A55" s="107" t="s">
        <v>882</v>
      </c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56"/>
      <c r="V55" s="56"/>
      <c r="W55" s="56"/>
      <c r="X55" s="166" t="str">
        <f>IF('Data_ Contrats'!O57="T",'Data_ Contrats'!A57," ")</f>
        <v xml:space="preserve"> </v>
      </c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</row>
    <row r="56" spans="1:46" ht="16.2">
      <c r="A56" s="83" t="s">
        <v>64</v>
      </c>
      <c r="B56" s="83"/>
      <c r="C56" s="83"/>
      <c r="D56" s="83"/>
      <c r="E56" s="83"/>
      <c r="F56" s="83"/>
      <c r="G56" s="83"/>
      <c r="H56" s="84"/>
      <c r="I56" s="83"/>
      <c r="J56" s="83" t="s">
        <v>425</v>
      </c>
      <c r="L56" s="83"/>
      <c r="M56" s="208" t="str">
        <f>IF('Détail de conso'!B5=0,"",'Détail de conso'!B5)</f>
        <v>2018-07</v>
      </c>
      <c r="N56" s="208"/>
      <c r="O56" s="208" t="str">
        <f>IF('Détail de conso'!C5=0,"",'Détail de conso'!C5)</f>
        <v>2018-08</v>
      </c>
      <c r="P56" s="208"/>
      <c r="Q56" s="208" t="str">
        <f>IF('Détail de conso'!D5=0,"",'Détail de conso'!D5)</f>
        <v>2018-09</v>
      </c>
      <c r="R56" s="208"/>
      <c r="S56" s="208" t="str">
        <f>IF('Détail de conso'!E5=0,"",IF('Détail de conso'!E5="Total général","Total",'Détail de conso'!E5))</f>
        <v>Total</v>
      </c>
      <c r="T56" s="208"/>
      <c r="U56" s="56"/>
      <c r="V56" s="56"/>
      <c r="W56" s="56"/>
      <c r="X56" s="166" t="str">
        <f>IF('Data_ Contrats'!O58="T",'Data_ Contrats'!A58," ")</f>
        <v xml:space="preserve"> </v>
      </c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</row>
    <row r="57" spans="1:46" ht="16.2">
      <c r="A57" s="84" t="str">
        <f>IF('Détail de conso'!A6=0,"",'Détail de conso'!A6)</f>
        <v>Paris - Aéroport Roissy - AEREL</v>
      </c>
      <c r="B57" s="84"/>
      <c r="C57" s="84"/>
      <c r="D57" s="84"/>
      <c r="E57" s="84"/>
      <c r="F57" s="84"/>
      <c r="G57" s="84"/>
      <c r="H57" s="84"/>
      <c r="I57" s="84"/>
      <c r="J57" s="84" t="str">
        <f>VLOOKUP(A57,Data_P!C:J,2,FALSE)</f>
        <v/>
      </c>
      <c r="L57" s="84"/>
      <c r="M57" s="205">
        <f>IF('Détail de conso'!B6=0,"",'Détail de conso'!B6)</f>
        <v>208.67</v>
      </c>
      <c r="N57" s="205"/>
      <c r="O57" s="205">
        <f>IF('Détail de conso'!C6=0,"",'Détail de conso'!C6)</f>
        <v>330.33</v>
      </c>
      <c r="P57" s="205"/>
      <c r="Q57" s="205">
        <f>IF('Détail de conso'!D6=0,"",'Détail de conso'!D6)</f>
        <v>109.34</v>
      </c>
      <c r="R57" s="205"/>
      <c r="S57" s="205">
        <f>IF('Détail de conso'!E6=0,"",'Détail de conso'!E6)</f>
        <v>648.34</v>
      </c>
      <c r="T57" s="205"/>
      <c r="U57" s="56"/>
      <c r="V57" s="56"/>
      <c r="W57" s="56"/>
      <c r="X57" s="166" t="str">
        <f>IF('Data_ Contrats'!O59="T",'Data_ Contrats'!A59," ")</f>
        <v xml:space="preserve"> </v>
      </c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</row>
    <row r="58" spans="1:46" ht="16.2">
      <c r="A58" s="84" t="str">
        <f>IF('Détail de conso'!A7=0,"",'Détail de conso'!A7)</f>
        <v>Total</v>
      </c>
      <c r="B58" s="84"/>
      <c r="C58" s="84"/>
      <c r="D58" s="84"/>
      <c r="E58" s="84"/>
      <c r="F58" s="84"/>
      <c r="G58" s="84"/>
      <c r="H58" s="84"/>
      <c r="I58" s="84"/>
      <c r="J58" s="84" t="e">
        <f>VLOOKUP(A58,Data_P!C:J,2,FALSE)</f>
        <v>#N/A</v>
      </c>
      <c r="L58" s="84"/>
      <c r="M58" s="205">
        <f>IF('Détail de conso'!B7=0,"",'Détail de conso'!B7)</f>
        <v>208.67</v>
      </c>
      <c r="N58" s="205"/>
      <c r="O58" s="205">
        <f>IF('Détail de conso'!C7=0,"",'Détail de conso'!C7)</f>
        <v>330.33</v>
      </c>
      <c r="P58" s="205"/>
      <c r="Q58" s="205">
        <f>IF('Détail de conso'!D7=0,"",'Détail de conso'!D7)</f>
        <v>109.34</v>
      </c>
      <c r="R58" s="205"/>
      <c r="S58" s="205">
        <f>IF('Détail de conso'!E7=0,"",'Détail de conso'!E7)</f>
        <v>648.34</v>
      </c>
      <c r="T58" s="205"/>
      <c r="U58" s="56"/>
      <c r="V58" s="56"/>
      <c r="W58" s="56"/>
      <c r="X58" s="166" t="str">
        <f>IF('Data_ Contrats'!O60="T",'Data_ Contrats'!A60," ")</f>
        <v xml:space="preserve"> </v>
      </c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</row>
    <row r="59" spans="1:46" ht="16.2">
      <c r="A59" s="84" t="str">
        <f>IF('Détail de conso'!A8=0,"",'Détail de conso'!A8)</f>
        <v/>
      </c>
      <c r="B59" s="84"/>
      <c r="C59" s="84"/>
      <c r="D59" s="84"/>
      <c r="E59" s="84"/>
      <c r="F59" s="84"/>
      <c r="G59" s="84"/>
      <c r="H59" s="84"/>
      <c r="I59" s="84"/>
      <c r="J59" s="84" t="e">
        <f>VLOOKUP(A59,Data_P!C:J,2,FALSE)</f>
        <v>#N/A</v>
      </c>
      <c r="M59" s="205" t="str">
        <f>IF('Détail de conso'!B8=0,"",'Détail de conso'!B8)</f>
        <v/>
      </c>
      <c r="N59" s="205"/>
      <c r="O59" s="205" t="str">
        <f>IF('Détail de conso'!C8=0,"",'Détail de conso'!C8)</f>
        <v/>
      </c>
      <c r="P59" s="205"/>
      <c r="Q59" s="205" t="str">
        <f>IF('Détail de conso'!D8=0,"",'Détail de conso'!D8)</f>
        <v/>
      </c>
      <c r="R59" s="205"/>
      <c r="S59" s="205" t="str">
        <f>IF('Détail de conso'!E8=0,"",'Détail de conso'!E8)</f>
        <v/>
      </c>
      <c r="T59" s="205"/>
      <c r="U59" s="56"/>
      <c r="V59" s="56"/>
      <c r="W59" s="56"/>
      <c r="X59" s="166" t="str">
        <f>IF('Data_ Contrats'!O61="T",'Data_ Contrats'!A61," ")</f>
        <v xml:space="preserve"> </v>
      </c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</row>
    <row r="60" spans="1:46" ht="16.2">
      <c r="A60" s="84" t="str">
        <f>IF('Détail de conso'!A9=0,"",'Détail de conso'!A9)</f>
        <v/>
      </c>
      <c r="B60" s="84"/>
      <c r="C60" s="84"/>
      <c r="D60" s="84"/>
      <c r="E60" s="84"/>
      <c r="F60" s="84"/>
      <c r="G60" s="84"/>
      <c r="H60" s="84"/>
      <c r="I60" s="84"/>
      <c r="J60" s="84" t="e">
        <f>VLOOKUP(A60,Data_P!C:J,2,FALSE)</f>
        <v>#N/A</v>
      </c>
      <c r="L60" s="84"/>
      <c r="M60" s="205" t="str">
        <f>IF('Détail de conso'!B9=0,"",'Détail de conso'!B9)</f>
        <v/>
      </c>
      <c r="N60" s="205"/>
      <c r="O60" s="205" t="str">
        <f>IF('Détail de conso'!C9=0,"",'Détail de conso'!C9)</f>
        <v/>
      </c>
      <c r="P60" s="205"/>
      <c r="Q60" s="205" t="str">
        <f>IF('Détail de conso'!D9=0,"",'Détail de conso'!D9)</f>
        <v/>
      </c>
      <c r="R60" s="205"/>
      <c r="S60" s="205" t="str">
        <f>IF('Détail de conso'!E9=0,"",'Détail de conso'!E9)</f>
        <v/>
      </c>
      <c r="T60" s="205"/>
      <c r="U60" s="56"/>
      <c r="V60" s="56"/>
      <c r="W60" s="56"/>
      <c r="X60" s="166" t="str">
        <f>IF('Data_ Contrats'!O62="T",'Data_ Contrats'!A62," ")</f>
        <v xml:space="preserve"> </v>
      </c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</row>
    <row r="61" spans="1:46" ht="16.2">
      <c r="A61" s="84" t="str">
        <f>IF('Détail de conso'!A10=0,"",'Détail de conso'!A10)</f>
        <v/>
      </c>
      <c r="B61" s="84"/>
      <c r="C61" s="84"/>
      <c r="D61" s="84"/>
      <c r="E61" s="84"/>
      <c r="F61" s="84"/>
      <c r="G61" s="84"/>
      <c r="H61" s="84"/>
      <c r="I61" s="84"/>
      <c r="J61" s="84" t="e">
        <f>VLOOKUP(A61,Data_P!C:J,2,FALSE)</f>
        <v>#N/A</v>
      </c>
      <c r="L61" s="84"/>
      <c r="M61" s="205" t="str">
        <f>IF('Détail de conso'!B10=0,"",'Détail de conso'!B10)</f>
        <v/>
      </c>
      <c r="N61" s="205"/>
      <c r="O61" s="205" t="str">
        <f>IF('Détail de conso'!C10=0,"",'Détail de conso'!C10)</f>
        <v/>
      </c>
      <c r="P61" s="205"/>
      <c r="Q61" s="205" t="str">
        <f>IF('Détail de conso'!D10=0,"",'Détail de conso'!D10)</f>
        <v/>
      </c>
      <c r="R61" s="205"/>
      <c r="S61" s="205" t="str">
        <f>IF('Détail de conso'!E10=0,"",'Détail de conso'!E10)</f>
        <v/>
      </c>
      <c r="T61" s="205"/>
      <c r="U61" s="56"/>
      <c r="V61" s="56"/>
      <c r="W61" s="56"/>
      <c r="X61" s="166" t="str">
        <f>IF('Data_ Contrats'!O63="T",'Data_ Contrats'!A63," ")</f>
        <v xml:space="preserve"> </v>
      </c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</row>
    <row r="62" spans="1:46" ht="16.2">
      <c r="A62" s="84" t="str">
        <f>IF('Détail de conso'!A11=0,"",'Détail de conso'!A11)</f>
        <v/>
      </c>
      <c r="B62" s="84"/>
      <c r="C62" s="84"/>
      <c r="D62" s="84"/>
      <c r="E62" s="84"/>
      <c r="F62" s="84"/>
      <c r="G62" s="84"/>
      <c r="H62" s="84"/>
      <c r="I62" s="84"/>
      <c r="J62" s="84" t="e">
        <f>VLOOKUP(A62,Data_P!C:J,2,FALSE)</f>
        <v>#N/A</v>
      </c>
      <c r="L62" s="84"/>
      <c r="M62" s="205" t="str">
        <f>IF('Détail de conso'!B11=0,"",'Détail de conso'!B11)</f>
        <v/>
      </c>
      <c r="N62" s="205"/>
      <c r="O62" s="205" t="str">
        <f>IF('Détail de conso'!C11=0,"",'Détail de conso'!C11)</f>
        <v/>
      </c>
      <c r="P62" s="205"/>
      <c r="Q62" s="205" t="str">
        <f>IF('Détail de conso'!D11=0,"",'Détail de conso'!D11)</f>
        <v/>
      </c>
      <c r="R62" s="205"/>
      <c r="S62" s="205" t="str">
        <f>IF('Détail de conso'!E11=0,"",'Détail de conso'!E11)</f>
        <v/>
      </c>
      <c r="T62" s="205"/>
      <c r="U62" s="56"/>
      <c r="V62" s="56"/>
      <c r="W62" s="56"/>
      <c r="X62" s="166" t="str">
        <f>IF('Data_ Contrats'!O64="T",'Data_ Contrats'!A64," ")</f>
        <v xml:space="preserve"> </v>
      </c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</row>
    <row r="63" spans="1:46" ht="16.2">
      <c r="A63" s="84" t="str">
        <f>IF('Détail de conso'!A12=0,"",'Détail de conso'!A12)</f>
        <v/>
      </c>
      <c r="B63" s="84"/>
      <c r="C63" s="84"/>
      <c r="D63" s="84"/>
      <c r="E63" s="84"/>
      <c r="F63" s="84"/>
      <c r="G63" s="84"/>
      <c r="H63" s="84"/>
      <c r="I63" s="84"/>
      <c r="J63" s="84" t="e">
        <f>VLOOKUP(A63,Data_P!C:J,2,FALSE)</f>
        <v>#N/A</v>
      </c>
      <c r="L63" s="84"/>
      <c r="M63" s="205" t="str">
        <f>IF('Détail de conso'!B12=0,"",'Détail de conso'!B12)</f>
        <v/>
      </c>
      <c r="N63" s="205"/>
      <c r="O63" s="205" t="str">
        <f>IF('Détail de conso'!C12=0,"",'Détail de conso'!C12)</f>
        <v/>
      </c>
      <c r="P63" s="205"/>
      <c r="Q63" s="205" t="str">
        <f>IF('Détail de conso'!D12=0,"",'Détail de conso'!D12)</f>
        <v/>
      </c>
      <c r="R63" s="205"/>
      <c r="S63" s="205" t="str">
        <f>IF('Détail de conso'!E12=0,"",'Détail de conso'!E12)</f>
        <v/>
      </c>
      <c r="T63" s="205"/>
      <c r="U63" s="56"/>
      <c r="V63" s="56"/>
      <c r="W63" s="56"/>
      <c r="X63" s="166" t="str">
        <f>IF('Data_ Contrats'!O65="T",'Data_ Contrats'!A65," ")</f>
        <v>City Residence Nantes</v>
      </c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</row>
    <row r="64" spans="1:46" ht="16.2">
      <c r="A64" s="84" t="str">
        <f>IF('Détail de conso'!A13=0,"",'Détail de conso'!A13)</f>
        <v/>
      </c>
      <c r="B64" s="44"/>
      <c r="C64" s="44"/>
      <c r="D64" s="44"/>
      <c r="E64" s="44"/>
      <c r="F64" s="44"/>
      <c r="G64" s="44"/>
      <c r="H64" s="44"/>
      <c r="I64" s="44"/>
      <c r="J64" s="84" t="e">
        <f>VLOOKUP(A64,Data_P!C:J,2,FALSE)</f>
        <v>#N/A</v>
      </c>
      <c r="L64" s="44"/>
      <c r="M64" s="205" t="str">
        <f>IF('Détail de conso'!B13=0,"",'Détail de conso'!B13)</f>
        <v/>
      </c>
      <c r="N64" s="205"/>
      <c r="O64" s="205" t="str">
        <f>IF('Détail de conso'!C13=0,"",'Détail de conso'!C13)</f>
        <v/>
      </c>
      <c r="P64" s="205"/>
      <c r="Q64" s="205" t="str">
        <f>IF('Détail de conso'!D13=0,"",'Détail de conso'!D13)</f>
        <v/>
      </c>
      <c r="R64" s="205"/>
      <c r="S64" s="205" t="str">
        <f>IF('Détail de conso'!E13=0,"",'Détail de conso'!E13)</f>
        <v/>
      </c>
      <c r="T64" s="205"/>
      <c r="U64" s="56"/>
      <c r="V64" s="56"/>
      <c r="W64" s="56"/>
      <c r="X64" s="166" t="str">
        <f>IF('Data_ Contrats'!O66="T",'Data_ Contrats'!A66," ")</f>
        <v>Clarion Suites Cannes</v>
      </c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</row>
    <row r="65" spans="1:44" ht="16.2">
      <c r="A65" s="84" t="str">
        <f>IF('Détail de conso'!A14=0,"",'Détail de conso'!A14)</f>
        <v/>
      </c>
      <c r="B65" s="44"/>
      <c r="C65" s="44"/>
      <c r="D65" s="44"/>
      <c r="E65" s="44"/>
      <c r="F65" s="44"/>
      <c r="G65" s="44"/>
      <c r="H65" s="44"/>
      <c r="I65" s="44"/>
      <c r="J65" s="84" t="e">
        <f>VLOOKUP(A65,Data_P!C:J,2,FALSE)</f>
        <v>#N/A</v>
      </c>
      <c r="L65" s="84"/>
      <c r="M65" s="205" t="str">
        <f>IF('Détail de conso'!B14=0,"",'Détail de conso'!B14)</f>
        <v/>
      </c>
      <c r="N65" s="205"/>
      <c r="O65" s="205" t="str">
        <f>IF('Détail de conso'!C14=0,"",'Détail de conso'!C14)</f>
        <v/>
      </c>
      <c r="P65" s="205"/>
      <c r="Q65" s="205" t="str">
        <f>IF('Détail de conso'!D14=0,"",'Détail de conso'!D14)</f>
        <v/>
      </c>
      <c r="R65" s="205"/>
      <c r="S65" s="205" t="str">
        <f>IF('Détail de conso'!E14=0,"",'Détail de conso'!E14)</f>
        <v/>
      </c>
      <c r="T65" s="205"/>
      <c r="U65" s="56"/>
      <c r="V65" s="56"/>
      <c r="W65" s="56"/>
      <c r="X65" s="166" t="str">
        <f>IF('Data_ Contrats'!O67="T",'Data_ Contrats'!A67," ")</f>
        <v xml:space="preserve"> </v>
      </c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</row>
    <row r="66" spans="1:44" ht="16.2">
      <c r="A66" s="84" t="str">
        <f>IF('Détail de conso'!A15=0,"",'Détail de conso'!A15)</f>
        <v/>
      </c>
      <c r="B66" s="44"/>
      <c r="C66" s="44"/>
      <c r="D66" s="44"/>
      <c r="E66" s="44"/>
      <c r="F66" s="44"/>
      <c r="G66" s="44"/>
      <c r="H66" s="44"/>
      <c r="I66" s="44"/>
      <c r="J66" s="84" t="e">
        <f>VLOOKUP(A66,Data_P!C:J,2,FALSE)</f>
        <v>#N/A</v>
      </c>
      <c r="L66" s="44"/>
      <c r="M66" s="205" t="str">
        <f>IF('Détail de conso'!B15=0,"",'Détail de conso'!B15)</f>
        <v/>
      </c>
      <c r="N66" s="205"/>
      <c r="O66" s="205" t="str">
        <f>IF('Détail de conso'!C15=0,"",'Détail de conso'!C15)</f>
        <v/>
      </c>
      <c r="P66" s="205"/>
      <c r="Q66" s="205" t="str">
        <f>IF('Détail de conso'!D15=0,"",'Détail de conso'!D15)</f>
        <v/>
      </c>
      <c r="R66" s="205"/>
      <c r="S66" s="205" t="str">
        <f>IF('Détail de conso'!E15=0,"",'Détail de conso'!E15)</f>
        <v/>
      </c>
      <c r="T66" s="205"/>
      <c r="U66" s="56"/>
      <c r="V66" s="56"/>
      <c r="W66" s="56"/>
      <c r="X66" s="166" t="str">
        <f>IF('Data_ Contrats'!O68="T",'Data_ Contrats'!A68," ")</f>
        <v>Comfort Suite Annemasse</v>
      </c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</row>
    <row r="67" spans="1:44" ht="16.2">
      <c r="A67" s="84" t="str">
        <f>IF('Détail de conso'!A16=0,"",'Détail de conso'!A16)</f>
        <v/>
      </c>
      <c r="B67" s="44"/>
      <c r="C67" s="44"/>
      <c r="D67" s="106">
        <v>1.2</v>
      </c>
      <c r="E67" s="44"/>
      <c r="F67" s="44"/>
      <c r="G67" s="44"/>
      <c r="H67" s="44"/>
      <c r="I67" s="44"/>
      <c r="J67" s="84"/>
      <c r="L67" s="44"/>
      <c r="M67" s="209" t="str">
        <f>IF('Détail de conso'!B16=0,"",'Détail de conso'!B16)</f>
        <v/>
      </c>
      <c r="N67" s="209"/>
      <c r="O67" s="209" t="str">
        <f>IF('Détail de conso'!C16=0,"",'Détail de conso'!C16)</f>
        <v/>
      </c>
      <c r="P67" s="209"/>
      <c r="Q67" s="209" t="str">
        <f>IF('Détail de conso'!D16=0,"",'Détail de conso'!D16)</f>
        <v/>
      </c>
      <c r="R67" s="209"/>
      <c r="S67" s="205" t="str">
        <f>IF('Détail de conso'!E16=0,"",'Détail de conso'!E16)</f>
        <v/>
      </c>
      <c r="T67" s="205"/>
      <c r="U67" s="56"/>
      <c r="V67" s="56"/>
      <c r="W67" s="56"/>
      <c r="X67" s="166" t="str">
        <f>IF('Data_ Contrats'!O69="T",'Data_ Contrats'!A69," ")</f>
        <v xml:space="preserve"> </v>
      </c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</row>
    <row r="68" spans="1:44" ht="16.2">
      <c r="A68" s="84" t="str">
        <f>IF('Détail de conso'!A17=0,"",'Détail de conso'!A17)</f>
        <v/>
      </c>
      <c r="B68" s="83"/>
      <c r="C68" s="83"/>
      <c r="D68" s="83"/>
      <c r="E68" s="83"/>
      <c r="F68" s="83"/>
      <c r="G68" s="83"/>
      <c r="H68" s="84"/>
      <c r="I68" s="83"/>
      <c r="J68" s="84"/>
      <c r="L68" s="83"/>
      <c r="M68" s="205" t="str">
        <f>IF('Détail de conso'!B17=0,"",'Détail de conso'!B17)</f>
        <v/>
      </c>
      <c r="N68" s="205"/>
      <c r="O68" s="205" t="str">
        <f>IF('Détail de conso'!C17=0,"",'Détail de conso'!C17)</f>
        <v/>
      </c>
      <c r="P68" s="205"/>
      <c r="Q68" s="205" t="str">
        <f>IF('Détail de conso'!D17=0,"",'Détail de conso'!D17)</f>
        <v/>
      </c>
      <c r="R68" s="205"/>
      <c r="S68" s="205" t="str">
        <f>IF('Détail de conso'!E17=0,"",'Détail de conso'!E17)</f>
        <v/>
      </c>
      <c r="T68" s="205"/>
      <c r="U68" s="56"/>
      <c r="V68" s="56"/>
      <c r="W68" s="56"/>
      <c r="X68" s="166" t="str">
        <f>IF('Data_ Contrats'!O70="T",'Data_ Contrats'!A70," ")</f>
        <v>Coopérer Pour Habiter</v>
      </c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</row>
    <row r="69" spans="1:44" ht="16.2">
      <c r="A69" s="84" t="str">
        <f>IF('Détail de conso'!A18=0,"",'Détail de conso'!A18)</f>
        <v/>
      </c>
      <c r="B69" s="84"/>
      <c r="C69" s="84"/>
      <c r="D69" s="84"/>
      <c r="E69" s="84"/>
      <c r="F69" s="84"/>
      <c r="G69" s="84"/>
      <c r="H69" s="84"/>
      <c r="I69" s="84"/>
      <c r="J69" s="84"/>
      <c r="L69" s="84"/>
      <c r="M69" s="205" t="str">
        <f>IF('Détail de conso'!B18=0,"",'Détail de conso'!B18)</f>
        <v/>
      </c>
      <c r="N69" s="205"/>
      <c r="O69" s="205" t="str">
        <f>IF('Détail de conso'!C18=0,"",'Détail de conso'!C18)</f>
        <v/>
      </c>
      <c r="P69" s="205"/>
      <c r="Q69" s="205" t="str">
        <f>IF('Détail de conso'!D18=0,"",'Détail de conso'!D18)</f>
        <v/>
      </c>
      <c r="R69" s="205"/>
      <c r="S69" s="205" t="str">
        <f>IF('Détail de conso'!E18=0,"",'Détail de conso'!E18)</f>
        <v/>
      </c>
      <c r="T69" s="205"/>
      <c r="U69" s="56"/>
      <c r="V69" s="56"/>
      <c r="W69" s="56"/>
      <c r="X69" s="166" t="str">
        <f>IF('Data_ Contrats'!O71="T",'Data_ Contrats'!A71," ")</f>
        <v xml:space="preserve"> </v>
      </c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</row>
    <row r="70" spans="1:44" ht="16.2">
      <c r="A70" s="84" t="str">
        <f>IF('Détail de conso'!A19=0,"",'Détail de conso'!A19)</f>
        <v/>
      </c>
      <c r="B70" s="84"/>
      <c r="C70" s="84"/>
      <c r="D70" s="84"/>
      <c r="E70" s="84"/>
      <c r="F70" s="84"/>
      <c r="G70" s="84"/>
      <c r="H70" s="84"/>
      <c r="I70" s="84"/>
      <c r="J70" s="84"/>
      <c r="L70" s="84"/>
      <c r="M70" s="205" t="str">
        <f>IF('Détail de conso'!B19=0,"",'Détail de conso'!B19)</f>
        <v/>
      </c>
      <c r="N70" s="205"/>
      <c r="O70" s="205" t="str">
        <f>IF('Détail de conso'!C19=0,"",'Détail de conso'!C19)</f>
        <v/>
      </c>
      <c r="P70" s="205"/>
      <c r="Q70" s="205" t="str">
        <f>IF('Détail de conso'!D19=0,"",'Détail de conso'!D19)</f>
        <v/>
      </c>
      <c r="R70" s="205"/>
      <c r="S70" s="205" t="str">
        <f>IF('Détail de conso'!E19=0,"",'Détail de conso'!E19)</f>
        <v/>
      </c>
      <c r="T70" s="205"/>
      <c r="U70" s="56"/>
      <c r="V70" s="56"/>
      <c r="W70" s="56"/>
      <c r="X70" s="166" t="str">
        <f>IF('Data_ Contrats'!O72="T",'Data_ Contrats'!A72," ")</f>
        <v xml:space="preserve"> </v>
      </c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</row>
    <row r="71" spans="1:44" ht="16.2">
      <c r="A71" s="84" t="str">
        <f>IF('Détail de conso'!A20=0,"",'Détail de conso'!A20)</f>
        <v/>
      </c>
      <c r="B71" s="84"/>
      <c r="C71" s="84"/>
      <c r="D71" s="84"/>
      <c r="E71" s="84"/>
      <c r="F71" s="84"/>
      <c r="G71" s="84"/>
      <c r="H71" s="84"/>
      <c r="I71" s="84"/>
      <c r="J71" s="84"/>
      <c r="M71" s="205" t="str">
        <f>IF('Détail de conso'!B20=0,"",'Détail de conso'!B20)</f>
        <v/>
      </c>
      <c r="N71" s="205"/>
      <c r="O71" s="205" t="str">
        <f>IF('Détail de conso'!C20=0,"",'Détail de conso'!C20)</f>
        <v/>
      </c>
      <c r="P71" s="205"/>
      <c r="Q71" s="205" t="str">
        <f>IF('Détail de conso'!D20=0,"",'Détail de conso'!D20)</f>
        <v/>
      </c>
      <c r="R71" s="205"/>
      <c r="S71" s="205" t="str">
        <f>IF('Détail de conso'!E20=0,"",'Détail de conso'!E20)</f>
        <v/>
      </c>
      <c r="T71" s="205"/>
      <c r="U71" s="56"/>
      <c r="V71" s="56"/>
      <c r="W71" s="56"/>
      <c r="X71" s="166" t="str">
        <f>IF('Data_ Contrats'!O73="T",'Data_ Contrats'!A73," ")</f>
        <v>Cus Habitat</v>
      </c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</row>
    <row r="72" spans="1:44" ht="16.2">
      <c r="A72" s="84" t="str">
        <f>IF('Détail de conso'!A21=0,"",'Détail de conso'!A21)</f>
        <v/>
      </c>
      <c r="B72" s="84"/>
      <c r="C72" s="84"/>
      <c r="D72" s="84"/>
      <c r="E72" s="84"/>
      <c r="F72" s="84"/>
      <c r="G72" s="84"/>
      <c r="H72" s="84"/>
      <c r="I72" s="84"/>
      <c r="J72" s="84"/>
      <c r="L72" s="84"/>
      <c r="M72" s="205" t="str">
        <f>IF('Détail de conso'!B21=0,"",'Détail de conso'!B21)</f>
        <v/>
      </c>
      <c r="N72" s="205"/>
      <c r="O72" s="205" t="str">
        <f>IF('Détail de conso'!C21=0,"",'Détail de conso'!C21)</f>
        <v/>
      </c>
      <c r="P72" s="205"/>
      <c r="Q72" s="205" t="str">
        <f>IF('Détail de conso'!D21=0,"",'Détail de conso'!D21)</f>
        <v/>
      </c>
      <c r="R72" s="205"/>
      <c r="S72" s="205" t="str">
        <f>IF('Détail de conso'!E21=0,"",'Détail de conso'!E21)</f>
        <v/>
      </c>
      <c r="T72" s="205"/>
      <c r="U72" s="56"/>
      <c r="V72" s="56"/>
      <c r="W72" s="56"/>
      <c r="X72" s="166" t="e">
        <f>IF('Data_ Contrats'!#REF!="T",'Data_ Contrats'!#REF!," ")</f>
        <v>#REF!</v>
      </c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</row>
    <row r="73" spans="1:44" ht="16.2">
      <c r="A73" s="84" t="str">
        <f>IF('Détail de conso'!A22=0,"",'Détail de conso'!A22)</f>
        <v/>
      </c>
      <c r="B73" s="84"/>
      <c r="C73" s="84"/>
      <c r="D73" s="84"/>
      <c r="E73" s="84"/>
      <c r="F73" s="84"/>
      <c r="G73" s="84"/>
      <c r="H73" s="84"/>
      <c r="I73" s="84"/>
      <c r="J73" s="84"/>
      <c r="L73" s="84"/>
      <c r="M73" s="205" t="str">
        <f>IF('Détail de conso'!B22=0,"",'Détail de conso'!B22)</f>
        <v/>
      </c>
      <c r="N73" s="205"/>
      <c r="O73" s="205" t="str">
        <f>IF('Détail de conso'!C22=0,"",'Détail de conso'!C22)</f>
        <v/>
      </c>
      <c r="P73" s="205"/>
      <c r="Q73" s="205" t="str">
        <f>IF('Détail de conso'!D22=0,"",'Détail de conso'!D22)</f>
        <v/>
      </c>
      <c r="R73" s="205"/>
      <c r="S73" s="205" t="str">
        <f>IF('Détail de conso'!E22=0,"",'Détail de conso'!E22)</f>
        <v/>
      </c>
      <c r="T73" s="205"/>
      <c r="U73" s="56"/>
      <c r="V73" s="56"/>
      <c r="W73" s="56"/>
      <c r="X73" s="166" t="str">
        <f>IF('Data_ Contrats'!O74="T",'Data_ Contrats'!A74," ")</f>
        <v xml:space="preserve"> </v>
      </c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</row>
    <row r="74" spans="1:44" ht="16.2">
      <c r="A74" s="84" t="str">
        <f>IF('Détail de conso'!A23=0,"",'Détail de conso'!A23)</f>
        <v/>
      </c>
      <c r="B74" s="84"/>
      <c r="C74" s="84"/>
      <c r="D74" s="84"/>
      <c r="E74" s="84"/>
      <c r="F74" s="84"/>
      <c r="G74" s="84"/>
      <c r="H74" s="84"/>
      <c r="I74" s="84"/>
      <c r="J74" s="84"/>
      <c r="L74" s="84"/>
      <c r="M74" s="205" t="str">
        <f>IF('Détail de conso'!B23=0,"",'Détail de conso'!B23)</f>
        <v/>
      </c>
      <c r="N74" s="205"/>
      <c r="O74" s="205" t="str">
        <f>IF('Détail de conso'!C23=0,"",'Détail de conso'!C23)</f>
        <v/>
      </c>
      <c r="P74" s="205"/>
      <c r="Q74" s="205" t="str">
        <f>IF('Détail de conso'!D23=0,"",'Détail de conso'!D23)</f>
        <v/>
      </c>
      <c r="R74" s="205"/>
      <c r="S74" s="205" t="str">
        <f>IF('Détail de conso'!E23=0,"",'Détail de conso'!E23)</f>
        <v/>
      </c>
      <c r="T74" s="205"/>
      <c r="U74" s="56"/>
      <c r="V74" s="56"/>
      <c r="W74" s="56"/>
      <c r="X74" s="166" t="str">
        <f>IF('Data_ Contrats'!O75="T",'Data_ Contrats'!A75," ")</f>
        <v xml:space="preserve"> </v>
      </c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</row>
    <row r="75" spans="1:44" ht="16.2">
      <c r="A75" s="84" t="str">
        <f>IF('Détail de conso'!A24=0,"",'Détail de conso'!A24)</f>
        <v/>
      </c>
      <c r="B75" s="84"/>
      <c r="C75" s="84"/>
      <c r="D75" s="84"/>
      <c r="E75" s="84"/>
      <c r="F75" s="84"/>
      <c r="G75" s="84"/>
      <c r="H75" s="84"/>
      <c r="I75" s="84"/>
      <c r="J75" s="84"/>
      <c r="L75" s="84"/>
      <c r="M75" s="205" t="str">
        <f>IF('Détail de conso'!B24=0,"",'Détail de conso'!B24)</f>
        <v/>
      </c>
      <c r="N75" s="205"/>
      <c r="O75" s="205" t="str">
        <f>IF('Détail de conso'!C24=0,"",'Détail de conso'!C24)</f>
        <v/>
      </c>
      <c r="P75" s="205"/>
      <c r="Q75" s="205" t="str">
        <f>IF('Détail de conso'!D24=0,"",'Détail de conso'!D24)</f>
        <v/>
      </c>
      <c r="R75" s="205"/>
      <c r="S75" s="205" t="str">
        <f>IF('Détail de conso'!E24=0,"",'Détail de conso'!E24)</f>
        <v/>
      </c>
      <c r="T75" s="205"/>
      <c r="U75" s="56"/>
      <c r="V75" s="56"/>
      <c r="W75" s="56"/>
      <c r="X75" s="166" t="str">
        <f>IF('Data_ Contrats'!O76="T",'Data_ Contrats'!A76," ")</f>
        <v>Dynacité</v>
      </c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</row>
    <row r="76" spans="1:44" ht="16.2">
      <c r="A76" s="84" t="str">
        <f>IF('Détail de conso'!A25=0,"",'Détail de conso'!A25)</f>
        <v/>
      </c>
      <c r="B76" s="44"/>
      <c r="C76" s="44"/>
      <c r="D76" s="44"/>
      <c r="E76" s="44"/>
      <c r="F76" s="44"/>
      <c r="G76" s="44"/>
      <c r="H76" s="44"/>
      <c r="I76" s="44"/>
      <c r="J76" s="84"/>
      <c r="L76" s="44"/>
      <c r="M76" s="205" t="str">
        <f>IF('Détail de conso'!B25=0,"",'Détail de conso'!B25)</f>
        <v/>
      </c>
      <c r="N76" s="205"/>
      <c r="O76" s="205" t="str">
        <f>IF('Détail de conso'!C25=0,"",'Détail de conso'!C25)</f>
        <v/>
      </c>
      <c r="P76" s="205"/>
      <c r="Q76" s="205" t="str">
        <f>IF('Détail de conso'!D25=0,"",'Détail de conso'!D25)</f>
        <v/>
      </c>
      <c r="R76" s="205"/>
      <c r="S76" s="205" t="str">
        <f>IF('Détail de conso'!E25=0,"",'Détail de conso'!E25)</f>
        <v/>
      </c>
      <c r="T76" s="205"/>
      <c r="U76" s="56"/>
      <c r="V76" s="56"/>
      <c r="W76" s="56"/>
      <c r="X76" s="166" t="str">
        <f>IF('Data_ Contrats'!O77="T",'Data_ Contrats'!A77," ")</f>
        <v xml:space="preserve"> </v>
      </c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</row>
    <row r="77" spans="1:44" ht="16.2">
      <c r="A77" s="84" t="str">
        <f>IF('Détail de conso'!A26=0,"",'Détail de conso'!A26)</f>
        <v/>
      </c>
      <c r="B77" s="44"/>
      <c r="C77" s="44"/>
      <c r="D77" s="44"/>
      <c r="E77" s="44"/>
      <c r="F77" s="44"/>
      <c r="G77" s="44"/>
      <c r="H77" s="44"/>
      <c r="I77" s="44"/>
      <c r="J77" s="84"/>
      <c r="L77" s="44"/>
      <c r="M77" s="205" t="str">
        <f>IF('Détail de conso'!B26=0,"",'Détail de conso'!B26)</f>
        <v/>
      </c>
      <c r="N77" s="205"/>
      <c r="O77" s="205" t="str">
        <f>IF('Détail de conso'!C26=0,"",'Détail de conso'!C26)</f>
        <v/>
      </c>
      <c r="P77" s="205"/>
      <c r="Q77" s="205" t="str">
        <f>IF('Détail de conso'!D26=0,"",'Détail de conso'!D26)</f>
        <v/>
      </c>
      <c r="R77" s="205"/>
      <c r="S77" s="205" t="str">
        <f>IF('Détail de conso'!E26=0,"",'Détail de conso'!E26)</f>
        <v/>
      </c>
      <c r="T77" s="205"/>
      <c r="U77" s="56"/>
      <c r="V77" s="56"/>
      <c r="W77" s="56"/>
      <c r="X77" s="166" t="str">
        <f>IF('Data_ Contrats'!O78="T",'Data_ Contrats'!A78," ")</f>
        <v xml:space="preserve"> </v>
      </c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</row>
    <row r="78" spans="1:44">
      <c r="A78" s="84" t="str">
        <f>IF('Détail de conso'!A27=0,"",'Détail de conso'!A27)</f>
        <v/>
      </c>
      <c r="B78" s="44"/>
      <c r="C78" s="44"/>
      <c r="D78" s="44"/>
      <c r="E78" s="44"/>
      <c r="F78" s="44"/>
      <c r="G78" s="44"/>
      <c r="H78" s="44"/>
      <c r="I78" s="44"/>
      <c r="J78" s="84"/>
      <c r="L78" s="44"/>
      <c r="M78" s="205" t="str">
        <f>IF('Détail de conso'!B27=0,"",'Détail de conso'!B27)</f>
        <v/>
      </c>
      <c r="N78" s="205"/>
      <c r="O78" s="205" t="str">
        <f>IF('Détail de conso'!C27=0,"",'Détail de conso'!C27)</f>
        <v/>
      </c>
      <c r="P78" s="205"/>
      <c r="Q78" s="205" t="str">
        <f>IF('Détail de conso'!D27=0,"",'Détail de conso'!D27)</f>
        <v/>
      </c>
      <c r="R78" s="205"/>
      <c r="S78" s="205" t="str">
        <f>IF('Détail de conso'!E27=0,"",'Détail de conso'!E27)</f>
        <v/>
      </c>
      <c r="T78" s="205"/>
      <c r="U78" s="105"/>
      <c r="X78" s="166" t="str">
        <f>IF('Data_ Contrats'!O79="T",'Data_ Contrats'!A79," ")</f>
        <v xml:space="preserve"> </v>
      </c>
    </row>
    <row r="79" spans="1:44">
      <c r="A79" s="84" t="str">
        <f>IF('Détail de conso'!A28=0,"",'Détail de conso'!A28)</f>
        <v/>
      </c>
      <c r="B79" s="44"/>
      <c r="C79" s="44"/>
      <c r="D79" s="44"/>
      <c r="E79" s="44"/>
      <c r="F79" s="44"/>
      <c r="G79" s="44"/>
      <c r="H79" s="44"/>
      <c r="I79" s="44"/>
      <c r="J79" s="84"/>
      <c r="L79" s="44"/>
      <c r="M79" s="205" t="str">
        <f>IF('Détail de conso'!B28=0,"",'Détail de conso'!B28)</f>
        <v/>
      </c>
      <c r="N79" s="205"/>
      <c r="O79" s="205" t="str">
        <f>IF('Détail de conso'!C28=0,"",'Détail de conso'!C28)</f>
        <v/>
      </c>
      <c r="P79" s="205"/>
      <c r="Q79" s="205" t="str">
        <f>IF('Détail de conso'!D28=0,"",'Détail de conso'!D28)</f>
        <v/>
      </c>
      <c r="R79" s="205"/>
      <c r="S79" s="205" t="str">
        <f>IF('Détail de conso'!E28=0,"",'Détail de conso'!E28)</f>
        <v/>
      </c>
      <c r="T79" s="205"/>
      <c r="U79" s="105"/>
      <c r="X79" s="166" t="str">
        <f>IF('Data_ Contrats'!O80="T",'Data_ Contrats'!A80," ")</f>
        <v>ELOGIE-SIEMP</v>
      </c>
    </row>
    <row r="80" spans="1:44">
      <c r="A80" s="84" t="str">
        <f>IF('Détail de conso'!A29=0,"",'Détail de conso'!A29)</f>
        <v/>
      </c>
      <c r="B80" s="44"/>
      <c r="C80" s="44"/>
      <c r="D80" s="44"/>
      <c r="E80" s="44"/>
      <c r="F80" s="44"/>
      <c r="G80" s="44"/>
      <c r="H80" s="44"/>
      <c r="I80" s="44"/>
      <c r="J80" s="84"/>
      <c r="K80" s="44"/>
      <c r="L80" s="44"/>
      <c r="M80" s="205" t="str">
        <f>IF('Détail de conso'!B29=0,"",'Détail de conso'!B29)</f>
        <v/>
      </c>
      <c r="N80" s="205"/>
      <c r="O80" s="205" t="str">
        <f>IF('Détail de conso'!C29=0,"",'Détail de conso'!C29)</f>
        <v/>
      </c>
      <c r="P80" s="205"/>
      <c r="Q80" s="205" t="str">
        <f>IF('Détail de conso'!D29=0,"",'Détail de conso'!D29)</f>
        <v/>
      </c>
      <c r="R80" s="205"/>
      <c r="S80" s="205" t="str">
        <f>IF('Détail de conso'!E29=0,"",'Détail de conso'!E29)</f>
        <v/>
      </c>
      <c r="T80" s="205"/>
      <c r="U80" s="105"/>
      <c r="X80" s="166" t="str">
        <f>IF('Data_ Contrats'!O81="T",'Data_ Contrats'!A81," ")</f>
        <v xml:space="preserve"> </v>
      </c>
    </row>
    <row r="81" spans="1:24">
      <c r="A81" s="84" t="str">
        <f>IF('Détail de conso'!A30=0,"",'Détail de conso'!A30)</f>
        <v/>
      </c>
      <c r="B81" s="67"/>
      <c r="C81" s="67"/>
      <c r="D81" s="67"/>
      <c r="E81" s="67"/>
      <c r="F81" s="67"/>
      <c r="G81" s="67"/>
      <c r="H81" s="67"/>
      <c r="I81" s="67"/>
      <c r="J81" s="84"/>
      <c r="K81" s="67"/>
      <c r="L81" s="67"/>
      <c r="M81" s="205" t="str">
        <f>IF('Détail de conso'!B30=0,"",'Détail de conso'!B30)</f>
        <v/>
      </c>
      <c r="N81" s="205"/>
      <c r="O81" s="205" t="str">
        <f>IF('Détail de conso'!C30=0,"",'Détail de conso'!C30)</f>
        <v/>
      </c>
      <c r="P81" s="205"/>
      <c r="Q81" s="205" t="str">
        <f>IF('Détail de conso'!D30=0,"",'Détail de conso'!D30)</f>
        <v/>
      </c>
      <c r="R81" s="205"/>
      <c r="S81" s="205" t="str">
        <f>IF('Détail de conso'!E30=0,"",'Détail de conso'!E30)</f>
        <v/>
      </c>
      <c r="T81" s="205"/>
      <c r="U81" s="105"/>
      <c r="X81" s="166" t="str">
        <f>IF('Data_ Contrats'!O82="T",'Data_ Contrats'!A82," ")</f>
        <v xml:space="preserve"> </v>
      </c>
    </row>
    <row r="82" spans="1:24">
      <c r="A82" s="84" t="str">
        <f>IF('Détail de conso'!A31=0,"",'Détail de conso'!A31)</f>
        <v/>
      </c>
      <c r="J82" s="84"/>
      <c r="M82" s="205" t="str">
        <f>IF('Détail de conso'!B31=0,"",'Détail de conso'!B31)</f>
        <v/>
      </c>
      <c r="N82" s="205"/>
      <c r="O82" s="205" t="str">
        <f>IF('Détail de conso'!C31=0,"",'Détail de conso'!C31)</f>
        <v/>
      </c>
      <c r="P82" s="205"/>
      <c r="Q82" s="205" t="str">
        <f>IF('Détail de conso'!D31=0,"",'Détail de conso'!D31)</f>
        <v/>
      </c>
      <c r="R82" s="205"/>
      <c r="S82" s="205" t="str">
        <f>IF('Détail de conso'!E31=0,"",'Détail de conso'!E31)</f>
        <v/>
      </c>
      <c r="T82" s="205"/>
      <c r="U82" s="105"/>
      <c r="X82" s="166" t="str">
        <f>IF('Data_ Contrats'!O83="T",'Data_ Contrats'!A83," ")</f>
        <v xml:space="preserve"> </v>
      </c>
    </row>
    <row r="83" spans="1:24">
      <c r="A83" s="84" t="str">
        <f>IF('Détail de conso'!A32=0,"",'Détail de conso'!A32)</f>
        <v/>
      </c>
      <c r="J83" s="84"/>
      <c r="M83" s="205" t="str">
        <f>IF('Détail de conso'!B32=0,"",'Détail de conso'!B32)</f>
        <v/>
      </c>
      <c r="N83" s="205"/>
      <c r="O83" s="205" t="str">
        <f>IF('Détail de conso'!C32=0,"",'Détail de conso'!C32)</f>
        <v/>
      </c>
      <c r="P83" s="205"/>
      <c r="Q83" s="205" t="str">
        <f>IF('Détail de conso'!D32=0,"",'Détail de conso'!D32)</f>
        <v/>
      </c>
      <c r="R83" s="205"/>
      <c r="S83" s="205" t="str">
        <f>IF('Détail de conso'!E32=0,"",'Détail de conso'!E32)</f>
        <v/>
      </c>
      <c r="T83" s="205"/>
      <c r="U83" s="105"/>
      <c r="X83" s="166" t="str">
        <f>IF('Data_ Contrats'!O84="T",'Data_ Contrats'!A84," ")</f>
        <v xml:space="preserve"> </v>
      </c>
    </row>
    <row r="84" spans="1:24">
      <c r="A84" s="84" t="str">
        <f>IF('Détail de conso'!A33=0,"",'Détail de conso'!A33)</f>
        <v/>
      </c>
      <c r="J84" s="84"/>
      <c r="M84" s="205" t="str">
        <f>IF('Détail de conso'!B33=0,"",'Détail de conso'!B33)</f>
        <v/>
      </c>
      <c r="N84" s="205"/>
      <c r="O84" s="205" t="str">
        <f>IF('Détail de conso'!C33=0,"",'Détail de conso'!C33)</f>
        <v/>
      </c>
      <c r="P84" s="205"/>
      <c r="Q84" s="205" t="str">
        <f>IF('Détail de conso'!D33=0,"",'Détail de conso'!D33)</f>
        <v/>
      </c>
      <c r="R84" s="205"/>
      <c r="S84" s="205" t="str">
        <f>IF('Détail de conso'!E33=0,"",'Détail de conso'!E33)</f>
        <v/>
      </c>
      <c r="T84" s="205"/>
      <c r="U84" s="105"/>
      <c r="X84" s="166" t="str">
        <f>IF('Data_ Contrats'!O85="T",'Data_ Contrats'!A85," ")</f>
        <v xml:space="preserve"> </v>
      </c>
    </row>
    <row r="85" spans="1:24">
      <c r="A85" s="84" t="str">
        <f>IF('Détail de conso'!A34=0,"",'Détail de conso'!A34)</f>
        <v/>
      </c>
      <c r="J85" s="84"/>
      <c r="M85" s="205" t="str">
        <f>IF('Détail de conso'!B34=0,"",'Détail de conso'!B34)</f>
        <v/>
      </c>
      <c r="N85" s="205"/>
      <c r="O85" s="205" t="str">
        <f>IF('Détail de conso'!C34=0,"",'Détail de conso'!C34)</f>
        <v/>
      </c>
      <c r="P85" s="205"/>
      <c r="Q85" s="205" t="str">
        <f>IF('Détail de conso'!D34=0,"",'Détail de conso'!D34)</f>
        <v/>
      </c>
      <c r="R85" s="205"/>
      <c r="S85" s="205" t="str">
        <f>IF('Détail de conso'!E34=0,"",'Détail de conso'!E34)</f>
        <v/>
      </c>
      <c r="T85" s="205"/>
      <c r="U85" s="105"/>
      <c r="X85" s="166" t="str">
        <f>IF('Data_ Contrats'!O86="T",'Data_ Contrats'!A86," ")</f>
        <v>Foyer Laekenois</v>
      </c>
    </row>
    <row r="86" spans="1:24">
      <c r="A86" s="84" t="str">
        <f>IF('Détail de conso'!A35=0,"",'Détail de conso'!A35)</f>
        <v/>
      </c>
      <c r="J86" s="84"/>
      <c r="M86" s="205" t="str">
        <f>IF('Détail de conso'!B35=0,"",'Détail de conso'!B35)</f>
        <v/>
      </c>
      <c r="N86" s="205"/>
      <c r="O86" s="205" t="str">
        <f>IF('Détail de conso'!C35=0,"",'Détail de conso'!C35)</f>
        <v/>
      </c>
      <c r="P86" s="205"/>
      <c r="Q86" s="205" t="str">
        <f>IF('Détail de conso'!D35=0,"",'Détail de conso'!D35)</f>
        <v/>
      </c>
      <c r="R86" s="205"/>
      <c r="S86" s="205" t="str">
        <f>IF('Détail de conso'!E35=0,"",'Détail de conso'!E35)</f>
        <v/>
      </c>
      <c r="T86" s="205"/>
      <c r="U86" s="105"/>
      <c r="X86" s="166" t="str">
        <f>IF('Data_ Contrats'!O87="T",'Data_ Contrats'!A87," ")</f>
        <v xml:space="preserve"> </v>
      </c>
    </row>
    <row r="87" spans="1:24">
      <c r="A87" s="84" t="str">
        <f>IF('Détail de conso'!A36=0,"",'Détail de conso'!A36)</f>
        <v/>
      </c>
      <c r="J87" s="84"/>
      <c r="M87" s="205" t="str">
        <f>IF('Détail de conso'!B36=0,"",'Détail de conso'!B36)</f>
        <v/>
      </c>
      <c r="N87" s="205"/>
      <c r="O87" s="205" t="str">
        <f>IF('Détail de conso'!C36=0,"",'Détail de conso'!C36)</f>
        <v/>
      </c>
      <c r="P87" s="205"/>
      <c r="Q87" s="205" t="str">
        <f>IF('Détail de conso'!D36=0,"",'Détail de conso'!D36)</f>
        <v/>
      </c>
      <c r="R87" s="205"/>
      <c r="S87" s="205" t="str">
        <f>IF('Détail de conso'!E36=0,"",'Détail de conso'!E36)</f>
        <v/>
      </c>
      <c r="T87" s="205"/>
      <c r="U87" s="105"/>
      <c r="X87" s="166" t="str">
        <f>IF('Data_ Contrats'!O88="T",'Data_ Contrats'!A88," ")</f>
        <v xml:space="preserve"> </v>
      </c>
    </row>
    <row r="88" spans="1:24">
      <c r="A88" s="84" t="str">
        <f>IF('Détail de conso'!A37=0,"",'Détail de conso'!A37)</f>
        <v/>
      </c>
      <c r="J88" s="84"/>
      <c r="M88" s="205" t="str">
        <f>IF('Détail de conso'!B37=0,"",'Détail de conso'!B37)</f>
        <v/>
      </c>
      <c r="N88" s="205"/>
      <c r="O88" s="205" t="str">
        <f>IF('Détail de conso'!C37=0,"",'Détail de conso'!C37)</f>
        <v/>
      </c>
      <c r="P88" s="205"/>
      <c r="Q88" s="205" t="str">
        <f>IF('Détail de conso'!D37=0,"",'Détail de conso'!D37)</f>
        <v/>
      </c>
      <c r="R88" s="205"/>
      <c r="S88" s="205" t="str">
        <f>IF('Détail de conso'!E37=0,"",'Détail de conso'!E37)</f>
        <v/>
      </c>
      <c r="T88" s="205"/>
      <c r="X88" s="166" t="str">
        <f>IF('Data_ Contrats'!O89="T",'Data_ Contrats'!A89," ")</f>
        <v>Grand Lyon Habitat</v>
      </c>
    </row>
    <row r="89" spans="1:24">
      <c r="A89" s="84" t="str">
        <f>IF('Détail de conso'!A38=0,"",'Détail de conso'!A38)</f>
        <v/>
      </c>
      <c r="J89" s="84"/>
      <c r="M89" s="205" t="str">
        <f>IF('Détail de conso'!B38=0,"",'Détail de conso'!B38)</f>
        <v/>
      </c>
      <c r="N89" s="205"/>
      <c r="O89" s="205" t="str">
        <f>IF('Détail de conso'!C38=0,"",'Détail de conso'!C38)</f>
        <v/>
      </c>
      <c r="P89" s="205"/>
      <c r="Q89" s="205" t="str">
        <f>IF('Détail de conso'!D38=0,"",'Détail de conso'!D38)</f>
        <v/>
      </c>
      <c r="R89" s="205"/>
      <c r="S89" s="205" t="str">
        <f>IF('Détail de conso'!E38=0,"",'Détail de conso'!E38)</f>
        <v/>
      </c>
      <c r="T89" s="205"/>
      <c r="X89" s="166" t="str">
        <f>IF('Data_ Contrats'!O90="T",'Data_ Contrats'!A90," ")</f>
        <v xml:space="preserve"> </v>
      </c>
    </row>
    <row r="90" spans="1:24">
      <c r="A90" s="84" t="str">
        <f>IF('Détail de conso'!A39=0,"",'Détail de conso'!A39)</f>
        <v/>
      </c>
      <c r="J90" s="84"/>
      <c r="M90" s="208" t="str">
        <f>IF('Détail de conso'!B39=0,"",'Détail de conso'!B39)</f>
        <v/>
      </c>
      <c r="N90" s="208"/>
      <c r="O90" s="208" t="str">
        <f>IF('Détail de conso'!C39=0,"",'Détail de conso'!C39)</f>
        <v/>
      </c>
      <c r="P90" s="208"/>
      <c r="Q90" s="210" t="str">
        <f>IF('Détail de conso'!D39=0,"",'Détail de conso'!D39)</f>
        <v/>
      </c>
      <c r="R90" s="210"/>
      <c r="S90" s="210" t="str">
        <f>IF('Détail de conso'!E39=0,"",'Détail de conso'!E39)</f>
        <v/>
      </c>
      <c r="T90" s="210"/>
      <c r="X90" s="166" t="str">
        <f>IF('Data_ Contrats'!O91="T",'Data_ Contrats'!A91," ")</f>
        <v xml:space="preserve"> </v>
      </c>
    </row>
    <row r="91" spans="1:24">
      <c r="A91" s="84"/>
      <c r="J91" s="84"/>
      <c r="M91" s="208" t="str">
        <f>IF('Détail de conso'!B40=0,"",'Détail de conso'!B40)</f>
        <v/>
      </c>
      <c r="N91" s="208"/>
      <c r="O91" s="208" t="str">
        <f>IF('Détail de conso'!C40=0,"",'Détail de conso'!C40)</f>
        <v/>
      </c>
      <c r="P91" s="208"/>
      <c r="Q91" s="210" t="str">
        <f>IF('Détail de conso'!D40=0,"",'Détail de conso'!D40)</f>
        <v/>
      </c>
      <c r="R91" s="210"/>
      <c r="S91" s="210" t="str">
        <f>IF('Détail de conso'!E40=0,"",'Détail de conso'!E40)</f>
        <v/>
      </c>
      <c r="T91" s="210"/>
      <c r="X91" s="166" t="str">
        <f>IF('Data_ Contrats'!O92="T",'Data_ Contrats'!A92," ")</f>
        <v>Habitat 76</v>
      </c>
    </row>
    <row r="92" spans="1:24">
      <c r="D92" s="105" t="str">
        <f>IF('Détail de conso'!A33=0,"",'Détail de conso'!A33)</f>
        <v/>
      </c>
      <c r="J92" s="84"/>
      <c r="K92" s="105" t="str">
        <f>IF('Détail de conso'!B33=0,"",'Détail de conso'!B33)</f>
        <v/>
      </c>
      <c r="M92" s="208" t="str">
        <f>IF('Détail de conso'!B41=0,"",'Détail de conso'!B41)</f>
        <v/>
      </c>
      <c r="N92" s="208"/>
      <c r="O92" s="208" t="str">
        <f>IF('Détail de conso'!C41=0,"",'Détail de conso'!C41)</f>
        <v/>
      </c>
      <c r="P92" s="208"/>
      <c r="Q92" s="210" t="str">
        <f>IF('Détail de conso'!D41=0,"",'Détail de conso'!D41)</f>
        <v/>
      </c>
      <c r="R92" s="210"/>
      <c r="S92" s="210" t="str">
        <f>IF('Détail de conso'!E41=0,"",'Détail de conso'!E41)</f>
        <v/>
      </c>
      <c r="T92" s="210"/>
      <c r="X92" s="166" t="str">
        <f>IF('Data_ Contrats'!O93="T",'Data_ Contrats'!A93," ")</f>
        <v xml:space="preserve"> </v>
      </c>
    </row>
    <row r="93" spans="1:24">
      <c r="J93" s="84"/>
      <c r="M93" s="208" t="str">
        <f>IF('Détail de conso'!B42=0,"",'Détail de conso'!B42)</f>
        <v/>
      </c>
      <c r="N93" s="208"/>
      <c r="O93" s="208" t="str">
        <f>IF('Détail de conso'!C42=0,"",'Détail de conso'!C42)</f>
        <v/>
      </c>
      <c r="P93" s="208"/>
      <c r="Q93" s="210" t="str">
        <f>IF('Détail de conso'!D42=0,"",'Détail de conso'!D42)</f>
        <v/>
      </c>
      <c r="R93" s="210"/>
      <c r="S93" s="210" t="str">
        <f>IF('Détail de conso'!E42=0,"",'Détail de conso'!E42)</f>
        <v/>
      </c>
      <c r="T93" s="210"/>
      <c r="X93" s="166" t="str">
        <f>IF('Data_ Contrats'!O94="T",'Data_ Contrats'!A94," ")</f>
        <v>Hérault Habitat</v>
      </c>
    </row>
    <row r="94" spans="1:24">
      <c r="X94" s="166" t="str">
        <f>IF('Data_ Contrats'!O95="T",'Data_ Contrats'!A95," ")</f>
        <v xml:space="preserve"> </v>
      </c>
    </row>
    <row r="95" spans="1:24">
      <c r="X95" s="166" t="str">
        <f>IF('Data_ Contrats'!O96="T",'Data_ Contrats'!A96," ")</f>
        <v xml:space="preserve"> </v>
      </c>
    </row>
    <row r="96" spans="1:24">
      <c r="X96" s="166" t="str">
        <f>IF('Data_ Contrats'!O97="T",'Data_ Contrats'!A97," ")</f>
        <v xml:space="preserve"> </v>
      </c>
    </row>
    <row r="97" spans="24:24">
      <c r="X97" s="166" t="str">
        <f>IF('Data_ Contrats'!O98="T",'Data_ Contrats'!A98," ")</f>
        <v xml:space="preserve"> </v>
      </c>
    </row>
    <row r="98" spans="24:24">
      <c r="X98" s="166" t="str">
        <f>IF('Data_ Contrats'!O99="T",'Data_ Contrats'!A99," ")</f>
        <v>Hôtel B&amp;B Group</v>
      </c>
    </row>
    <row r="99" spans="24:24">
      <c r="X99" s="166" t="str">
        <f>IF('Data_ Contrats'!O100="T",'Data_ Contrats'!A100," ")</f>
        <v xml:space="preserve"> </v>
      </c>
    </row>
    <row r="100" spans="24:24">
      <c r="X100" s="166" t="str">
        <f>IF('Data_ Contrats'!O101="T",'Data_ Contrats'!A101," ")</f>
        <v>Hôtel de Brienne</v>
      </c>
    </row>
    <row r="101" spans="24:24">
      <c r="X101" s="166" t="str">
        <f>IF('Data_ Contrats'!O102="T",'Data_ Contrats'!A102," ")</f>
        <v xml:space="preserve"> </v>
      </c>
    </row>
    <row r="102" spans="24:24">
      <c r="X102" s="166" t="str">
        <f>IF('Data_ Contrats'!O103="T",'Data_ Contrats'!A103," ")</f>
        <v>Hotel Prince de Liege</v>
      </c>
    </row>
    <row r="103" spans="24:24">
      <c r="X103" s="166" t="str">
        <f>IF('Data_ Contrats'!O104="T",'Data_ Contrats'!A104," ")</f>
        <v xml:space="preserve"> </v>
      </c>
    </row>
    <row r="104" spans="24:24">
      <c r="X104" s="166" t="str">
        <f>IF('Data_ Contrats'!O105="T",'Data_ Contrats'!A105," ")</f>
        <v xml:space="preserve"> </v>
      </c>
    </row>
    <row r="105" spans="24:24">
      <c r="X105" s="166" t="str">
        <f>IF('Data_ Contrats'!O106="T",'Data_ Contrats'!A106," ")</f>
        <v xml:space="preserve"> </v>
      </c>
    </row>
    <row r="106" spans="24:24">
      <c r="X106" s="166" t="str">
        <f>IF('Data_ Contrats'!O107="T",'Data_ Contrats'!A107," ")</f>
        <v xml:space="preserve"> </v>
      </c>
    </row>
    <row r="107" spans="24:24">
      <c r="X107" s="166" t="str">
        <f>IF('Data_ Contrats'!O108="T",'Data_ Contrats'!A108," ")</f>
        <v xml:space="preserve"> </v>
      </c>
    </row>
    <row r="108" spans="24:24">
      <c r="X108" s="166" t="str">
        <f>IF('Data_ Contrats'!O109="T",'Data_ Contrats'!A109," ")</f>
        <v xml:space="preserve"> </v>
      </c>
    </row>
    <row r="109" spans="24:24">
      <c r="X109" s="166" t="str">
        <f>IF('Data_ Contrats'!O110="T",'Data_ Contrats'!A110," ")</f>
        <v xml:space="preserve"> </v>
      </c>
    </row>
    <row r="110" spans="24:24">
      <c r="X110" s="166" t="str">
        <f>IF('Data_ Contrats'!O111="T",'Data_ Contrats'!A111," ")</f>
        <v xml:space="preserve"> </v>
      </c>
    </row>
    <row r="111" spans="24:24">
      <c r="X111" s="166" t="str">
        <f>IF('Data_ Contrats'!O112="T",'Data_ Contrats'!A112," ")</f>
        <v xml:space="preserve"> </v>
      </c>
    </row>
    <row r="112" spans="24:24">
      <c r="X112" s="166" t="str">
        <f>IF('Data_ Contrats'!O113="T",'Data_ Contrats'!A113," ")</f>
        <v>Ibis Saint Quentin en Yvelines</v>
      </c>
    </row>
    <row r="113" spans="24:24">
      <c r="X113" s="166" t="str">
        <f>IF('Data_ Contrats'!O114="T",'Data_ Contrats'!A114," ")</f>
        <v xml:space="preserve"> </v>
      </c>
    </row>
    <row r="114" spans="24:24">
      <c r="X114" s="166" t="str">
        <f>IF('Data_ Contrats'!O115="T",'Data_ Contrats'!A115," ")</f>
        <v xml:space="preserve"> </v>
      </c>
    </row>
    <row r="115" spans="24:24">
      <c r="X115" s="166" t="str">
        <f>IF('Data_ Contrats'!O116="T",'Data_ Contrats'!A116," ")</f>
        <v>Ibis Styles Porte d'Orléans</v>
      </c>
    </row>
    <row r="116" spans="24:24">
      <c r="X116" s="166" t="str">
        <f>IF('Data_ Contrats'!O117="T",'Data_ Contrats'!A117," ")</f>
        <v xml:space="preserve"> </v>
      </c>
    </row>
    <row r="117" spans="24:24">
      <c r="X117" s="166" t="str">
        <f>IF('Data_ Contrats'!O118="T",'Data_ Contrats'!A118," ")</f>
        <v xml:space="preserve"> </v>
      </c>
    </row>
    <row r="118" spans="24:24">
      <c r="X118" s="166" t="str">
        <f>IF('Data_ Contrats'!O119="T",'Data_ Contrats'!A119," ")</f>
        <v xml:space="preserve"> </v>
      </c>
    </row>
    <row r="119" spans="24:24">
      <c r="X119" s="166" t="str">
        <f>IF('Data_ Contrats'!O120="T",'Data_ Contrats'!A120," ")</f>
        <v xml:space="preserve"> </v>
      </c>
    </row>
    <row r="120" spans="24:24">
      <c r="X120" s="166" t="str">
        <f>IF('Data_ Contrats'!O121="T",'Data_ Contrats'!A121," ")</f>
        <v>Immobilière 3F</v>
      </c>
    </row>
    <row r="121" spans="24:24">
      <c r="X121" s="166" t="str">
        <f>IF('Data_ Contrats'!O122="T",'Data_ Contrats'!A122," ")</f>
        <v>Immobilière Basse Seine</v>
      </c>
    </row>
    <row r="122" spans="24:24">
      <c r="X122" s="166" t="str">
        <f>IF('Data_ Contrats'!O123="T",'Data_ Contrats'!A123," ")</f>
        <v>Immobilière Nord-Artois</v>
      </c>
    </row>
    <row r="123" spans="24:24">
      <c r="X123" s="166" t="str">
        <f>IF('Data_ Contrats'!O124="T",'Data_ Contrats'!A124," ")</f>
        <v>Inter-Hotel Parc des Expositions Marseille</v>
      </c>
    </row>
    <row r="124" spans="24:24">
      <c r="X124" s="166" t="str">
        <f>IF('Data_ Contrats'!O125="T",'Data_ Contrats'!A125," ")</f>
        <v xml:space="preserve"> </v>
      </c>
    </row>
    <row r="125" spans="24:24">
      <c r="X125" s="166" t="str">
        <f>IF('Data_ Contrats'!O126="T",'Data_ Contrats'!A126," ")</f>
        <v xml:space="preserve"> </v>
      </c>
    </row>
    <row r="126" spans="24:24">
      <c r="X126" s="166" t="str">
        <f>IF('Data_ Contrats'!O127="T",'Data_ Contrats'!A127," ")</f>
        <v>KONG</v>
      </c>
    </row>
    <row r="127" spans="24:24">
      <c r="X127" s="166" t="str">
        <f>IF('Data_ Contrats'!O128="T",'Data_ Contrats'!A128," ")</f>
        <v xml:space="preserve"> </v>
      </c>
    </row>
    <row r="128" spans="24:24">
      <c r="X128" s="166" t="str">
        <f>IF('Data_ Contrats'!O129="T",'Data_ Contrats'!A129," ")</f>
        <v>La Cité Jardins</v>
      </c>
    </row>
    <row r="129" spans="24:24">
      <c r="X129" s="166" t="str">
        <f>IF('Data_ Contrats'!O130="T",'Data_ Contrats'!A130," ")</f>
        <v xml:space="preserve"> </v>
      </c>
    </row>
    <row r="130" spans="24:24">
      <c r="X130" s="166" t="str">
        <f>IF('Data_ Contrats'!O131="T",'Data_ Contrats'!A131," ")</f>
        <v xml:space="preserve"> </v>
      </c>
    </row>
    <row r="131" spans="24:24">
      <c r="X131" s="166" t="str">
        <f>IF('Data_ Contrats'!O132="T",'Data_ Contrats'!A132," ")</f>
        <v xml:space="preserve"> </v>
      </c>
    </row>
    <row r="132" spans="24:24">
      <c r="X132" s="166" t="str">
        <f>IF('Data_ Contrats'!O133="T",'Data_ Contrats'!A133," ")</f>
        <v>Les Estudines Metz</v>
      </c>
    </row>
    <row r="133" spans="24:24">
      <c r="X133" s="166" t="str">
        <f>IF('Data_ Contrats'!O134="T",'Data_ Contrats'!A134," ")</f>
        <v xml:space="preserve"> </v>
      </c>
    </row>
    <row r="134" spans="24:24">
      <c r="X134" s="166" t="str">
        <f>IF('Data_ Contrats'!O135="T",'Data_ Contrats'!A135," ")</f>
        <v xml:space="preserve"> </v>
      </c>
    </row>
    <row r="135" spans="24:24">
      <c r="X135" s="166" t="str">
        <f>IF('Data_ Contrats'!O136="T",'Data_ Contrats'!A136," ")</f>
        <v xml:space="preserve"> </v>
      </c>
    </row>
    <row r="136" spans="24:24">
      <c r="X136" s="166" t="str">
        <f>IF('Data_ Contrats'!O137="T",'Data_ Contrats'!A137," ")</f>
        <v xml:space="preserve">LOGIREM </v>
      </c>
    </row>
    <row r="137" spans="24:24">
      <c r="X137" s="166" t="str">
        <f>IF('Data_ Contrats'!O138="T",'Data_ Contrats'!A138," ")</f>
        <v xml:space="preserve"> </v>
      </c>
    </row>
    <row r="138" spans="24:24">
      <c r="X138" s="166" t="str">
        <f>IF('Data_ Contrats'!O139="T",'Data_ Contrats'!A139," ")</f>
        <v>Marseille Habitat</v>
      </c>
    </row>
    <row r="139" spans="24:24">
      <c r="X139" s="166" t="str">
        <f>IF('Data_ Contrats'!O140="T",'Data_ Contrats'!A140," ")</f>
        <v xml:space="preserve"> </v>
      </c>
    </row>
    <row r="140" spans="24:24">
      <c r="X140" s="166" t="str">
        <f>IF('Data_ Contrats'!O141="T",'Data_ Contrats'!A141," ")</f>
        <v xml:space="preserve"> </v>
      </c>
    </row>
    <row r="141" spans="24:24">
      <c r="X141" s="166" t="str">
        <f>IF('Data_ Contrats'!O142="T",'Data_ Contrats'!A142," ")</f>
        <v xml:space="preserve"> </v>
      </c>
    </row>
    <row r="142" spans="24:24">
      <c r="X142" s="166" t="str">
        <f>IF('Data_ Contrats'!O143="T",'Data_ Contrats'!A143," ")</f>
        <v xml:space="preserve"> </v>
      </c>
    </row>
    <row r="143" spans="24:24">
      <c r="X143" s="166" t="str">
        <f>IF('Data_ Contrats'!O144="T",'Data_ Contrats'!A144," ")</f>
        <v xml:space="preserve"> </v>
      </c>
    </row>
    <row r="144" spans="24:24">
      <c r="X144" s="166" t="str">
        <f>IF('Data_ Contrats'!O145="T",'Data_ Contrats'!A145," ")</f>
        <v xml:space="preserve"> </v>
      </c>
    </row>
    <row r="145" spans="24:24">
      <c r="X145" s="166" t="str">
        <f>IF('Data_ Contrats'!O146="T",'Data_ Contrats'!A146," ")</f>
        <v xml:space="preserve"> </v>
      </c>
    </row>
    <row r="146" spans="24:24">
      <c r="X146" s="166" t="str">
        <f>IF('Data_ Contrats'!O147="T",'Data_ Contrats'!A147," ")</f>
        <v>Mercure Roissy CDG</v>
      </c>
    </row>
    <row r="147" spans="24:24">
      <c r="X147" s="166" t="str">
        <f>IF('Data_ Contrats'!O148="T",'Data_ Contrats'!A148," ")</f>
        <v xml:space="preserve"> </v>
      </c>
    </row>
    <row r="148" spans="24:24">
      <c r="X148" s="166" t="str">
        <f>IF('Data_ Contrats'!O149="T",'Data_ Contrats'!A149," ")</f>
        <v>Nantes Habitat</v>
      </c>
    </row>
    <row r="149" spans="24:24">
      <c r="X149" s="166" t="str">
        <f>IF('Data_ Contrats'!O150="T",'Data_ Contrats'!A150," ")</f>
        <v>Neolia</v>
      </c>
    </row>
    <row r="150" spans="24:24">
      <c r="X150" s="166" t="str">
        <f>IF('Data_ Contrats'!O151="T",'Data_ Contrats'!A151," ")</f>
        <v>Neotoa</v>
      </c>
    </row>
    <row r="151" spans="24:24">
      <c r="X151" s="166" t="str">
        <f>IF('Data_ Contrats'!O152="T",'Data_ Contrats'!A152," ")</f>
        <v xml:space="preserve"> </v>
      </c>
    </row>
    <row r="152" spans="24:24">
      <c r="X152" s="166" t="str">
        <f>IF('Data_ Contrats'!O153="T",'Data_ Contrats'!A153," ")</f>
        <v>Nexity Groupe</v>
      </c>
    </row>
    <row r="153" spans="24:24">
      <c r="X153" s="166" t="str">
        <f>IF('Data_ Contrats'!O154="T",'Data_ Contrats'!A154," ")</f>
        <v>NH Hotel du Grand Sablon</v>
      </c>
    </row>
    <row r="154" spans="24:24">
      <c r="X154" s="166" t="str">
        <f>IF('Data_ Contrats'!O155="T",'Data_ Contrats'!A155," ")</f>
        <v xml:space="preserve"> </v>
      </c>
    </row>
    <row r="155" spans="24:24">
      <c r="X155" s="166" t="str">
        <f>IF('Data_ Contrats'!O156="T",'Data_ Contrats'!A156," ")</f>
        <v xml:space="preserve"> </v>
      </c>
    </row>
    <row r="156" spans="24:24">
      <c r="X156" s="166" t="str">
        <f>IF('Data_ Contrats'!O157="T",'Data_ Contrats'!A157," ")</f>
        <v xml:space="preserve"> </v>
      </c>
    </row>
    <row r="157" spans="24:24">
      <c r="X157" s="166" t="str">
        <f>IF('Data_ Contrats'!O158="T",'Data_ Contrats'!A158," ")</f>
        <v xml:space="preserve"> </v>
      </c>
    </row>
    <row r="158" spans="24:24">
      <c r="X158" s="166" t="str">
        <f>IF('Data_ Contrats'!O159="T",'Data_ Contrats'!A159," ")</f>
        <v xml:space="preserve"> </v>
      </c>
    </row>
    <row r="159" spans="24:24">
      <c r="X159" s="166" t="str">
        <f>IF('Data_ Contrats'!O160="T",'Data_ Contrats'!A160," ")</f>
        <v xml:space="preserve"> </v>
      </c>
    </row>
    <row r="160" spans="24:24">
      <c r="X160" s="166" t="str">
        <f>IF('Data_ Contrats'!O161="T",'Data_ Contrats'!A161," ")</f>
        <v xml:space="preserve"> </v>
      </c>
    </row>
    <row r="161" spans="24:24">
      <c r="X161" s="166" t="str">
        <f>IF('Data_ Contrats'!O162="T",'Data_ Contrats'!A162," ")</f>
        <v xml:space="preserve"> </v>
      </c>
    </row>
    <row r="162" spans="24:24">
      <c r="X162" s="166" t="str">
        <f>IF('Data_ Contrats'!O163="T",'Data_ Contrats'!A163," ")</f>
        <v xml:space="preserve"> </v>
      </c>
    </row>
    <row r="163" spans="24:24">
      <c r="X163" s="166" t="str">
        <f>IF('Data_ Contrats'!O164="T",'Data_ Contrats'!A164," ")</f>
        <v xml:space="preserve"> </v>
      </c>
    </row>
    <row r="164" spans="24:24">
      <c r="X164" s="166" t="str">
        <f>IF('Data_ Contrats'!O165="T",'Data_ Contrats'!A165," ")</f>
        <v xml:space="preserve"> </v>
      </c>
    </row>
    <row r="165" spans="24:24">
      <c r="X165" s="166" t="str">
        <f>IF('Data_ Contrats'!O166="T",'Data_ Contrats'!A166," ")</f>
        <v xml:space="preserve"> </v>
      </c>
    </row>
    <row r="166" spans="24:24">
      <c r="X166" s="166" t="str">
        <f>IF('Data_ Contrats'!O167="T",'Data_ Contrats'!A167," ")</f>
        <v xml:space="preserve"> </v>
      </c>
    </row>
    <row r="167" spans="24:24">
      <c r="X167" s="166" t="str">
        <f>IF('Data_ Contrats'!O168="T",'Data_ Contrats'!A168," ")</f>
        <v>OPH Montreuillois</v>
      </c>
    </row>
    <row r="168" spans="24:24">
      <c r="X168" s="166" t="str">
        <f>IF('Data_ Contrats'!O169="T",'Data_ Contrats'!A169," ")</f>
        <v>OPH Montreuillois</v>
      </c>
    </row>
    <row r="169" spans="24:24">
      <c r="X169" s="166" t="str">
        <f>IF('Data_ Contrats'!O170="T",'Data_ Contrats'!A170," ")</f>
        <v xml:space="preserve"> </v>
      </c>
    </row>
    <row r="170" spans="24:24">
      <c r="X170" s="166" t="str">
        <f>IF('Data_ Contrats'!O171="T",'Data_ Contrats'!A171," ")</f>
        <v xml:space="preserve"> </v>
      </c>
    </row>
    <row r="171" spans="24:24">
      <c r="X171" s="166" t="str">
        <f>IF('Data_ Contrats'!O172="T",'Data_ Contrats'!A172," ")</f>
        <v xml:space="preserve"> </v>
      </c>
    </row>
    <row r="172" spans="24:24">
      <c r="X172" s="166" t="str">
        <f>IF('Data_ Contrats'!O173="T",'Data_ Contrats'!A173," ")</f>
        <v xml:space="preserve"> </v>
      </c>
    </row>
    <row r="173" spans="24:24">
      <c r="X173" s="166" t="str">
        <f>IF('Data_ Contrats'!O174="T",'Data_ Contrats'!A174," ")</f>
        <v xml:space="preserve"> </v>
      </c>
    </row>
    <row r="174" spans="24:24">
      <c r="X174" s="166" t="str">
        <f>IF('Data_ Contrats'!O175="T",'Data_ Contrats'!A175," ")</f>
        <v xml:space="preserve"> </v>
      </c>
    </row>
    <row r="175" spans="24:24">
      <c r="X175" s="166" t="str">
        <f>IF('Data_ Contrats'!O176="T",'Data_ Contrats'!A176," ")</f>
        <v xml:space="preserve"> </v>
      </c>
    </row>
    <row r="176" spans="24:24">
      <c r="X176" s="166" t="str">
        <f>IF('Data_ Contrats'!O177="T",'Data_ Contrats'!A177," ")</f>
        <v xml:space="preserve"> </v>
      </c>
    </row>
    <row r="177" spans="24:24">
      <c r="X177" s="166" t="str">
        <f>IF('Data_ Contrats'!O178="T",'Data_ Contrats'!A178," ")</f>
        <v xml:space="preserve"> </v>
      </c>
    </row>
    <row r="178" spans="24:24">
      <c r="X178" s="166" t="str">
        <f>IF('Data_ Contrats'!O179="T",'Data_ Contrats'!A179," ")</f>
        <v xml:space="preserve"> </v>
      </c>
    </row>
    <row r="179" spans="24:24">
      <c r="X179" s="166" t="str">
        <f>IF('Data_ Contrats'!O180="T",'Data_ Contrats'!A180," ")</f>
        <v>Patrimoine SA</v>
      </c>
    </row>
    <row r="180" spans="24:24">
      <c r="X180" s="166" t="str">
        <f>IF('Data_ Contrats'!O181="T",'Data_ Contrats'!A181," ")</f>
        <v>Perial - PFO2 - PF1</v>
      </c>
    </row>
    <row r="181" spans="24:24">
      <c r="X181" s="166" t="str">
        <f>IF('Data_ Contrats'!O182="T",'Data_ Contrats'!A182," ")</f>
        <v>Plurial Novilia</v>
      </c>
    </row>
    <row r="182" spans="24:24">
      <c r="X182" s="166" t="str">
        <f>IF('Data_ Contrats'!O183="T",'Data_ Contrats'!A183," ")</f>
        <v>Plurial Novilia</v>
      </c>
    </row>
    <row r="183" spans="24:24">
      <c r="X183" s="166" t="str">
        <f>IF('Data_ Contrats'!O184="T",'Data_ Contrats'!A184," ")</f>
        <v xml:space="preserve"> </v>
      </c>
    </row>
    <row r="184" spans="24:24">
      <c r="X184" s="166" t="str">
        <f>IF('Data_ Contrats'!O185="T",'Data_ Contrats'!A185," ")</f>
        <v xml:space="preserve"> </v>
      </c>
    </row>
    <row r="185" spans="24:24">
      <c r="X185" s="166" t="str">
        <f>IF('Data_ Contrats'!O186="T",'Data_ Contrats'!A186," ")</f>
        <v xml:space="preserve"> </v>
      </c>
    </row>
    <row r="186" spans="24:24">
      <c r="X186" s="166" t="str">
        <f>IF('Data_ Contrats'!O187="T",'Data_ Contrats'!A187," ")</f>
        <v xml:space="preserve"> </v>
      </c>
    </row>
    <row r="187" spans="24:24">
      <c r="X187" s="166" t="str">
        <f>IF('Data_ Contrats'!O188="T",'Data_ Contrats'!A188," ")</f>
        <v xml:space="preserve"> </v>
      </c>
    </row>
    <row r="188" spans="24:24">
      <c r="X188" s="166" t="str">
        <f>IF('Data_ Contrats'!O189="T",'Data_ Contrats'!A189," ")</f>
        <v>Ramada Brussels Woluwe</v>
      </c>
    </row>
    <row r="189" spans="24:24">
      <c r="X189" s="166" t="str">
        <f>IF('Data_ Contrats'!O190="T",'Data_ Contrats'!A190," ")</f>
        <v xml:space="preserve"> </v>
      </c>
    </row>
    <row r="190" spans="24:24">
      <c r="X190" s="166" t="str">
        <f>IF('Data_ Contrats'!O191="T",'Data_ Contrats'!A191," ")</f>
        <v xml:space="preserve"> </v>
      </c>
    </row>
    <row r="191" spans="24:24">
      <c r="X191" s="166" t="str">
        <f>IF('Data_ Contrats'!O192="T",'Data_ Contrats'!A192," ")</f>
        <v>Residhome Roissy Village</v>
      </c>
    </row>
    <row r="192" spans="24:24">
      <c r="X192" s="166" t="str">
        <f>IF('Data_ Contrats'!O193="T",'Data_ Contrats'!A193," ")</f>
        <v xml:space="preserve"> </v>
      </c>
    </row>
    <row r="193" spans="24:24">
      <c r="X193" s="166" t="str">
        <f>IF('Data_ Contrats'!O194="T",'Data_ Contrats'!A194," ")</f>
        <v xml:space="preserve"> </v>
      </c>
    </row>
    <row r="194" spans="24:24">
      <c r="X194" s="166" t="str">
        <f>IF('Data_ Contrats'!O195="T",'Data_ Contrats'!A195," ")</f>
        <v>SARL DT 6 NANTES</v>
      </c>
    </row>
    <row r="195" spans="24:24">
      <c r="X195" s="166" t="str">
        <f>IF('Data_ Contrats'!O196="T",'Data_ Contrats'!A196," ")</f>
        <v xml:space="preserve"> </v>
      </c>
    </row>
    <row r="196" spans="24:24">
      <c r="X196" s="166" t="str">
        <f>IF('Data_ Contrats'!O197="T",'Data_ Contrats'!A197," ")</f>
        <v xml:space="preserve"> </v>
      </c>
    </row>
    <row r="197" spans="24:24">
      <c r="X197" s="166" t="str">
        <f>IF('Data_ Contrats'!O198="T",'Data_ Contrats'!A198," ")</f>
        <v xml:space="preserve"> </v>
      </c>
    </row>
    <row r="198" spans="24:24">
      <c r="X198" s="166" t="str">
        <f>IF('Data_ Contrats'!O199="T",'Data_ Contrats'!A199," ")</f>
        <v xml:space="preserve"> </v>
      </c>
    </row>
    <row r="199" spans="24:24">
      <c r="X199" s="166" t="str">
        <f>IF('Data_ Contrats'!O200="T",'Data_ Contrats'!A200," ")</f>
        <v xml:space="preserve"> </v>
      </c>
    </row>
    <row r="200" spans="24:24">
      <c r="X200" s="166" t="str">
        <f>IF('Data_ Contrats'!O201="T",'Data_ Contrats'!A201," ")</f>
        <v>Société Lorraine Habitat Nancy</v>
      </c>
    </row>
    <row r="201" spans="24:24">
      <c r="X201" s="166" t="str">
        <f>IF('Data_ Contrats'!O202="T",'Data_ Contrats'!A202," ")</f>
        <v xml:space="preserve"> </v>
      </c>
    </row>
    <row r="202" spans="24:24">
      <c r="X202" s="166" t="str">
        <f>IF('Data_ Contrats'!O203="T",'Data_ Contrats'!A203," ")</f>
        <v xml:space="preserve"> </v>
      </c>
    </row>
    <row r="203" spans="24:24">
      <c r="X203" s="166" t="str">
        <f>IF('Data_ Contrats'!O204="T",'Data_ Contrats'!A204," ")</f>
        <v xml:space="preserve"> </v>
      </c>
    </row>
    <row r="204" spans="24:24">
      <c r="X204" s="166" t="str">
        <f>IF('Data_ Contrats'!O205="T",'Data_ Contrats'!A205," ")</f>
        <v xml:space="preserve"> </v>
      </c>
    </row>
    <row r="205" spans="24:24">
      <c r="X205" s="166" t="str">
        <f>IF('Data_ Contrats'!O206="T",'Data_ Contrats'!A206," ")</f>
        <v xml:space="preserve"> </v>
      </c>
    </row>
    <row r="206" spans="24:24">
      <c r="X206" s="166" t="str">
        <f>IF('Data_ Contrats'!O207="T",'Data_ Contrats'!A207," ")</f>
        <v xml:space="preserve"> </v>
      </c>
    </row>
    <row r="207" spans="24:24">
      <c r="X207" s="166" t="str">
        <f>IF('Data_ Contrats'!O208="T",'Data_ Contrats'!A208," ")</f>
        <v xml:space="preserve"> </v>
      </c>
    </row>
    <row r="208" spans="24:24">
      <c r="X208" s="166" t="str">
        <f>IF('Data_ Contrats'!O209="T",'Data_ Contrats'!A209," ")</f>
        <v>Swiss-Life REIM</v>
      </c>
    </row>
    <row r="209" spans="24:24">
      <c r="X209" s="166" t="str">
        <f>IF('Data_ Contrats'!O210="T",'Data_ Contrats'!A210," ")</f>
        <v>Syndicat Résidence Studea Maisons-Alfort</v>
      </c>
    </row>
    <row r="210" spans="24:24">
      <c r="X210" s="166" t="str">
        <f>IF('Data_ Contrats'!O211="T",'Data_ Contrats'!A211," ")</f>
        <v xml:space="preserve"> </v>
      </c>
    </row>
    <row r="211" spans="24:24">
      <c r="X211" s="166" t="str">
        <f>IF('Data_ Contrats'!O212="T",'Data_ Contrats'!A212," ")</f>
        <v xml:space="preserve"> </v>
      </c>
    </row>
    <row r="212" spans="24:24">
      <c r="X212" s="166" t="str">
        <f>IF('Data_ Contrats'!O213="T",'Data_ Contrats'!A213," ")</f>
        <v xml:space="preserve"> </v>
      </c>
    </row>
    <row r="213" spans="24:24">
      <c r="X213" s="166" t="str">
        <f>IF('Data_ Contrats'!O214="T",'Data_ Contrats'!A214," ")</f>
        <v xml:space="preserve"> </v>
      </c>
    </row>
    <row r="214" spans="24:24">
      <c r="X214" s="166" t="str">
        <f>IF('Data_ Contrats'!O215="T",'Data_ Contrats'!A215," ")</f>
        <v xml:space="preserve"> </v>
      </c>
    </row>
    <row r="215" spans="24:24">
      <c r="X215" s="166" t="str">
        <f>IF('Data_ Contrats'!O216="T",'Data_ Contrats'!A216," ")</f>
        <v xml:space="preserve"> </v>
      </c>
    </row>
    <row r="216" spans="24:24">
      <c r="X216" s="166" t="str">
        <f>IF('Data_ Contrats'!O217="T",'Data_ Contrats'!A217," ")</f>
        <v xml:space="preserve"> </v>
      </c>
    </row>
    <row r="217" spans="24:24">
      <c r="X217" s="166" t="str">
        <f>IF('Data_ Contrats'!O218="T",'Data_ Contrats'!A218," ")</f>
        <v xml:space="preserve"> </v>
      </c>
    </row>
    <row r="218" spans="24:24">
      <c r="X218" s="166" t="str">
        <f>IF('Data_ Contrats'!O219="T",'Data_ Contrats'!A219," ")</f>
        <v xml:space="preserve"> </v>
      </c>
    </row>
    <row r="219" spans="24:24">
      <c r="X219" s="166" t="str">
        <f>IF('Data_ Contrats'!O220="T",'Data_ Contrats'!A220," ")</f>
        <v xml:space="preserve"> </v>
      </c>
    </row>
    <row r="220" spans="24:24">
      <c r="X220" s="166" t="str">
        <f>IF('Data_ Contrats'!O221="T",'Data_ Contrats'!A221," ")</f>
        <v xml:space="preserve"> </v>
      </c>
    </row>
    <row r="221" spans="24:24">
      <c r="X221" s="166" t="str">
        <f>IF('Data_ Contrats'!O222="T",'Data_ Contrats'!A222," ")</f>
        <v xml:space="preserve"> </v>
      </c>
    </row>
    <row r="222" spans="24:24">
      <c r="X222" s="166" t="str">
        <f>IF('Data_ Contrats'!O223="T",'Data_ Contrats'!A223," ")</f>
        <v xml:space="preserve"> </v>
      </c>
    </row>
    <row r="223" spans="24:24">
      <c r="X223" s="166" t="str">
        <f>IF('Data_ Contrats'!O224="T",'Data_ Contrats'!A224," ")</f>
        <v xml:space="preserve"> </v>
      </c>
    </row>
    <row r="224" spans="24:24">
      <c r="X224" s="166" t="str">
        <f>IF('Data_ Contrats'!O225="T",'Data_ Contrats'!A225," ")</f>
        <v xml:space="preserve"> </v>
      </c>
    </row>
    <row r="225" spans="24:24">
      <c r="X225" s="166" t="str">
        <f>IF('Data_ Contrats'!O226="T",'Data_ Contrats'!A226," ")</f>
        <v xml:space="preserve"> </v>
      </c>
    </row>
    <row r="226" spans="24:24">
      <c r="X226" s="166" t="str">
        <f>IF('Data_ Contrats'!O227="T",'Data_ Contrats'!A227," ")</f>
        <v xml:space="preserve"> </v>
      </c>
    </row>
    <row r="227" spans="24:24">
      <c r="X227" s="166" t="str">
        <f>IF('Data_ Contrats'!O228="T",'Data_ Contrats'!A228," ")</f>
        <v xml:space="preserve"> </v>
      </c>
    </row>
    <row r="228" spans="24:24">
      <c r="X228" s="166" t="str">
        <f>IF('Data_ Contrats'!O229="T",'Data_ Contrats'!A229," ")</f>
        <v xml:space="preserve"> </v>
      </c>
    </row>
    <row r="229" spans="24:24">
      <c r="X229" s="166" t="str">
        <f>IF('Data_ Contrats'!O230="T",'Data_ Contrats'!A230," ")</f>
        <v xml:space="preserve"> </v>
      </c>
    </row>
    <row r="230" spans="24:24">
      <c r="X230" s="166" t="str">
        <f>IF('Data_ Contrats'!O231="T",'Data_ Contrats'!A231," ")</f>
        <v xml:space="preserve"> </v>
      </c>
    </row>
    <row r="231" spans="24:24">
      <c r="X231" s="166" t="str">
        <f>IF('Data_ Contrats'!O232="T",'Data_ Contrats'!A232," ")</f>
        <v xml:space="preserve"> </v>
      </c>
    </row>
    <row r="232" spans="24:24">
      <c r="X232" s="166" t="str">
        <f>IF('Data_ Contrats'!O233="T",'Data_ Contrats'!A233," ")</f>
        <v xml:space="preserve"> </v>
      </c>
    </row>
    <row r="233" spans="24:24">
      <c r="X233" s="166" t="str">
        <f>IF('Data_ Contrats'!O234="T",'Data_ Contrats'!A234," ")</f>
        <v xml:space="preserve"> </v>
      </c>
    </row>
    <row r="234" spans="24:24">
      <c r="X234" s="166" t="str">
        <f>IF('Data_ Contrats'!O235="T",'Data_ Contrats'!A235," ")</f>
        <v xml:space="preserve"> </v>
      </c>
    </row>
    <row r="235" spans="24:24">
      <c r="X235" s="166" t="str">
        <f>IF('Data_ Contrats'!O236="T",'Data_ Contrats'!A236," ")</f>
        <v xml:space="preserve"> </v>
      </c>
    </row>
    <row r="236" spans="24:24">
      <c r="X236" s="166" t="str">
        <f>IF('Data_ Contrats'!O237="T",'Data_ Contrats'!A237," ")</f>
        <v xml:space="preserve"> </v>
      </c>
    </row>
    <row r="237" spans="24:24">
      <c r="X237" s="166" t="str">
        <f>IF('Data_ Contrats'!O238="T",'Data_ Contrats'!A238," ")</f>
        <v xml:space="preserve"> </v>
      </c>
    </row>
    <row r="238" spans="24:24">
      <c r="X238" s="166" t="str">
        <f>IF('Data_ Contrats'!O239="T",'Data_ Contrats'!A239," ")</f>
        <v xml:space="preserve"> </v>
      </c>
    </row>
    <row r="239" spans="24:24">
      <c r="X239" s="166" t="str">
        <f>IF('Data_ Contrats'!O240="T",'Data_ Contrats'!A240," ")</f>
        <v xml:space="preserve"> </v>
      </c>
    </row>
    <row r="240" spans="24:24">
      <c r="X240" s="166" t="str">
        <f>IF('Data_ Contrats'!O241="T",'Data_ Contrats'!A241," ")</f>
        <v xml:space="preserve"> </v>
      </c>
    </row>
    <row r="241" spans="24:24">
      <c r="X241" s="166" t="str">
        <f>IF('Data_ Contrats'!O242="T",'Data_ Contrats'!A242," ")</f>
        <v xml:space="preserve"> </v>
      </c>
    </row>
    <row r="242" spans="24:24">
      <c r="X242" s="166" t="str">
        <f>IF('Data_ Contrats'!O243="T",'Data_ Contrats'!A243," ")</f>
        <v xml:space="preserve"> </v>
      </c>
    </row>
    <row r="243" spans="24:24">
      <c r="X243" s="166" t="str">
        <f>IF('Data_ Contrats'!O244="T",'Data_ Contrats'!A244," ")</f>
        <v xml:space="preserve"> </v>
      </c>
    </row>
    <row r="244" spans="24:24">
      <c r="X244" s="166" t="str">
        <f>IF('Data_ Contrats'!O245="T",'Data_ Contrats'!A245," ")</f>
        <v xml:space="preserve"> </v>
      </c>
    </row>
    <row r="245" spans="24:24">
      <c r="X245" s="166" t="str">
        <f>IF('Data_ Contrats'!O246="T",'Data_ Contrats'!A246," ")</f>
        <v xml:space="preserve"> </v>
      </c>
    </row>
    <row r="246" spans="24:24">
      <c r="X246" s="166" t="str">
        <f>IF('Data_ Contrats'!O247="T",'Data_ Contrats'!A247," ")</f>
        <v xml:space="preserve"> </v>
      </c>
    </row>
    <row r="247" spans="24:24">
      <c r="X247" s="166" t="str">
        <f>IF('Data_ Contrats'!O248="T",'Data_ Contrats'!A248," ")</f>
        <v xml:space="preserve"> </v>
      </c>
    </row>
    <row r="248" spans="24:24">
      <c r="X248" s="166" t="str">
        <f>IF('Data_ Contrats'!O249="T",'Data_ Contrats'!A249," ")</f>
        <v xml:space="preserve"> </v>
      </c>
    </row>
    <row r="249" spans="24:24">
      <c r="X249" s="166" t="str">
        <f>IF('Data_ Contrats'!O250="T",'Data_ Contrats'!A250," ")</f>
        <v xml:space="preserve"> </v>
      </c>
    </row>
    <row r="250" spans="24:24">
      <c r="X250" s="166" t="str">
        <f>IF('Data_ Contrats'!O251="T",'Data_ Contrats'!A251," ")</f>
        <v xml:space="preserve"> </v>
      </c>
    </row>
    <row r="251" spans="24:24">
      <c r="X251" s="166" t="str">
        <f>IF('Data_ Contrats'!O252="T",'Data_ Contrats'!A252," ")</f>
        <v xml:space="preserve"> </v>
      </c>
    </row>
    <row r="252" spans="24:24">
      <c r="X252" s="166" t="str">
        <f>IF('Data_ Contrats'!O253="T",'Data_ Contrats'!A253," ")</f>
        <v xml:space="preserve"> </v>
      </c>
    </row>
    <row r="253" spans="24:24">
      <c r="X253" s="166" t="str">
        <f>IF('Data_ Contrats'!O254="T",'Data_ Contrats'!A254," ")</f>
        <v xml:space="preserve"> </v>
      </c>
    </row>
    <row r="254" spans="24:24">
      <c r="X254" s="166" t="str">
        <f>IF('Data_ Contrats'!O255="T",'Data_ Contrats'!A255," ")</f>
        <v xml:space="preserve"> </v>
      </c>
    </row>
    <row r="255" spans="24:24">
      <c r="X255" s="166" t="str">
        <f>IF('Data_ Contrats'!O256="T",'Data_ Contrats'!A256," ")</f>
        <v xml:space="preserve"> </v>
      </c>
    </row>
    <row r="256" spans="24:24">
      <c r="X256" s="166" t="str">
        <f>IF('Data_ Contrats'!O257="T",'Data_ Contrats'!A257," ")</f>
        <v xml:space="preserve"> </v>
      </c>
    </row>
    <row r="257" spans="24:24">
      <c r="X257" s="166" t="str">
        <f>IF('Data_ Contrats'!O258="T",'Data_ Contrats'!A258," ")</f>
        <v xml:space="preserve"> </v>
      </c>
    </row>
    <row r="258" spans="24:24">
      <c r="X258" s="166" t="str">
        <f>IF('Data_ Contrats'!O259="T",'Data_ Contrats'!A259," ")</f>
        <v xml:space="preserve"> </v>
      </c>
    </row>
    <row r="259" spans="24:24">
      <c r="X259" s="166" t="str">
        <f>IF('Data_ Contrats'!O260="T",'Data_ Contrats'!A260," ")</f>
        <v xml:space="preserve"> </v>
      </c>
    </row>
    <row r="260" spans="24:24">
      <c r="X260" s="166" t="str">
        <f>IF('Data_ Contrats'!O261="T",'Data_ Contrats'!A261," ")</f>
        <v xml:space="preserve"> </v>
      </c>
    </row>
    <row r="261" spans="24:24">
      <c r="X261" s="166" t="str">
        <f>IF('Data_ Contrats'!O262="T",'Data_ Contrats'!A262," ")</f>
        <v xml:space="preserve"> </v>
      </c>
    </row>
    <row r="262" spans="24:24">
      <c r="X262" s="166" t="str">
        <f>IF('Data_ Contrats'!O263="T",'Data_ Contrats'!A263," ")</f>
        <v xml:space="preserve"> </v>
      </c>
    </row>
    <row r="263" spans="24:24">
      <c r="X263" s="166" t="str">
        <f>IF('Data_ Contrats'!O264="T",'Data_ Contrats'!A264," ")</f>
        <v xml:space="preserve"> </v>
      </c>
    </row>
    <row r="264" spans="24:24">
      <c r="X264" s="166" t="str">
        <f>IF('Data_ Contrats'!O265="T",'Data_ Contrats'!A265," ")</f>
        <v xml:space="preserve"> </v>
      </c>
    </row>
    <row r="265" spans="24:24">
      <c r="X265" s="166" t="str">
        <f>IF('Data_ Contrats'!O266="T",'Data_ Contrats'!A266," ")</f>
        <v xml:space="preserve"> </v>
      </c>
    </row>
    <row r="266" spans="24:24">
      <c r="X266" s="166" t="str">
        <f>IF('Data_ Contrats'!O267="T",'Data_ Contrats'!A267," ")</f>
        <v xml:space="preserve"> </v>
      </c>
    </row>
    <row r="267" spans="24:24">
      <c r="X267" s="166" t="str">
        <f>IF('Data_ Contrats'!O268="T",'Data_ Contrats'!A268," ")</f>
        <v xml:space="preserve"> </v>
      </c>
    </row>
    <row r="268" spans="24:24">
      <c r="X268" s="166" t="str">
        <f>IF('Data_ Contrats'!O269="T",'Data_ Contrats'!A269," ")</f>
        <v xml:space="preserve"> </v>
      </c>
    </row>
    <row r="269" spans="24:24">
      <c r="X269" s="166" t="str">
        <f>IF('Data_ Contrats'!O270="T",'Data_ Contrats'!A270," ")</f>
        <v xml:space="preserve"> </v>
      </c>
    </row>
    <row r="270" spans="24:24">
      <c r="X270" s="166" t="str">
        <f>IF('Data_ Contrats'!O271="T",'Data_ Contrats'!A271," ")</f>
        <v xml:space="preserve"> </v>
      </c>
    </row>
    <row r="271" spans="24:24">
      <c r="X271" s="166" t="str">
        <f>IF('Data_ Contrats'!O272="T",'Data_ Contrats'!A272," ")</f>
        <v xml:space="preserve"> </v>
      </c>
    </row>
    <row r="272" spans="24:24">
      <c r="X272" s="166" t="str">
        <f>IF('Data_ Contrats'!O273="T",'Data_ Contrats'!A273," ")</f>
        <v xml:space="preserve"> </v>
      </c>
    </row>
    <row r="273" spans="24:24">
      <c r="X273" s="166" t="str">
        <f>IF('Data_ Contrats'!O274="T",'Data_ Contrats'!A274," ")</f>
        <v xml:space="preserve"> </v>
      </c>
    </row>
    <row r="274" spans="24:24">
      <c r="X274" s="166" t="str">
        <f>IF('Data_ Contrats'!O275="T",'Data_ Contrats'!A275," ")</f>
        <v xml:space="preserve"> </v>
      </c>
    </row>
    <row r="275" spans="24:24">
      <c r="X275" s="166" t="str">
        <f>IF('Data_ Contrats'!O276="T",'Data_ Contrats'!A276," ")</f>
        <v xml:space="preserve"> </v>
      </c>
    </row>
    <row r="276" spans="24:24">
      <c r="X276" s="166" t="str">
        <f>IF('Data_ Contrats'!O277="T",'Data_ Contrats'!A277," ")</f>
        <v xml:space="preserve"> </v>
      </c>
    </row>
    <row r="277" spans="24:24">
      <c r="X277" s="166" t="str">
        <f>IF('Data_ Contrats'!O278="T",'Data_ Contrats'!A278," ")</f>
        <v xml:space="preserve"> </v>
      </c>
    </row>
    <row r="278" spans="24:24">
      <c r="X278" s="166" t="str">
        <f>IF('Data_ Contrats'!O279="T",'Data_ Contrats'!A279," ")</f>
        <v xml:space="preserve"> </v>
      </c>
    </row>
    <row r="279" spans="24:24">
      <c r="X279" s="166" t="str">
        <f>IF('Data_ Contrats'!O280="T",'Data_ Contrats'!A280," ")</f>
        <v xml:space="preserve"> </v>
      </c>
    </row>
    <row r="280" spans="24:24">
      <c r="X280" s="166" t="str">
        <f>IF('Data_ Contrats'!O281="T",'Data_ Contrats'!A281," ")</f>
        <v xml:space="preserve"> </v>
      </c>
    </row>
    <row r="281" spans="24:24">
      <c r="X281" s="166" t="str">
        <f>IF('Data_ Contrats'!O282="T",'Data_ Contrats'!A282," ")</f>
        <v xml:space="preserve"> </v>
      </c>
    </row>
    <row r="282" spans="24:24">
      <c r="X282" s="166" t="str">
        <f>IF('Data_ Contrats'!O283="T",'Data_ Contrats'!A283," ")</f>
        <v xml:space="preserve"> </v>
      </c>
    </row>
    <row r="283" spans="24:24">
      <c r="X283" s="166" t="str">
        <f>IF('Data_ Contrats'!O284="T",'Data_ Contrats'!A284," ")</f>
        <v xml:space="preserve"> </v>
      </c>
    </row>
    <row r="284" spans="24:24">
      <c r="X284" s="166" t="str">
        <f>IF('Data_ Contrats'!O285="T",'Data_ Contrats'!A285," ")</f>
        <v xml:space="preserve"> </v>
      </c>
    </row>
    <row r="285" spans="24:24">
      <c r="X285" s="166" t="str">
        <f>IF('Data_ Contrats'!O286="T",'Data_ Contrats'!A286," ")</f>
        <v xml:space="preserve"> </v>
      </c>
    </row>
    <row r="286" spans="24:24">
      <c r="X286" s="166" t="str">
        <f>IF('Data_ Contrats'!O287="T",'Data_ Contrats'!A287," ")</f>
        <v xml:space="preserve"> </v>
      </c>
    </row>
    <row r="287" spans="24:24">
      <c r="X287" s="166" t="str">
        <f>IF('Data_ Contrats'!O288="T",'Data_ Contrats'!A288," ")</f>
        <v xml:space="preserve"> </v>
      </c>
    </row>
    <row r="288" spans="24:24">
      <c r="X288" s="166" t="str">
        <f>IF('Data_ Contrats'!O289="T",'Data_ Contrats'!A289," ")</f>
        <v xml:space="preserve"> </v>
      </c>
    </row>
    <row r="289" spans="24:24">
      <c r="X289" s="166" t="str">
        <f>IF('Data_ Contrats'!O290="T",'Data_ Contrats'!A290," ")</f>
        <v xml:space="preserve"> </v>
      </c>
    </row>
    <row r="290" spans="24:24">
      <c r="X290" s="166" t="str">
        <f>IF('Data_ Contrats'!O291="T",'Data_ Contrats'!A291," ")</f>
        <v xml:space="preserve"> </v>
      </c>
    </row>
    <row r="291" spans="24:24">
      <c r="X291" s="166" t="str">
        <f>IF('Data_ Contrats'!O292="T",'Data_ Contrats'!A292," ")</f>
        <v xml:space="preserve"> </v>
      </c>
    </row>
    <row r="292" spans="24:24">
      <c r="X292" s="166" t="str">
        <f>IF('Data_ Contrats'!O293="T",'Data_ Contrats'!A293," ")</f>
        <v xml:space="preserve"> </v>
      </c>
    </row>
    <row r="293" spans="24:24">
      <c r="X293" s="166" t="str">
        <f>IF('Data_ Contrats'!O294="T",'Data_ Contrats'!A294," ")</f>
        <v xml:space="preserve"> </v>
      </c>
    </row>
    <row r="294" spans="24:24">
      <c r="X294" s="166" t="str">
        <f>IF('Data_ Contrats'!O295="T",'Data_ Contrats'!A295," ")</f>
        <v xml:space="preserve"> </v>
      </c>
    </row>
    <row r="295" spans="24:24">
      <c r="X295" s="166" t="str">
        <f>IF('Data_ Contrats'!O296="T",'Data_ Contrats'!A296," ")</f>
        <v xml:space="preserve"> </v>
      </c>
    </row>
    <row r="296" spans="24:24">
      <c r="X296" s="166" t="str">
        <f>IF('Data_ Contrats'!O297="T",'Data_ Contrats'!A297," ")</f>
        <v xml:space="preserve"> </v>
      </c>
    </row>
    <row r="297" spans="24:24">
      <c r="X297" s="166" t="str">
        <f>IF('Data_ Contrats'!O298="T",'Data_ Contrats'!A298," ")</f>
        <v xml:space="preserve"> </v>
      </c>
    </row>
    <row r="298" spans="24:24">
      <c r="X298" s="166" t="str">
        <f>IF('Data_ Contrats'!O299="T",'Data_ Contrats'!A299," ")</f>
        <v xml:space="preserve"> </v>
      </c>
    </row>
    <row r="299" spans="24:24">
      <c r="X299" s="166" t="str">
        <f>IF('Data_ Contrats'!O300="T",'Data_ Contrats'!A300," ")</f>
        <v xml:space="preserve"> </v>
      </c>
    </row>
    <row r="300" spans="24:24">
      <c r="X300" s="166" t="str">
        <f>IF('Data_ Contrats'!O301="T",'Data_ Contrats'!A301," ")</f>
        <v xml:space="preserve"> </v>
      </c>
    </row>
    <row r="301" spans="24:24">
      <c r="X301" s="166" t="str">
        <f>IF('Data_ Contrats'!O302="T",'Data_ Contrats'!A302," ")</f>
        <v xml:space="preserve"> </v>
      </c>
    </row>
    <row r="302" spans="24:24">
      <c r="X302" s="166" t="str">
        <f>IF('Data_ Contrats'!O303="T",'Data_ Contrats'!A303," ")</f>
        <v xml:space="preserve"> </v>
      </c>
    </row>
    <row r="303" spans="24:24">
      <c r="X303" s="166" t="str">
        <f>IF('Data_ Contrats'!O304="T",'Data_ Contrats'!A304," ")</f>
        <v xml:space="preserve"> </v>
      </c>
    </row>
    <row r="304" spans="24:24">
      <c r="X304" s="166" t="str">
        <f>IF('Data_ Contrats'!O305="T",'Data_ Contrats'!A305," ")</f>
        <v xml:space="preserve"> </v>
      </c>
    </row>
    <row r="305" spans="24:24">
      <c r="X305" s="166" t="str">
        <f>IF('Data_ Contrats'!O306="T",'Data_ Contrats'!A306," ")</f>
        <v xml:space="preserve"> </v>
      </c>
    </row>
    <row r="306" spans="24:24">
      <c r="X306" s="166" t="str">
        <f>IF('Data_ Contrats'!O307="T",'Data_ Contrats'!A307," ")</f>
        <v xml:space="preserve"> </v>
      </c>
    </row>
    <row r="307" spans="24:24">
      <c r="X307" s="166" t="str">
        <f>IF('Data_ Contrats'!O308="T",'Data_ Contrats'!A308," ")</f>
        <v xml:space="preserve"> </v>
      </c>
    </row>
    <row r="308" spans="24:24">
      <c r="X308" s="166" t="str">
        <f>IF('Data_ Contrats'!O309="T",'Data_ Contrats'!A309," ")</f>
        <v xml:space="preserve"> </v>
      </c>
    </row>
    <row r="309" spans="24:24">
      <c r="X309" s="166" t="str">
        <f>IF('Data_ Contrats'!O310="T",'Data_ Contrats'!A310," ")</f>
        <v xml:space="preserve"> </v>
      </c>
    </row>
    <row r="310" spans="24:24">
      <c r="X310" s="166" t="str">
        <f>IF('Data_ Contrats'!O311="T",'Data_ Contrats'!A311," ")</f>
        <v xml:space="preserve"> </v>
      </c>
    </row>
    <row r="311" spans="24:24">
      <c r="X311" s="166" t="str">
        <f>IF('Data_ Contrats'!O312="T",'Data_ Contrats'!A312," ")</f>
        <v xml:space="preserve"> </v>
      </c>
    </row>
    <row r="312" spans="24:24">
      <c r="X312" s="166" t="str">
        <f>IF('Data_ Contrats'!O313="T",'Data_ Contrats'!A313," ")</f>
        <v xml:space="preserve"> </v>
      </c>
    </row>
    <row r="313" spans="24:24">
      <c r="X313" s="166" t="str">
        <f>IF('Data_ Contrats'!O314="T",'Data_ Contrats'!A314," ")</f>
        <v xml:space="preserve"> </v>
      </c>
    </row>
    <row r="314" spans="24:24">
      <c r="X314" s="166" t="str">
        <f>IF('Data_ Contrats'!O315="T",'Data_ Contrats'!A315," ")</f>
        <v xml:space="preserve"> </v>
      </c>
    </row>
    <row r="315" spans="24:24">
      <c r="X315" s="166" t="str">
        <f>IF('Data_ Contrats'!O316="T",'Data_ Contrats'!A316," ")</f>
        <v xml:space="preserve"> </v>
      </c>
    </row>
    <row r="316" spans="24:24">
      <c r="X316" s="166" t="str">
        <f>IF('Data_ Contrats'!O317="T",'Data_ Contrats'!A317," ")</f>
        <v xml:space="preserve"> </v>
      </c>
    </row>
    <row r="317" spans="24:24">
      <c r="X317" s="166" t="str">
        <f>IF('Data_ Contrats'!O318="T",'Data_ Contrats'!A318," ")</f>
        <v xml:space="preserve"> </v>
      </c>
    </row>
    <row r="318" spans="24:24">
      <c r="X318" s="166" t="str">
        <f>IF('Data_ Contrats'!O319="T",'Data_ Contrats'!A319," ")</f>
        <v xml:space="preserve"> </v>
      </c>
    </row>
    <row r="319" spans="24:24">
      <c r="X319" s="166" t="str">
        <f>IF('Data_ Contrats'!O320="T",'Data_ Contrats'!A320," ")</f>
        <v xml:space="preserve"> </v>
      </c>
    </row>
    <row r="320" spans="24:24">
      <c r="X320" s="166" t="str">
        <f>IF('Data_ Contrats'!O321="T",'Data_ Contrats'!A321," ")</f>
        <v xml:space="preserve"> </v>
      </c>
    </row>
    <row r="321" spans="24:24">
      <c r="X321" s="166" t="str">
        <f>IF('Data_ Contrats'!O322="T",'Data_ Contrats'!A322," ")</f>
        <v xml:space="preserve"> </v>
      </c>
    </row>
    <row r="322" spans="24:24">
      <c r="X322" s="166" t="str">
        <f>IF('Data_ Contrats'!O323="T",'Data_ Contrats'!A323," ")</f>
        <v xml:space="preserve"> </v>
      </c>
    </row>
    <row r="323" spans="24:24">
      <c r="X323" s="166" t="str">
        <f>IF('Data_ Contrats'!O324="T",'Data_ Contrats'!A324," ")</f>
        <v xml:space="preserve"> </v>
      </c>
    </row>
    <row r="324" spans="24:24">
      <c r="X324" s="166" t="str">
        <f>IF('Data_ Contrats'!O325="T",'Data_ Contrats'!A325," ")</f>
        <v xml:space="preserve"> </v>
      </c>
    </row>
    <row r="325" spans="24:24">
      <c r="X325" s="166" t="str">
        <f>IF('Data_ Contrats'!O326="T",'Data_ Contrats'!A326," ")</f>
        <v xml:space="preserve"> </v>
      </c>
    </row>
    <row r="326" spans="24:24">
      <c r="X326" s="166" t="str">
        <f>IF('Data_ Contrats'!O327="T",'Data_ Contrats'!A327," ")</f>
        <v xml:space="preserve"> </v>
      </c>
    </row>
    <row r="327" spans="24:24">
      <c r="X327" s="166" t="str">
        <f>IF('Data_ Contrats'!O328="T",'Data_ Contrats'!A328," ")</f>
        <v xml:space="preserve"> </v>
      </c>
    </row>
    <row r="328" spans="24:24">
      <c r="X328" s="166" t="str">
        <f>IF('Data_ Contrats'!O329="T",'Data_ Contrats'!A329," ")</f>
        <v xml:space="preserve"> </v>
      </c>
    </row>
    <row r="329" spans="24:24">
      <c r="X329" s="166" t="str">
        <f>IF('Data_ Contrats'!O330="T",'Data_ Contrats'!A330," ")</f>
        <v xml:space="preserve"> </v>
      </c>
    </row>
    <row r="330" spans="24:24">
      <c r="X330" s="166" t="str">
        <f>IF('Data_ Contrats'!O331="T",'Data_ Contrats'!A331," ")</f>
        <v xml:space="preserve"> </v>
      </c>
    </row>
    <row r="331" spans="24:24">
      <c r="X331" s="166" t="str">
        <f>IF('Data_ Contrats'!O332="T",'Data_ Contrats'!A332," ")</f>
        <v xml:space="preserve"> </v>
      </c>
    </row>
    <row r="332" spans="24:24">
      <c r="X332" s="166" t="str">
        <f>IF('Data_ Contrats'!O333="T",'Data_ Contrats'!A333," ")</f>
        <v xml:space="preserve"> </v>
      </c>
    </row>
    <row r="333" spans="24:24">
      <c r="X333" s="166" t="str">
        <f>IF('Data_ Contrats'!O334="T",'Data_ Contrats'!A334," ")</f>
        <v xml:space="preserve"> </v>
      </c>
    </row>
    <row r="334" spans="24:24">
      <c r="X334" s="166" t="str">
        <f>IF('Data_ Contrats'!O335="T",'Data_ Contrats'!A335," ")</f>
        <v xml:space="preserve"> </v>
      </c>
    </row>
    <row r="335" spans="24:24">
      <c r="X335" s="166" t="str">
        <f>IF('Data_ Contrats'!O336="T",'Data_ Contrats'!A336," ")</f>
        <v xml:space="preserve"> </v>
      </c>
    </row>
    <row r="336" spans="24:24">
      <c r="X336" s="166" t="str">
        <f>IF('Data_ Contrats'!O337="T",'Data_ Contrats'!A337," ")</f>
        <v xml:space="preserve"> </v>
      </c>
    </row>
    <row r="337" spans="24:24">
      <c r="X337" s="166" t="str">
        <f>IF('Data_ Contrats'!O338="T",'Data_ Contrats'!A338," ")</f>
        <v xml:space="preserve"> </v>
      </c>
    </row>
    <row r="338" spans="24:24">
      <c r="X338" s="166" t="str">
        <f>IF('Data_ Contrats'!O339="T",'Data_ Contrats'!A339," ")</f>
        <v xml:space="preserve"> </v>
      </c>
    </row>
    <row r="339" spans="24:24">
      <c r="X339" s="166" t="str">
        <f>IF('Data_ Contrats'!O340="T",'Data_ Contrats'!A340," ")</f>
        <v xml:space="preserve"> </v>
      </c>
    </row>
    <row r="340" spans="24:24">
      <c r="X340" s="166" t="str">
        <f>IF('Data_ Contrats'!O341="T",'Data_ Contrats'!A341," ")</f>
        <v xml:space="preserve"> </v>
      </c>
    </row>
    <row r="341" spans="24:24">
      <c r="X341" s="166" t="str">
        <f>IF('Data_ Contrats'!O342="T",'Data_ Contrats'!A342," ")</f>
        <v xml:space="preserve"> </v>
      </c>
    </row>
    <row r="342" spans="24:24">
      <c r="X342" s="166" t="str">
        <f>IF('Data_ Contrats'!O343="T",'Data_ Contrats'!A343," ")</f>
        <v xml:space="preserve"> </v>
      </c>
    </row>
    <row r="343" spans="24:24">
      <c r="X343" s="166" t="str">
        <f>IF('Data_ Contrats'!O344="T",'Data_ Contrats'!A344," ")</f>
        <v xml:space="preserve"> </v>
      </c>
    </row>
    <row r="344" spans="24:24">
      <c r="X344" s="166" t="str">
        <f>IF('Data_ Contrats'!O345="T",'Data_ Contrats'!A345," ")</f>
        <v xml:space="preserve"> </v>
      </c>
    </row>
    <row r="345" spans="24:24">
      <c r="X345" s="166" t="str">
        <f>IF('Data_ Contrats'!O346="T",'Data_ Contrats'!A346," ")</f>
        <v xml:space="preserve"> </v>
      </c>
    </row>
    <row r="346" spans="24:24">
      <c r="X346" s="166" t="str">
        <f>IF('Data_ Contrats'!O347="T",'Data_ Contrats'!A347," ")</f>
        <v xml:space="preserve"> </v>
      </c>
    </row>
    <row r="347" spans="24:24">
      <c r="X347" s="166" t="str">
        <f>IF('Data_ Contrats'!O348="T",'Data_ Contrats'!A348," ")</f>
        <v xml:space="preserve"> </v>
      </c>
    </row>
    <row r="348" spans="24:24">
      <c r="X348" s="166" t="str">
        <f>IF('Data_ Contrats'!O349="T",'Data_ Contrats'!A349," ")</f>
        <v xml:space="preserve"> </v>
      </c>
    </row>
    <row r="349" spans="24:24">
      <c r="X349" s="166" t="str">
        <f>IF('Data_ Contrats'!O350="T",'Data_ Contrats'!A350," ")</f>
        <v xml:space="preserve"> </v>
      </c>
    </row>
    <row r="350" spans="24:24">
      <c r="X350" s="166" t="str">
        <f>IF('Data_ Contrats'!O351="T",'Data_ Contrats'!A351," ")</f>
        <v xml:space="preserve"> </v>
      </c>
    </row>
    <row r="351" spans="24:24">
      <c r="X351" s="166" t="str">
        <f>IF('Data_ Contrats'!O352="T",'Data_ Contrats'!A352," ")</f>
        <v xml:space="preserve"> </v>
      </c>
    </row>
    <row r="352" spans="24:24">
      <c r="X352" s="166" t="str">
        <f>IF('Data_ Contrats'!O353="T",'Data_ Contrats'!A353," ")</f>
        <v xml:space="preserve"> </v>
      </c>
    </row>
    <row r="353" spans="24:24">
      <c r="X353" s="166" t="str">
        <f>IF('Data_ Contrats'!O354="T",'Data_ Contrats'!A354," ")</f>
        <v xml:space="preserve"> </v>
      </c>
    </row>
    <row r="354" spans="24:24">
      <c r="X354" s="166" t="str">
        <f>IF('Data_ Contrats'!O355="T",'Data_ Contrats'!A355," ")</f>
        <v xml:space="preserve"> </v>
      </c>
    </row>
    <row r="355" spans="24:24">
      <c r="X355" s="166" t="str">
        <f>IF('Data_ Contrats'!O356="T",'Data_ Contrats'!A356," ")</f>
        <v xml:space="preserve"> </v>
      </c>
    </row>
    <row r="356" spans="24:24">
      <c r="X356" s="166" t="str">
        <f>IF('Data_ Contrats'!O357="T",'Data_ Contrats'!A357," ")</f>
        <v xml:space="preserve"> </v>
      </c>
    </row>
    <row r="357" spans="24:24">
      <c r="X357" s="166" t="str">
        <f>IF('Data_ Contrats'!O358="T",'Data_ Contrats'!A358," ")</f>
        <v xml:space="preserve"> </v>
      </c>
    </row>
    <row r="358" spans="24:24">
      <c r="X358" s="166" t="str">
        <f>IF('Data_ Contrats'!O359="T",'Data_ Contrats'!A359," ")</f>
        <v xml:space="preserve"> </v>
      </c>
    </row>
    <row r="359" spans="24:24">
      <c r="X359" s="166" t="str">
        <f>IF('Data_ Contrats'!O360="T",'Data_ Contrats'!A360," ")</f>
        <v xml:space="preserve"> </v>
      </c>
    </row>
    <row r="360" spans="24:24">
      <c r="X360" s="166" t="str">
        <f>IF('Data_ Contrats'!O361="T",'Data_ Contrats'!A361," ")</f>
        <v xml:space="preserve"> </v>
      </c>
    </row>
    <row r="361" spans="24:24">
      <c r="X361" s="166" t="str">
        <f>IF('Data_ Contrats'!O362="T",'Data_ Contrats'!A362," ")</f>
        <v xml:space="preserve"> </v>
      </c>
    </row>
    <row r="362" spans="24:24">
      <c r="X362" s="166" t="str">
        <f>IF('Data_ Contrats'!O363="T",'Data_ Contrats'!A363," ")</f>
        <v xml:space="preserve"> </v>
      </c>
    </row>
    <row r="363" spans="24:24">
      <c r="X363" s="166" t="str">
        <f>IF('Data_ Contrats'!O364="T",'Data_ Contrats'!A364," ")</f>
        <v xml:space="preserve"> </v>
      </c>
    </row>
    <row r="364" spans="24:24">
      <c r="X364" s="166" t="str">
        <f>IF('Data_ Contrats'!O365="T",'Data_ Contrats'!A365," ")</f>
        <v xml:space="preserve"> </v>
      </c>
    </row>
    <row r="365" spans="24:24">
      <c r="X365" s="166" t="str">
        <f>IF('Data_ Contrats'!O366="T",'Data_ Contrats'!A366," ")</f>
        <v xml:space="preserve"> </v>
      </c>
    </row>
    <row r="366" spans="24:24">
      <c r="X366" s="166" t="str">
        <f>IF('Data_ Contrats'!O367="T",'Data_ Contrats'!A367," ")</f>
        <v xml:space="preserve"> </v>
      </c>
    </row>
    <row r="367" spans="24:24">
      <c r="X367" s="166" t="str">
        <f>IF('Data_ Contrats'!O368="T",'Data_ Contrats'!A368," ")</f>
        <v xml:space="preserve"> </v>
      </c>
    </row>
    <row r="368" spans="24:24">
      <c r="X368" s="166" t="str">
        <f>IF('Data_ Contrats'!O369="T",'Data_ Contrats'!A369," ")</f>
        <v xml:space="preserve"> </v>
      </c>
    </row>
    <row r="369" spans="24:24">
      <c r="X369" s="166" t="str">
        <f>IF('Data_ Contrats'!O370="T",'Data_ Contrats'!A370," ")</f>
        <v xml:space="preserve"> </v>
      </c>
    </row>
    <row r="370" spans="24:24">
      <c r="X370" s="166" t="str">
        <f>IF('Data_ Contrats'!O371="T",'Data_ Contrats'!A371," ")</f>
        <v xml:space="preserve"> </v>
      </c>
    </row>
    <row r="371" spans="24:24">
      <c r="X371" s="166" t="str">
        <f>IF('Data_ Contrats'!O372="T",'Data_ Contrats'!A372," ")</f>
        <v xml:space="preserve"> </v>
      </c>
    </row>
    <row r="372" spans="24:24">
      <c r="X372" s="166" t="str">
        <f>IF('Data_ Contrats'!O373="T",'Data_ Contrats'!A373," ")</f>
        <v xml:space="preserve"> </v>
      </c>
    </row>
    <row r="373" spans="24:24">
      <c r="X373" s="166" t="str">
        <f>IF('Data_ Contrats'!O374="T",'Data_ Contrats'!A374," ")</f>
        <v xml:space="preserve"> </v>
      </c>
    </row>
    <row r="374" spans="24:24">
      <c r="X374" s="166" t="str">
        <f>IF('Data_ Contrats'!O375="T",'Data_ Contrats'!A375," ")</f>
        <v xml:space="preserve"> </v>
      </c>
    </row>
    <row r="375" spans="24:24">
      <c r="X375" s="166" t="str">
        <f>IF('Data_ Contrats'!O376="T",'Data_ Contrats'!A376," ")</f>
        <v xml:space="preserve"> </v>
      </c>
    </row>
    <row r="376" spans="24:24">
      <c r="X376" s="166" t="str">
        <f>IF('Data_ Contrats'!O377="T",'Data_ Contrats'!A377," ")</f>
        <v xml:space="preserve"> </v>
      </c>
    </row>
    <row r="377" spans="24:24">
      <c r="X377" s="166" t="str">
        <f>IF('Data_ Contrats'!O378="T",'Data_ Contrats'!A378," ")</f>
        <v xml:space="preserve"> </v>
      </c>
    </row>
    <row r="378" spans="24:24">
      <c r="X378" s="166" t="str">
        <f>IF('Data_ Contrats'!O379="T",'Data_ Contrats'!A379," ")</f>
        <v xml:space="preserve"> </v>
      </c>
    </row>
    <row r="379" spans="24:24">
      <c r="X379" s="166" t="str">
        <f>IF('Data_ Contrats'!O380="T",'Data_ Contrats'!A380," ")</f>
        <v xml:space="preserve"> </v>
      </c>
    </row>
    <row r="380" spans="24:24">
      <c r="X380" s="166" t="str">
        <f>IF('Data_ Contrats'!O381="T",'Data_ Contrats'!A381," ")</f>
        <v xml:space="preserve"> </v>
      </c>
    </row>
    <row r="381" spans="24:24">
      <c r="X381" s="166" t="str">
        <f>IF('Data_ Contrats'!O382="T",'Data_ Contrats'!A382," ")</f>
        <v xml:space="preserve"> </v>
      </c>
    </row>
    <row r="382" spans="24:24">
      <c r="X382" s="166" t="str">
        <f>IF('Data_ Contrats'!O383="T",'Data_ Contrats'!A383," ")</f>
        <v xml:space="preserve"> </v>
      </c>
    </row>
    <row r="383" spans="24:24">
      <c r="X383" s="166" t="str">
        <f>IF('Data_ Contrats'!O384="T",'Data_ Contrats'!A384," ")</f>
        <v xml:space="preserve"> </v>
      </c>
    </row>
    <row r="384" spans="24:24">
      <c r="X384" s="166" t="str">
        <f>IF('Data_ Contrats'!O385="T",'Data_ Contrats'!A385," ")</f>
        <v xml:space="preserve"> </v>
      </c>
    </row>
    <row r="385" spans="24:24">
      <c r="X385" s="166" t="str">
        <f>IF('Data_ Contrats'!O386="T",'Data_ Contrats'!A386," ")</f>
        <v xml:space="preserve"> </v>
      </c>
    </row>
    <row r="386" spans="24:24">
      <c r="X386" s="166" t="str">
        <f>IF('Data_ Contrats'!O387="T",'Data_ Contrats'!A387," ")</f>
        <v xml:space="preserve"> </v>
      </c>
    </row>
    <row r="387" spans="24:24">
      <c r="X387" s="166" t="str">
        <f>IF('Data_ Contrats'!O388="T",'Data_ Contrats'!A388," ")</f>
        <v xml:space="preserve"> </v>
      </c>
    </row>
    <row r="388" spans="24:24">
      <c r="X388" s="166" t="str">
        <f>IF('Data_ Contrats'!O389="T",'Data_ Contrats'!A389," ")</f>
        <v xml:space="preserve"> </v>
      </c>
    </row>
    <row r="389" spans="24:24">
      <c r="X389" s="166" t="str">
        <f>IF('Data_ Contrats'!O390="T",'Data_ Contrats'!A390," ")</f>
        <v xml:space="preserve"> </v>
      </c>
    </row>
    <row r="390" spans="24:24">
      <c r="X390" s="166" t="str">
        <f>IF('Data_ Contrats'!O391="T",'Data_ Contrats'!A391," ")</f>
        <v xml:space="preserve"> </v>
      </c>
    </row>
    <row r="391" spans="24:24">
      <c r="X391" s="166" t="str">
        <f>IF('Data_ Contrats'!O392="T",'Data_ Contrats'!A392," ")</f>
        <v xml:space="preserve"> </v>
      </c>
    </row>
    <row r="392" spans="24:24">
      <c r="X392" s="166" t="str">
        <f>IF('Data_ Contrats'!O393="T",'Data_ Contrats'!A393," ")</f>
        <v xml:space="preserve"> </v>
      </c>
    </row>
    <row r="393" spans="24:24">
      <c r="X393" s="166" t="str">
        <f>IF('Data_ Contrats'!O394="T",'Data_ Contrats'!A394," ")</f>
        <v xml:space="preserve"> </v>
      </c>
    </row>
    <row r="394" spans="24:24">
      <c r="X394" s="166" t="str">
        <f>IF('Data_ Contrats'!O395="T",'Data_ Contrats'!A395," ")</f>
        <v xml:space="preserve"> </v>
      </c>
    </row>
    <row r="395" spans="24:24">
      <c r="X395" s="166" t="str">
        <f>IF('Data_ Contrats'!O396="T",'Data_ Contrats'!A396," ")</f>
        <v xml:space="preserve"> </v>
      </c>
    </row>
    <row r="396" spans="24:24">
      <c r="X396" s="166" t="str">
        <f>IF('Data_ Contrats'!O397="T",'Data_ Contrats'!A397," ")</f>
        <v xml:space="preserve"> </v>
      </c>
    </row>
    <row r="397" spans="24:24">
      <c r="X397" s="166" t="str">
        <f>IF('Data_ Contrats'!O398="T",'Data_ Contrats'!A398," ")</f>
        <v xml:space="preserve"> </v>
      </c>
    </row>
    <row r="398" spans="24:24">
      <c r="X398" s="166" t="str">
        <f>IF('Data_ Contrats'!O399="T",'Data_ Contrats'!A399," ")</f>
        <v xml:space="preserve"> </v>
      </c>
    </row>
    <row r="399" spans="24:24">
      <c r="X399" s="166" t="str">
        <f>IF('Data_ Contrats'!O400="T",'Data_ Contrats'!A400," ")</f>
        <v xml:space="preserve"> </v>
      </c>
    </row>
    <row r="400" spans="24:24">
      <c r="X400" s="166" t="str">
        <f>IF('Data_ Contrats'!O401="T",'Data_ Contrats'!A401," ")</f>
        <v xml:space="preserve"> </v>
      </c>
    </row>
    <row r="401" spans="24:24">
      <c r="X401" s="166" t="str">
        <f>IF('Data_ Contrats'!O402="T",'Data_ Contrats'!A402," ")</f>
        <v xml:space="preserve"> </v>
      </c>
    </row>
    <row r="402" spans="24:24">
      <c r="X402" s="166" t="str">
        <f>IF('Data_ Contrats'!O403="T",'Data_ Contrats'!A403," ")</f>
        <v xml:space="preserve"> </v>
      </c>
    </row>
    <row r="403" spans="24:24">
      <c r="X403" s="166" t="str">
        <f>IF('Data_ Contrats'!O404="T",'Data_ Contrats'!A404," ")</f>
        <v xml:space="preserve"> </v>
      </c>
    </row>
    <row r="404" spans="24:24">
      <c r="X404" s="166" t="str">
        <f>IF('Data_ Contrats'!O405="T",'Data_ Contrats'!A405," ")</f>
        <v xml:space="preserve"> </v>
      </c>
    </row>
    <row r="405" spans="24:24">
      <c r="X405" s="166" t="str">
        <f>IF('Data_ Contrats'!O406="T",'Data_ Contrats'!A406," ")</f>
        <v xml:space="preserve"> </v>
      </c>
    </row>
    <row r="406" spans="24:24">
      <c r="X406" s="166" t="str">
        <f>IF('Data_ Contrats'!O407="T",'Data_ Contrats'!A407," ")</f>
        <v xml:space="preserve"> </v>
      </c>
    </row>
    <row r="407" spans="24:24">
      <c r="X407" s="166" t="str">
        <f>IF('Data_ Contrats'!O408="T",'Data_ Contrats'!A408," ")</f>
        <v xml:space="preserve"> </v>
      </c>
    </row>
    <row r="408" spans="24:24">
      <c r="X408" s="166" t="str">
        <f>IF('Data_ Contrats'!O409="T",'Data_ Contrats'!A409," ")</f>
        <v xml:space="preserve"> </v>
      </c>
    </row>
    <row r="409" spans="24:24">
      <c r="X409" s="166" t="str">
        <f>IF('Data_ Contrats'!O410="T",'Data_ Contrats'!A410," ")</f>
        <v xml:space="preserve"> </v>
      </c>
    </row>
    <row r="410" spans="24:24">
      <c r="X410" s="166" t="str">
        <f>IF('Data_ Contrats'!O411="T",'Data_ Contrats'!A411," ")</f>
        <v xml:space="preserve"> </v>
      </c>
    </row>
    <row r="411" spans="24:24">
      <c r="X411" s="166" t="str">
        <f>IF('Data_ Contrats'!O412="T",'Data_ Contrats'!A412," ")</f>
        <v xml:space="preserve"> </v>
      </c>
    </row>
    <row r="412" spans="24:24">
      <c r="X412" s="166" t="str">
        <f>IF('Data_ Contrats'!O413="T",'Data_ Contrats'!A413," ")</f>
        <v xml:space="preserve"> </v>
      </c>
    </row>
    <row r="413" spans="24:24">
      <c r="X413" s="166" t="str">
        <f>IF('Data_ Contrats'!O414="T",'Data_ Contrats'!A414," ")</f>
        <v xml:space="preserve"> </v>
      </c>
    </row>
    <row r="414" spans="24:24">
      <c r="X414" s="166" t="str">
        <f>IF('Data_ Contrats'!O415="T",'Data_ Contrats'!A415," ")</f>
        <v xml:space="preserve"> </v>
      </c>
    </row>
    <row r="415" spans="24:24">
      <c r="X415" s="166" t="str">
        <f>IF('Data_ Contrats'!O416="T",'Data_ Contrats'!A416," ")</f>
        <v xml:space="preserve"> </v>
      </c>
    </row>
    <row r="416" spans="24:24">
      <c r="X416" s="166" t="str">
        <f>IF('Data_ Contrats'!O417="T",'Data_ Contrats'!A417," ")</f>
        <v xml:space="preserve"> </v>
      </c>
    </row>
    <row r="417" spans="24:24">
      <c r="X417" s="166" t="str">
        <f>IF('Data_ Contrats'!O418="T",'Data_ Contrats'!A418," ")</f>
        <v xml:space="preserve"> </v>
      </c>
    </row>
    <row r="418" spans="24:24">
      <c r="X418" s="166" t="str">
        <f>IF('Data_ Contrats'!O419="T",'Data_ Contrats'!A419," ")</f>
        <v xml:space="preserve"> </v>
      </c>
    </row>
    <row r="419" spans="24:24">
      <c r="X419" s="166" t="str">
        <f>IF('Data_ Contrats'!O420="T",'Data_ Contrats'!A420," ")</f>
        <v xml:space="preserve"> </v>
      </c>
    </row>
    <row r="420" spans="24:24">
      <c r="X420" s="166" t="str">
        <f>IF('Data_ Contrats'!O421="T",'Data_ Contrats'!A421," ")</f>
        <v xml:space="preserve"> </v>
      </c>
    </row>
    <row r="421" spans="24:24">
      <c r="X421" s="166" t="str">
        <f>IF('Data_ Contrats'!O422="T",'Data_ Contrats'!A422," ")</f>
        <v xml:space="preserve"> </v>
      </c>
    </row>
    <row r="422" spans="24:24">
      <c r="X422" s="166" t="str">
        <f>IF('Data_ Contrats'!O423="T",'Data_ Contrats'!A423," ")</f>
        <v xml:space="preserve"> </v>
      </c>
    </row>
    <row r="423" spans="24:24">
      <c r="X423" s="166" t="str">
        <f>IF('Data_ Contrats'!O424="T",'Data_ Contrats'!A424," ")</f>
        <v xml:space="preserve"> </v>
      </c>
    </row>
    <row r="424" spans="24:24">
      <c r="X424" s="166" t="str">
        <f>IF('Data_ Contrats'!O425="T",'Data_ Contrats'!A425," ")</f>
        <v xml:space="preserve"> </v>
      </c>
    </row>
    <row r="425" spans="24:24">
      <c r="X425" s="166" t="str">
        <f>IF('Data_ Contrats'!O426="T",'Data_ Contrats'!A426," ")</f>
        <v xml:space="preserve"> </v>
      </c>
    </row>
    <row r="426" spans="24:24">
      <c r="X426" s="166" t="str">
        <f>IF('Data_ Contrats'!O427="T",'Data_ Contrats'!A427," ")</f>
        <v xml:space="preserve"> </v>
      </c>
    </row>
    <row r="427" spans="24:24">
      <c r="X427" s="166" t="str">
        <f>IF('Data_ Contrats'!O428="T",'Data_ Contrats'!A428," ")</f>
        <v xml:space="preserve"> </v>
      </c>
    </row>
    <row r="428" spans="24:24">
      <c r="X428" s="166" t="str">
        <f>IF('Data_ Contrats'!O429="T",'Data_ Contrats'!A429," ")</f>
        <v xml:space="preserve"> </v>
      </c>
    </row>
    <row r="429" spans="24:24">
      <c r="X429" s="166" t="str">
        <f>IF('Data_ Contrats'!O430="T",'Data_ Contrats'!A430," ")</f>
        <v xml:space="preserve"> </v>
      </c>
    </row>
    <row r="430" spans="24:24">
      <c r="X430" s="166" t="str">
        <f>IF('Data_ Contrats'!O431="T",'Data_ Contrats'!A431," ")</f>
        <v xml:space="preserve"> </v>
      </c>
    </row>
    <row r="431" spans="24:24">
      <c r="X431" s="166" t="str">
        <f>IF('Data_ Contrats'!O432="T",'Data_ Contrats'!A432," ")</f>
        <v xml:space="preserve"> </v>
      </c>
    </row>
    <row r="432" spans="24:24">
      <c r="X432" s="57" t="str">
        <f>IF('Data_ Contrats'!O434="T",'Data_ Contrats'!A434," ")</f>
        <v xml:space="preserve"> </v>
      </c>
    </row>
    <row r="433" spans="24:24">
      <c r="X433" s="57" t="str">
        <f>IF('Data_ Contrats'!O435="T",'Data_ Contrats'!A435," ")</f>
        <v xml:space="preserve"> </v>
      </c>
    </row>
    <row r="434" spans="24:24">
      <c r="X434" s="57" t="str">
        <f>IF('Data_ Contrats'!O436="T",'Data_ Contrats'!A436," ")</f>
        <v xml:space="preserve"> </v>
      </c>
    </row>
    <row r="435" spans="24:24">
      <c r="X435" s="57" t="str">
        <f>IF('Data_ Contrats'!O437="T",'Data_ Contrats'!A437," ")</f>
        <v xml:space="preserve"> </v>
      </c>
    </row>
    <row r="436" spans="24:24">
      <c r="X436" s="57" t="str">
        <f>IF('Data_ Contrats'!O438="T",'Data_ Contrats'!A438," ")</f>
        <v xml:space="preserve"> </v>
      </c>
    </row>
    <row r="437" spans="24:24">
      <c r="X437" s="57" t="str">
        <f>IF('Data_ Contrats'!O439="T",'Data_ Contrats'!A439," ")</f>
        <v xml:space="preserve"> </v>
      </c>
    </row>
    <row r="438" spans="24:24">
      <c r="X438" s="57" t="str">
        <f>IF('Data_ Contrats'!O440="T",'Data_ Contrats'!A440," ")</f>
        <v xml:space="preserve"> </v>
      </c>
    </row>
    <row r="439" spans="24:24">
      <c r="X439" s="57" t="str">
        <f>IF('Data_ Contrats'!O441="T",'Data_ Contrats'!A441," ")</f>
        <v xml:space="preserve"> </v>
      </c>
    </row>
    <row r="440" spans="24:24">
      <c r="X440" s="57" t="str">
        <f>IF('Data_ Contrats'!O442="T",'Data_ Contrats'!A442," ")</f>
        <v xml:space="preserve"> </v>
      </c>
    </row>
    <row r="441" spans="24:24">
      <c r="X441" s="57" t="str">
        <f>IF('Data_ Contrats'!O443="T",'Data_ Contrats'!A443," ")</f>
        <v xml:space="preserve"> </v>
      </c>
    </row>
    <row r="442" spans="24:24">
      <c r="X442" s="57" t="str">
        <f>IF('Data_ Contrats'!O444="T",'Data_ Contrats'!A444," ")</f>
        <v xml:space="preserve"> </v>
      </c>
    </row>
    <row r="443" spans="24:24">
      <c r="X443" s="57" t="str">
        <f>IF('Data_ Contrats'!O445="T",'Data_ Contrats'!A445," ")</f>
        <v xml:space="preserve"> </v>
      </c>
    </row>
    <row r="444" spans="24:24">
      <c r="X444" s="57" t="str">
        <f>IF('Data_ Contrats'!O446="T",'Data_ Contrats'!A446," ")</f>
        <v xml:space="preserve"> </v>
      </c>
    </row>
    <row r="445" spans="24:24">
      <c r="X445" s="57" t="str">
        <f>IF('Data_ Contrats'!O447="T",'Data_ Contrats'!A447," ")</f>
        <v xml:space="preserve"> </v>
      </c>
    </row>
    <row r="446" spans="24:24">
      <c r="X446" s="57" t="str">
        <f>IF('Data_ Contrats'!O448="T",'Data_ Contrats'!A448," ")</f>
        <v xml:space="preserve"> </v>
      </c>
    </row>
    <row r="447" spans="24:24">
      <c r="X447" s="57" t="str">
        <f>IF('Data_ Contrats'!O449="T",'Data_ Contrats'!A449," ")</f>
        <v xml:space="preserve"> </v>
      </c>
    </row>
    <row r="448" spans="24:24">
      <c r="X448" s="57" t="str">
        <f>IF('Data_ Contrats'!O450="T",'Data_ Contrats'!A450," ")</f>
        <v xml:space="preserve"> </v>
      </c>
    </row>
    <row r="449" spans="24:24">
      <c r="X449" s="57" t="str">
        <f>IF('Data_ Contrats'!O451="T",'Data_ Contrats'!A451," ")</f>
        <v xml:space="preserve"> </v>
      </c>
    </row>
    <row r="450" spans="24:24">
      <c r="X450" s="57" t="str">
        <f>IF('Data_ Contrats'!O452="T",'Data_ Contrats'!A452," ")</f>
        <v xml:space="preserve"> </v>
      </c>
    </row>
    <row r="451" spans="24:24">
      <c r="X451" s="57" t="str">
        <f>IF('Data_ Contrats'!O453="T",'Data_ Contrats'!A453," ")</f>
        <v xml:space="preserve"> </v>
      </c>
    </row>
    <row r="452" spans="24:24">
      <c r="X452" s="57" t="str">
        <f>IF('Data_ Contrats'!O454="T",'Data_ Contrats'!A454," ")</f>
        <v xml:space="preserve"> </v>
      </c>
    </row>
    <row r="453" spans="24:24">
      <c r="X453" s="57" t="str">
        <f>IF('Data_ Contrats'!O455="T",'Data_ Contrats'!A455," ")</f>
        <v xml:space="preserve"> </v>
      </c>
    </row>
    <row r="454" spans="24:24">
      <c r="X454" s="57" t="str">
        <f>IF('Data_ Contrats'!O456="T",'Data_ Contrats'!A456," ")</f>
        <v xml:space="preserve"> </v>
      </c>
    </row>
    <row r="455" spans="24:24">
      <c r="X455" s="57" t="str">
        <f>IF('Data_ Contrats'!O457="T",'Data_ Contrats'!A457," ")</f>
        <v xml:space="preserve"> </v>
      </c>
    </row>
    <row r="456" spans="24:24">
      <c r="X456" s="57" t="str">
        <f>IF('Data_ Contrats'!O458="T",'Data_ Contrats'!A458," ")</f>
        <v xml:space="preserve"> </v>
      </c>
    </row>
    <row r="457" spans="24:24">
      <c r="X457" s="57" t="str">
        <f>IF('Data_ Contrats'!O459="T",'Data_ Contrats'!A459," ")</f>
        <v xml:space="preserve"> </v>
      </c>
    </row>
    <row r="458" spans="24:24">
      <c r="X458" s="57" t="str">
        <f>IF('Data_ Contrats'!O460="T",'Data_ Contrats'!A460," ")</f>
        <v xml:space="preserve"> </v>
      </c>
    </row>
    <row r="459" spans="24:24">
      <c r="X459" s="57" t="str">
        <f>IF('Data_ Contrats'!O461="T",'Data_ Contrats'!A461," ")</f>
        <v xml:space="preserve"> </v>
      </c>
    </row>
    <row r="460" spans="24:24">
      <c r="X460" s="57" t="str">
        <f>IF('Data_ Contrats'!O462="T",'Data_ Contrats'!A462," ")</f>
        <v xml:space="preserve"> </v>
      </c>
    </row>
    <row r="461" spans="24:24">
      <c r="X461" s="57" t="str">
        <f>IF('Data_ Contrats'!O484="T",'Data_ Contrats'!A484," ")</f>
        <v xml:space="preserve"> </v>
      </c>
    </row>
  </sheetData>
  <mergeCells count="177">
    <mergeCell ref="M93:N93"/>
    <mergeCell ref="O93:P93"/>
    <mergeCell ref="Q93:R93"/>
    <mergeCell ref="S93:T93"/>
    <mergeCell ref="M91:N91"/>
    <mergeCell ref="O91:P91"/>
    <mergeCell ref="Q91:R91"/>
    <mergeCell ref="S91:T91"/>
    <mergeCell ref="M92:N92"/>
    <mergeCell ref="O92:P92"/>
    <mergeCell ref="Q92:R92"/>
    <mergeCell ref="S92:T92"/>
    <mergeCell ref="M89:N89"/>
    <mergeCell ref="O89:P89"/>
    <mergeCell ref="Q89:R89"/>
    <mergeCell ref="S89:T89"/>
    <mergeCell ref="M90:N90"/>
    <mergeCell ref="O90:P90"/>
    <mergeCell ref="Q90:R90"/>
    <mergeCell ref="S90:T90"/>
    <mergeCell ref="M87:N87"/>
    <mergeCell ref="O87:P87"/>
    <mergeCell ref="Q87:R87"/>
    <mergeCell ref="S87:T87"/>
    <mergeCell ref="M88:N88"/>
    <mergeCell ref="O88:P88"/>
    <mergeCell ref="Q88:R88"/>
    <mergeCell ref="S88:T88"/>
    <mergeCell ref="M85:N85"/>
    <mergeCell ref="O85:P85"/>
    <mergeCell ref="Q85:R85"/>
    <mergeCell ref="S85:T85"/>
    <mergeCell ref="M86:N86"/>
    <mergeCell ref="O86:P86"/>
    <mergeCell ref="Q86:R86"/>
    <mergeCell ref="S86:T86"/>
    <mergeCell ref="M83:N83"/>
    <mergeCell ref="O83:P83"/>
    <mergeCell ref="Q83:R83"/>
    <mergeCell ref="S83:T83"/>
    <mergeCell ref="M84:N84"/>
    <mergeCell ref="O84:P84"/>
    <mergeCell ref="Q84:R84"/>
    <mergeCell ref="S84:T84"/>
    <mergeCell ref="M81:N81"/>
    <mergeCell ref="O81:P81"/>
    <mergeCell ref="Q81:R81"/>
    <mergeCell ref="S81:T81"/>
    <mergeCell ref="M82:N82"/>
    <mergeCell ref="O82:P82"/>
    <mergeCell ref="Q82:R82"/>
    <mergeCell ref="S82:T82"/>
    <mergeCell ref="M79:N79"/>
    <mergeCell ref="O79:P79"/>
    <mergeCell ref="Q79:R79"/>
    <mergeCell ref="S79:T79"/>
    <mergeCell ref="M80:N80"/>
    <mergeCell ref="O80:P80"/>
    <mergeCell ref="Q80:R80"/>
    <mergeCell ref="S80:T80"/>
    <mergeCell ref="M77:N77"/>
    <mergeCell ref="O77:P77"/>
    <mergeCell ref="Q77:R77"/>
    <mergeCell ref="S77:T77"/>
    <mergeCell ref="M78:N78"/>
    <mergeCell ref="O78:P78"/>
    <mergeCell ref="Q78:R78"/>
    <mergeCell ref="S78:T78"/>
    <mergeCell ref="M75:N75"/>
    <mergeCell ref="O75:P75"/>
    <mergeCell ref="Q75:R75"/>
    <mergeCell ref="S75:T75"/>
    <mergeCell ref="M76:N76"/>
    <mergeCell ref="O76:P76"/>
    <mergeCell ref="Q76:R76"/>
    <mergeCell ref="S76:T76"/>
    <mergeCell ref="M73:N73"/>
    <mergeCell ref="O73:P73"/>
    <mergeCell ref="Q73:R73"/>
    <mergeCell ref="S73:T73"/>
    <mergeCell ref="M74:N74"/>
    <mergeCell ref="O74:P74"/>
    <mergeCell ref="Q74:R74"/>
    <mergeCell ref="S74:T74"/>
    <mergeCell ref="M71:N71"/>
    <mergeCell ref="O71:P71"/>
    <mergeCell ref="Q71:R71"/>
    <mergeCell ref="S71:T71"/>
    <mergeCell ref="M72:N72"/>
    <mergeCell ref="O72:P72"/>
    <mergeCell ref="Q72:R72"/>
    <mergeCell ref="S72:T72"/>
    <mergeCell ref="M69:N69"/>
    <mergeCell ref="O69:P69"/>
    <mergeCell ref="Q69:R69"/>
    <mergeCell ref="S69:T69"/>
    <mergeCell ref="M70:N70"/>
    <mergeCell ref="O70:P70"/>
    <mergeCell ref="Q70:R70"/>
    <mergeCell ref="S70:T70"/>
    <mergeCell ref="M67:N67"/>
    <mergeCell ref="O67:P67"/>
    <mergeCell ref="Q67:R67"/>
    <mergeCell ref="S67:T67"/>
    <mergeCell ref="M68:N68"/>
    <mergeCell ref="O68:P68"/>
    <mergeCell ref="Q68:R68"/>
    <mergeCell ref="S68:T68"/>
    <mergeCell ref="M65:N65"/>
    <mergeCell ref="O65:P65"/>
    <mergeCell ref="Q65:R65"/>
    <mergeCell ref="S65:T65"/>
    <mergeCell ref="M66:N66"/>
    <mergeCell ref="O66:P66"/>
    <mergeCell ref="Q66:R66"/>
    <mergeCell ref="S66:T66"/>
    <mergeCell ref="M63:N63"/>
    <mergeCell ref="O63:P63"/>
    <mergeCell ref="Q63:R63"/>
    <mergeCell ref="S63:T63"/>
    <mergeCell ref="M64:N64"/>
    <mergeCell ref="O64:P64"/>
    <mergeCell ref="Q64:R64"/>
    <mergeCell ref="S64:T64"/>
    <mergeCell ref="M61:N61"/>
    <mergeCell ref="O61:P61"/>
    <mergeCell ref="Q61:R61"/>
    <mergeCell ref="S61:T61"/>
    <mergeCell ref="M62:N62"/>
    <mergeCell ref="O62:P62"/>
    <mergeCell ref="Q62:R62"/>
    <mergeCell ref="S62:T62"/>
    <mergeCell ref="M59:N59"/>
    <mergeCell ref="O59:P59"/>
    <mergeCell ref="Q59:R59"/>
    <mergeCell ref="S59:T59"/>
    <mergeCell ref="M60:N60"/>
    <mergeCell ref="O60:P60"/>
    <mergeCell ref="Q60:R60"/>
    <mergeCell ref="S60:T60"/>
    <mergeCell ref="E25:G25"/>
    <mergeCell ref="I25:K25"/>
    <mergeCell ref="M25:O25"/>
    <mergeCell ref="Q25:S25"/>
    <mergeCell ref="M57:N57"/>
    <mergeCell ref="O57:P57"/>
    <mergeCell ref="Q57:R57"/>
    <mergeCell ref="S57:T57"/>
    <mergeCell ref="M58:N58"/>
    <mergeCell ref="O58:P58"/>
    <mergeCell ref="Q58:R58"/>
    <mergeCell ref="S58:T58"/>
    <mergeCell ref="E26:H26"/>
    <mergeCell ref="I26:L26"/>
    <mergeCell ref="M26:P26"/>
    <mergeCell ref="Q26:T26"/>
    <mergeCell ref="M56:N56"/>
    <mergeCell ref="O56:P56"/>
    <mergeCell ref="Q56:R56"/>
    <mergeCell ref="S56:T56"/>
    <mergeCell ref="N52:T54"/>
    <mergeCell ref="M1:T3"/>
    <mergeCell ref="U1:U5"/>
    <mergeCell ref="I6:T6"/>
    <mergeCell ref="G13:H13"/>
    <mergeCell ref="C14:F14"/>
    <mergeCell ref="D15:T15"/>
    <mergeCell ref="U15:U19"/>
    <mergeCell ref="U22:U23"/>
    <mergeCell ref="E24:H24"/>
    <mergeCell ref="I24:L24"/>
    <mergeCell ref="M24:P24"/>
    <mergeCell ref="Q24:T24"/>
    <mergeCell ref="I8:T10"/>
    <mergeCell ref="E23:F23"/>
    <mergeCell ref="I23:J23"/>
    <mergeCell ref="M23:N23"/>
  </mergeCells>
  <phoneticPr fontId="28" type="noConversion"/>
  <dataValidations count="1">
    <dataValidation type="list" allowBlank="1" showInputMessage="1" showErrorMessage="1" sqref="I6:T6" xr:uid="{FD3E271E-634E-4046-8A8C-E41C24E46168}">
      <formula1>$X$2:$X$220</formula1>
    </dataValidation>
  </dataValidations>
  <pageMargins left="0.59055118110236227" right="0.35000000000000003" top="0.75" bottom="0.75" header="0.5" footer="0.5"/>
  <pageSetup paperSize="9" orientation="portrait" horizontalDpi="4294967292" verticalDpi="4294967292" r:id="rId1"/>
  <headerFooter>
    <oddFooter>&amp;C&amp;"Calibri (Corps),Normal"&amp;11ZENPARK – SA au capital de 403 432  EUR_x000D_RCS Paris 537 527 145  – CODE NAF 6201Z – TVA intracommunautaire FR00537527145_x000D_Siège social : 142 rue Montmartre, 75002 Paris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euil7.Imprimer">
                <anchor moveWithCells="1" sizeWithCells="1">
                  <from>
                    <xdr:col>21</xdr:col>
                    <xdr:colOff>518160</xdr:colOff>
                    <xdr:row>9</xdr:row>
                    <xdr:rowOff>99060</xdr:rowOff>
                  </from>
                  <to>
                    <xdr:col>22</xdr:col>
                    <xdr:colOff>525780</xdr:colOff>
                    <xdr:row>12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C0273C-B83E-4E2D-855F-2F577BBE73D2}">
          <x14:formula1>
            <xm:f>Data_P!$B:$B</xm:f>
          </x14:formula1>
          <xm:sqref>E21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C2E16-A7FE-41A9-826A-D9E1049B0D5A}">
  <sheetPr codeName="Feuil5"/>
  <dimension ref="A1:Y1"/>
  <sheetViews>
    <sheetView workbookViewId="0">
      <selection activeCell="D21" sqref="D21"/>
    </sheetView>
  </sheetViews>
  <sheetFormatPr baseColWidth="10" defaultRowHeight="16.2"/>
  <cols>
    <col min="1" max="21" width="11.07421875" style="118"/>
    <col min="22" max="22" width="11.07421875" style="168"/>
    <col min="23" max="24" width="11.07421875" style="118"/>
    <col min="25" max="25" width="11.07421875" style="56"/>
  </cols>
  <sheetData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AT222"/>
  <sheetViews>
    <sheetView view="pageLayout" zoomScale="94" zoomScalePageLayoutView="94" workbookViewId="0">
      <selection activeCell="M11" sqref="M11"/>
    </sheetView>
  </sheetViews>
  <sheetFormatPr baseColWidth="10" defaultColWidth="10.61328125" defaultRowHeight="16.2"/>
  <cols>
    <col min="1" max="20" width="3.23046875" style="52" customWidth="1"/>
    <col min="21" max="21" width="23" style="50" customWidth="1"/>
    <col min="22" max="22" width="17" style="52" customWidth="1"/>
    <col min="23" max="23" width="11" style="52" customWidth="1"/>
    <col min="24" max="24" width="10.61328125" style="51"/>
    <col min="25" max="31" width="10.69140625" style="52" customWidth="1"/>
    <col min="32" max="39" width="7.3828125" style="52" customWidth="1"/>
    <col min="40" max="45" width="8.07421875" style="52" customWidth="1"/>
    <col min="46" max="46" width="9.61328125" style="52" customWidth="1"/>
    <col min="47" max="47" width="10.61328125" style="52" customWidth="1"/>
    <col min="48" max="16384" width="10.61328125" style="52"/>
  </cols>
  <sheetData>
    <row r="1" spans="1:23" ht="15" customHeight="1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187" t="s">
        <v>46</v>
      </c>
      <c r="N1" s="188"/>
      <c r="O1" s="188"/>
      <c r="P1" s="188"/>
      <c r="Q1" s="188"/>
      <c r="R1" s="188"/>
      <c r="S1" s="188"/>
      <c r="T1" s="188"/>
      <c r="U1" s="189" t="s">
        <v>53</v>
      </c>
      <c r="W1" s="53" t="s">
        <v>54</v>
      </c>
    </row>
    <row r="2" spans="1:23" ht="15" customHeight="1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188"/>
      <c r="N2" s="188"/>
      <c r="O2" s="188"/>
      <c r="P2" s="188"/>
      <c r="Q2" s="188"/>
      <c r="R2" s="188"/>
      <c r="S2" s="188"/>
      <c r="T2" s="188"/>
      <c r="U2" s="189"/>
      <c r="W2" s="57" t="str">
        <f>'Data_ Contrats'!A10</f>
        <v>AEREL</v>
      </c>
    </row>
    <row r="3" spans="1:23" ht="15" customHeight="1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188"/>
      <c r="N3" s="188"/>
      <c r="O3" s="188"/>
      <c r="P3" s="188"/>
      <c r="Q3" s="188"/>
      <c r="R3" s="188"/>
      <c r="S3" s="188"/>
      <c r="T3" s="188"/>
      <c r="U3" s="189"/>
      <c r="W3" s="57" t="str">
        <f>'Data_ Contrats'!A11</f>
        <v>All Suites Orly</v>
      </c>
    </row>
    <row r="4" spans="1:23" ht="15" customHeight="1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189"/>
      <c r="W4" s="57" t="str">
        <f>'Data_ Contrats'!A12</f>
        <v>Alter Cités</v>
      </c>
    </row>
    <row r="5" spans="1:23" ht="15" customHeight="1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189"/>
      <c r="W5" s="57" t="str">
        <f>'Data_ Contrats'!A14</f>
        <v>ANTIN 75/77/94</v>
      </c>
    </row>
    <row r="6" spans="1:23" ht="15" customHeight="1">
      <c r="A6" s="54"/>
      <c r="B6" s="54"/>
      <c r="C6" s="54"/>
      <c r="D6" s="54"/>
      <c r="E6" s="54"/>
      <c r="F6" s="54"/>
      <c r="G6" s="54"/>
      <c r="H6" s="54"/>
      <c r="I6" s="192" t="s">
        <v>303</v>
      </c>
      <c r="J6" s="192"/>
      <c r="K6" s="192"/>
      <c r="L6" s="192"/>
      <c r="M6" s="192"/>
      <c r="N6" s="192"/>
      <c r="O6" s="192"/>
      <c r="P6" s="192"/>
      <c r="Q6" s="192"/>
      <c r="R6" s="192"/>
      <c r="S6" s="192"/>
      <c r="T6" s="192"/>
      <c r="U6" s="50" t="s">
        <v>50</v>
      </c>
      <c r="W6" s="57" t="e">
        <f>'Data_ Contrats'!#REF!</f>
        <v>#REF!</v>
      </c>
    </row>
    <row r="7" spans="1:23" ht="15" customHeight="1">
      <c r="A7" s="54"/>
      <c r="B7" s="54"/>
      <c r="C7" s="54"/>
      <c r="D7" s="54"/>
      <c r="E7" s="54"/>
      <c r="F7" s="54"/>
      <c r="G7" s="54"/>
      <c r="H7" s="54"/>
      <c r="I7" s="192" t="str">
        <f>CONCATENATE("A l'attention de ",VLOOKUP($I$6,'Data_ Contrats'!$A$10:$N$293,6))</f>
        <v>A l'attention de M. Jean-Paul Medam</v>
      </c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W7" s="57" t="str">
        <f>'Data_ Contrats'!A16</f>
        <v>Appart'City Limoges</v>
      </c>
    </row>
    <row r="8" spans="1:23" ht="15" customHeight="1">
      <c r="A8" s="54"/>
      <c r="B8" s="54"/>
      <c r="C8" s="54"/>
      <c r="D8" s="54"/>
      <c r="E8" s="54"/>
      <c r="F8" s="54"/>
      <c r="G8" s="54"/>
      <c r="H8" s="54"/>
      <c r="I8" s="54" t="str">
        <f>VLOOKUP($I$6,'Data_ Contrats'!$A$10:$N$293,4)</f>
        <v>21 bis rue Claude Bernard</v>
      </c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W8" s="57" t="str">
        <f>'Data_ Contrats'!A17</f>
        <v>Appart'City Lyon Perache</v>
      </c>
    </row>
    <row r="9" spans="1:23" ht="15" customHeight="1">
      <c r="A9" s="54"/>
      <c r="B9" s="54"/>
      <c r="C9" s="54"/>
      <c r="D9" s="54"/>
      <c r="E9" s="54"/>
      <c r="F9" s="54"/>
      <c r="G9" s="54"/>
      <c r="H9" s="54"/>
      <c r="I9" s="54" t="str">
        <f>VLOOKUP($I$6,'Data_ Contrats'!$A$10:$N$293,5)</f>
        <v>75005 Paris</v>
      </c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W9" s="57" t="str">
        <f>'Data_ Contrats'!A18</f>
        <v>Appart'City Lyon Villette</v>
      </c>
    </row>
    <row r="10" spans="1:23" ht="15" customHeight="1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W10" s="57" t="str">
        <f>'Data_ Contrats'!A19</f>
        <v>Appart'City Lyon Villeurbanne</v>
      </c>
    </row>
    <row r="11" spans="1:23" ht="15" customHeight="1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W11" s="57" t="str">
        <f>'Data_ Contrats'!A20</f>
        <v>Appart'City Marseille</v>
      </c>
    </row>
    <row r="12" spans="1:23" ht="15" customHeight="1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W12" s="57" t="str">
        <f>'Data_ Contrats'!A21</f>
        <v>Appart'City Montpellier</v>
      </c>
    </row>
    <row r="13" spans="1:23" ht="15" customHeight="1">
      <c r="A13" s="54"/>
      <c r="B13" s="54"/>
      <c r="C13" s="54"/>
      <c r="D13" s="54"/>
      <c r="E13" s="54"/>
      <c r="F13" s="54"/>
      <c r="G13" s="191"/>
      <c r="H13" s="191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W13" s="57" t="str">
        <f>'Data_ Contrats'!A22</f>
        <v>Appart'City Nice</v>
      </c>
    </row>
    <row r="14" spans="1:23" ht="15" customHeight="1">
      <c r="A14" s="18" t="s">
        <v>126</v>
      </c>
      <c r="B14" s="18"/>
      <c r="C14" s="181">
        <f ca="1">TODAY()</f>
        <v>41922</v>
      </c>
      <c r="D14" s="181"/>
      <c r="E14" s="181"/>
      <c r="F14" s="181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W14" s="57" t="str">
        <f>'Data_ Contrats'!A23</f>
        <v>Appart'City Perpignan</v>
      </c>
    </row>
    <row r="15" spans="1:23" ht="15" customHeight="1">
      <c r="A15" s="18" t="s">
        <v>140</v>
      </c>
      <c r="B15" s="18"/>
      <c r="C15" s="18"/>
      <c r="D15" s="197" t="str">
        <f ca="1">CONCATENATE("AF_",VLOOKUP($I$6,'Data_ Contrats'!$A$10:$P$233,'Data_ Contrats'!B1),"_",TEXT(TODAY(),"aammjj"),"_01")</f>
        <v>AF_PHA_181011_01</v>
      </c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89" t="s">
        <v>4</v>
      </c>
      <c r="W15" s="57" t="str">
        <f>'Data_ Contrats'!A24</f>
        <v>Aquitania SAS</v>
      </c>
    </row>
    <row r="16" spans="1:23" ht="15" customHeight="1">
      <c r="A16" s="18"/>
      <c r="B16" s="18"/>
      <c r="C16" s="18"/>
      <c r="D16" s="18"/>
      <c r="E16" s="129"/>
      <c r="F16" s="129"/>
      <c r="G16" s="129"/>
      <c r="H16" s="129"/>
      <c r="I16" s="129"/>
      <c r="J16" s="129"/>
      <c r="K16" s="129"/>
      <c r="L16" s="18"/>
      <c r="M16" s="18"/>
      <c r="N16" s="18"/>
      <c r="O16" s="18"/>
      <c r="P16" s="18"/>
      <c r="Q16" s="18"/>
      <c r="R16" s="18"/>
      <c r="S16" s="18"/>
      <c r="T16" s="18"/>
      <c r="U16" s="189"/>
      <c r="W16" s="57" t="str">
        <f>'Data_ Contrats'!A25</f>
        <v>Aralis</v>
      </c>
    </row>
    <row r="17" spans="1:23" ht="15" customHeight="1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9"/>
      <c r="W17" s="57" t="str">
        <f>'Data_ Contrats'!A26</f>
        <v>Aream Property</v>
      </c>
    </row>
    <row r="18" spans="1:23" ht="15" customHeight="1">
      <c r="A18" s="54" t="s">
        <v>20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9"/>
      <c r="W18" s="57" t="str">
        <f>'Data_ Contrats'!A27</f>
        <v>ASL Smartseille</v>
      </c>
    </row>
    <row r="19" spans="1:23" ht="15" customHeight="1">
      <c r="A19" s="54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9"/>
      <c r="W19" s="57" t="str">
        <f>'Data_ Contrats'!A28</f>
        <v>Attentifimmo</v>
      </c>
    </row>
    <row r="20" spans="1:23" ht="15" customHeight="1">
      <c r="A20" s="54" t="s">
        <v>104</v>
      </c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W20" s="57" t="str">
        <f>'Data_ Contrats'!A29</f>
        <v>Auvergne Habitat</v>
      </c>
    </row>
    <row r="21" spans="1:23" ht="15" customHeight="1">
      <c r="A21" s="54" t="s">
        <v>44</v>
      </c>
      <c r="B21" s="54"/>
      <c r="C21" s="54"/>
      <c r="D21" s="54"/>
      <c r="E21" s="54" t="str">
        <f>I6</f>
        <v>Paris Habitat</v>
      </c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W21" s="57" t="str">
        <f>'Data_ Contrats'!A30</f>
        <v>Aximo</v>
      </c>
    </row>
    <row r="22" spans="1:23" ht="15" customHeight="1">
      <c r="A22" s="54" t="s">
        <v>2</v>
      </c>
      <c r="B22" s="54"/>
      <c r="C22" s="54"/>
      <c r="D22" s="54"/>
      <c r="E22" s="54" t="s">
        <v>141</v>
      </c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189" t="s">
        <v>91</v>
      </c>
      <c r="W22" s="57" t="str">
        <f>'Data_ Contrats'!A31</f>
        <v>Aximo</v>
      </c>
    </row>
    <row r="23" spans="1:23" ht="15" customHeight="1">
      <c r="A23" s="54" t="s">
        <v>533</v>
      </c>
      <c r="B23" s="54"/>
      <c r="C23" s="54"/>
      <c r="D23" s="54"/>
      <c r="E23" s="19" t="s">
        <v>2189</v>
      </c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189"/>
      <c r="W23" s="57" t="str">
        <f>'Data_ Contrats'!A32</f>
        <v>B2K Park</v>
      </c>
    </row>
    <row r="24" spans="1:23" ht="15" customHeight="1">
      <c r="A24" s="54" t="s">
        <v>376</v>
      </c>
      <c r="B24" s="54"/>
      <c r="C24" s="54"/>
      <c r="D24" s="54"/>
      <c r="E24" s="212">
        <f>E26/(1+E25)</f>
        <v>156.78333333333333</v>
      </c>
      <c r="F24" s="212"/>
      <c r="G24" s="212"/>
      <c r="H24" s="212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0" t="s">
        <v>244</v>
      </c>
      <c r="W24" s="57" t="str">
        <f>'Data_ Contrats'!A33</f>
        <v>BAI Business</v>
      </c>
    </row>
    <row r="25" spans="1:23" ht="15" customHeight="1">
      <c r="A25" s="54" t="s">
        <v>71</v>
      </c>
      <c r="B25" s="54"/>
      <c r="C25" s="54"/>
      <c r="D25" s="54"/>
      <c r="E25" s="213">
        <v>0.2</v>
      </c>
      <c r="F25" s="182"/>
      <c r="G25" s="182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2" t="str">
        <f>CONCATENATE(I6,"_",E23)</f>
        <v>Paris Habitat_2018-08</v>
      </c>
      <c r="W25" s="57" t="str">
        <f>'Data_ Contrats'!A34</f>
        <v>Batigere Mulhouse</v>
      </c>
    </row>
    <row r="26" spans="1:23" ht="15" customHeight="1">
      <c r="A26" s="54" t="s">
        <v>375</v>
      </c>
      <c r="B26" s="54"/>
      <c r="C26" s="54"/>
      <c r="D26" s="54"/>
      <c r="E26" s="214">
        <f>SUMIF(Data_P!A:A,U25,Data_P!J:J)</f>
        <v>188.14</v>
      </c>
      <c r="F26" s="214"/>
      <c r="G26" s="214"/>
      <c r="H26" s="21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W26" s="57" t="str">
        <f>'Data_ Contrats'!A35</f>
        <v>Batigere Nancy</v>
      </c>
    </row>
    <row r="27" spans="1:23" ht="15" customHeight="1">
      <c r="B27" s="52" t="s">
        <v>536</v>
      </c>
      <c r="E27" s="55"/>
      <c r="F27" s="55"/>
      <c r="G27" s="55"/>
      <c r="H27" s="55"/>
      <c r="I27" s="54"/>
      <c r="J27" s="54"/>
      <c r="L27" s="211">
        <f>0.1*E26</f>
        <v>18.814</v>
      </c>
      <c r="M27" s="211"/>
      <c r="N27" s="211"/>
      <c r="O27" s="54"/>
      <c r="P27" s="54"/>
      <c r="Q27" s="54"/>
      <c r="R27" s="54"/>
      <c r="S27" s="54"/>
      <c r="T27" s="54"/>
      <c r="W27" s="57" t="str">
        <f>'Data_ Contrats'!A36</f>
        <v>Batigere Strasbourg</v>
      </c>
    </row>
    <row r="28" spans="1:23" ht="15" customHeight="1">
      <c r="A28" s="44"/>
      <c r="B28" s="44"/>
      <c r="C28" s="44"/>
      <c r="D28" s="44"/>
      <c r="E28" s="45"/>
      <c r="F28" s="45"/>
      <c r="G28" s="45"/>
      <c r="H28" s="45"/>
      <c r="I28" s="45"/>
      <c r="J28" s="45"/>
      <c r="K28" s="45"/>
      <c r="L28" s="45"/>
      <c r="M28" s="45"/>
      <c r="N28" s="44"/>
      <c r="O28" s="46"/>
      <c r="P28" s="46"/>
      <c r="Q28" s="54"/>
      <c r="R28" s="54"/>
      <c r="S28" s="54"/>
      <c r="T28" s="54"/>
      <c r="W28" s="57" t="str">
        <f>'Data_ Contrats'!A37</f>
        <v>Beep Valet</v>
      </c>
    </row>
    <row r="29" spans="1:23" ht="15" customHeight="1">
      <c r="G29" s="20"/>
      <c r="H29" s="46"/>
      <c r="I29" s="47"/>
      <c r="J29" s="48"/>
      <c r="K29" s="47"/>
      <c r="L29" s="44"/>
      <c r="M29" s="47"/>
      <c r="N29" s="48"/>
      <c r="O29" s="48"/>
      <c r="P29" s="46"/>
      <c r="S29" s="54"/>
      <c r="T29" s="54"/>
      <c r="W29" s="57" t="str">
        <f>'Data_ Contrats'!A38</f>
        <v>Belalaan Meir Leasehold</v>
      </c>
    </row>
    <row r="30" spans="1:23" ht="15" customHeight="1">
      <c r="A30" s="54" t="s">
        <v>65</v>
      </c>
      <c r="B30" s="54"/>
      <c r="C30" s="54"/>
      <c r="D30" s="54"/>
      <c r="E30" s="54"/>
      <c r="G30" s="20"/>
      <c r="H30" s="46"/>
      <c r="I30" s="47"/>
      <c r="J30" s="48"/>
      <c r="K30" s="47"/>
      <c r="L30" s="44"/>
      <c r="M30" s="47"/>
      <c r="N30" s="48"/>
      <c r="O30" s="48"/>
      <c r="P30" s="46"/>
      <c r="W30" s="57" t="str">
        <f>'Data_ Contrats'!A39</f>
        <v>Best Park CDG</v>
      </c>
    </row>
    <row r="31" spans="1:23" ht="15" customHeight="1">
      <c r="A31" s="54" t="s">
        <v>30</v>
      </c>
      <c r="B31" s="54"/>
      <c r="C31" s="54"/>
      <c r="D31" s="54"/>
      <c r="G31" s="20"/>
      <c r="H31" s="46"/>
      <c r="I31" s="46"/>
      <c r="J31" s="48"/>
      <c r="K31" s="47"/>
      <c r="L31" s="44"/>
      <c r="M31" s="49"/>
      <c r="N31" s="48"/>
      <c r="O31" s="48"/>
      <c r="P31" s="46"/>
      <c r="W31" s="57" t="str">
        <f>'Data_ Contrats'!A40</f>
        <v>Best Western Clermont Ferrand</v>
      </c>
    </row>
    <row r="32" spans="1:23" ht="15" customHeight="1">
      <c r="A32" s="54" t="s">
        <v>80</v>
      </c>
      <c r="B32" s="54"/>
      <c r="C32" s="54" t="str">
        <f>VLOOKUP($I$6,'Data_ Contrats'!$A$10:$P$233,'Data_ Contrats'!M1)</f>
        <v>FR92 2004 1000 0100 0101 5J02 062</v>
      </c>
      <c r="D32" s="54"/>
      <c r="E32" s="54"/>
      <c r="H32" s="44"/>
      <c r="I32" s="44"/>
      <c r="J32" s="47"/>
      <c r="K32" s="47"/>
      <c r="L32" s="44"/>
      <c r="M32" s="44"/>
      <c r="N32" s="44"/>
      <c r="O32" s="44"/>
      <c r="P32" s="44"/>
      <c r="W32" s="57" t="str">
        <f>'Data_ Contrats'!A41</f>
        <v>Blue Park</v>
      </c>
    </row>
    <row r="33" spans="1:24" ht="15" customHeight="1">
      <c r="A33" s="54" t="s">
        <v>81</v>
      </c>
      <c r="B33" s="54"/>
      <c r="C33" s="54" t="str">
        <f>VLOOKUP($I$6,'Data_ Contrats'!$A$10:$P$233,'Data_ Contrats'!N1)</f>
        <v>PSSTFRPPPAR</v>
      </c>
      <c r="D33" s="54"/>
      <c r="E33" s="54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W33" s="57" t="str">
        <f>'Data_ Contrats'!A42</f>
        <v>Boxx'In</v>
      </c>
    </row>
    <row r="34" spans="1:24" ht="15" customHeight="1">
      <c r="H34" s="20"/>
      <c r="I34" s="20"/>
      <c r="L34" s="20"/>
      <c r="M34" s="20"/>
      <c r="N34" s="20"/>
      <c r="O34" s="20"/>
      <c r="P34" s="20"/>
      <c r="Q34" s="20"/>
      <c r="R34" s="20"/>
      <c r="S34" s="20"/>
      <c r="T34" s="20"/>
      <c r="W34" s="57" t="str">
        <f>'Data_ Contrats'!A43</f>
        <v>BUGEAUD &amp; FILLE</v>
      </c>
    </row>
    <row r="35" spans="1:24" ht="15" customHeight="1">
      <c r="A35" s="59" t="s">
        <v>374</v>
      </c>
      <c r="F35" s="54"/>
      <c r="H35" s="20"/>
      <c r="I35" s="20"/>
      <c r="L35" s="20"/>
      <c r="M35" s="20"/>
      <c r="N35" s="20"/>
      <c r="O35" s="20"/>
      <c r="P35" s="20"/>
      <c r="Q35" s="20"/>
      <c r="R35" s="20"/>
      <c r="S35" s="20"/>
      <c r="T35" s="20"/>
      <c r="W35" s="57" t="str">
        <f>'Data_ Contrats'!A44</f>
        <v>Cactus Group I-Parking</v>
      </c>
    </row>
    <row r="36" spans="1:24" ht="15" customHeight="1">
      <c r="F36" s="54"/>
      <c r="L36" s="20"/>
      <c r="M36" s="20"/>
      <c r="N36" s="20"/>
      <c r="O36" s="20"/>
      <c r="P36" s="20"/>
      <c r="Q36" s="20"/>
      <c r="R36" s="20"/>
      <c r="S36" s="20"/>
      <c r="T36" s="20"/>
      <c r="W36" s="57" t="str">
        <f>'Data_ Contrats'!A45</f>
        <v>Campanile Bobigny</v>
      </c>
    </row>
    <row r="37" spans="1:24" ht="15" customHeight="1">
      <c r="A37" s="27" t="s">
        <v>45</v>
      </c>
      <c r="F37" s="54"/>
      <c r="G37" s="21"/>
      <c r="H37" s="21"/>
      <c r="I37" s="21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W37" s="57" t="str">
        <f>'Data_ Contrats'!A46</f>
        <v>Campanile Gennevilliers</v>
      </c>
    </row>
    <row r="38" spans="1:24" ht="15" customHeight="1">
      <c r="G38" s="21"/>
      <c r="H38" s="21"/>
      <c r="I38" s="21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W38" s="57" t="str">
        <f>'Data_ Contrats'!A47</f>
        <v>Campanile La Villette</v>
      </c>
    </row>
    <row r="39" spans="1:24" ht="15" customHeight="1">
      <c r="A39" s="27" t="s">
        <v>9</v>
      </c>
      <c r="B39" s="32"/>
      <c r="C39" s="32"/>
      <c r="D39" s="32"/>
      <c r="E39" s="32"/>
      <c r="F39" s="32"/>
      <c r="G39" s="21"/>
      <c r="H39" s="21"/>
      <c r="I39" s="21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W39" s="57" t="str">
        <f>'Data_ Contrats'!A48</f>
        <v>Campanile Lille</v>
      </c>
    </row>
    <row r="40" spans="1:24" ht="15" customHeight="1">
      <c r="E40" s="32"/>
      <c r="F40" s="32"/>
      <c r="G40" s="21"/>
      <c r="H40" s="21"/>
      <c r="I40" s="21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W40" s="57" t="str">
        <f>'Data_ Contrats'!A49</f>
        <v>Campanile Nanterre</v>
      </c>
    </row>
    <row r="41" spans="1:24" ht="15" customHeight="1">
      <c r="E41" s="32"/>
      <c r="F41" s="32"/>
      <c r="H41" s="23"/>
      <c r="I41" s="23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W41" s="57" t="str">
        <f>'Data_ Contrats'!A50</f>
        <v>Campanile Roissy</v>
      </c>
    </row>
    <row r="42" spans="1:24" ht="15" customHeight="1">
      <c r="B42" s="54"/>
      <c r="C42" s="54"/>
      <c r="D42" s="54"/>
      <c r="E42" s="54"/>
      <c r="G42" s="23"/>
      <c r="H42" s="23"/>
      <c r="I42" s="23"/>
      <c r="J42" s="54"/>
      <c r="K42" s="54"/>
      <c r="L42" s="54"/>
      <c r="M42" s="54"/>
      <c r="N42" s="54"/>
      <c r="P42" s="54"/>
      <c r="Q42" s="54"/>
      <c r="R42" s="54"/>
      <c r="S42" s="54"/>
      <c r="T42" s="54"/>
      <c r="W42" s="57" t="str">
        <f>'Data_ Contrats'!A51</f>
        <v>Campanile Suresnes</v>
      </c>
    </row>
    <row r="43" spans="1:24" ht="15" customHeight="1">
      <c r="A43" s="27" t="s">
        <v>236</v>
      </c>
      <c r="B43" s="27"/>
      <c r="C43" s="26"/>
      <c r="D43" s="26"/>
      <c r="E43" s="54"/>
      <c r="F43" s="54"/>
      <c r="G43" s="23"/>
      <c r="H43" s="23"/>
      <c r="I43" s="23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W43" s="57" t="str">
        <f>'Data_ Contrats'!A52</f>
        <v>CCN Poterie et Brossolette</v>
      </c>
    </row>
    <row r="44" spans="1:24" ht="15" customHeight="1">
      <c r="B44" s="27" t="s">
        <v>237</v>
      </c>
      <c r="C44" s="26"/>
      <c r="D44" s="26"/>
      <c r="E44" s="24"/>
      <c r="F44" s="24"/>
      <c r="H44" s="22"/>
      <c r="I44" s="22"/>
      <c r="J44" s="25"/>
      <c r="L44" s="54"/>
      <c r="M44" s="22"/>
      <c r="N44" s="54"/>
      <c r="O44" s="54"/>
      <c r="P44" s="54"/>
      <c r="Q44" s="54"/>
      <c r="R44" s="54"/>
      <c r="S44" s="54"/>
      <c r="T44" s="54"/>
      <c r="W44" s="57" t="str">
        <f>'Data_ Contrats'!A53</f>
        <v>Centre Hospitalier Intercommunal de Créteil</v>
      </c>
    </row>
    <row r="45" spans="1:24" ht="15" customHeight="1">
      <c r="A45" s="54"/>
      <c r="C45" s="54"/>
      <c r="D45" s="54"/>
      <c r="E45" s="54"/>
      <c r="F45" s="54"/>
      <c r="G45" s="23"/>
      <c r="H45" s="23"/>
      <c r="I45" s="23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W45" s="57" t="str">
        <f>'Data_ Contrats'!A54</f>
        <v>Citadines Austerlitz</v>
      </c>
    </row>
    <row r="46" spans="1:24" ht="15" customHeight="1">
      <c r="A46" s="54"/>
      <c r="B46" s="54" t="s">
        <v>238</v>
      </c>
      <c r="C46" s="54"/>
      <c r="D46" s="54"/>
      <c r="E46" s="54"/>
      <c r="F46" s="54"/>
      <c r="G46" s="22"/>
      <c r="H46" s="23"/>
      <c r="I46" s="23"/>
      <c r="J46" s="23"/>
      <c r="K46" s="23"/>
      <c r="L46" s="23"/>
      <c r="M46" s="23"/>
      <c r="N46" s="54"/>
      <c r="O46" s="54"/>
      <c r="P46" s="54"/>
      <c r="Q46" s="54"/>
      <c r="R46" s="54"/>
      <c r="S46" s="54"/>
      <c r="T46" s="54"/>
      <c r="W46" s="57" t="str">
        <f>'Data_ Contrats'!A55</f>
        <v>Citadines Bastille Gare de Lyon</v>
      </c>
    </row>
    <row r="47" spans="1:24" ht="15" customHeight="1">
      <c r="A47" s="54"/>
      <c r="B47" s="54"/>
      <c r="C47" s="54"/>
      <c r="D47" s="54"/>
      <c r="E47" s="54"/>
      <c r="F47" s="54"/>
      <c r="G47" s="23"/>
      <c r="H47" s="23"/>
      <c r="I47" s="23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W47" s="57" t="str">
        <f>'Data_ Contrats'!A56</f>
        <v>Citadines Genève</v>
      </c>
    </row>
    <row r="48" spans="1:24" s="118" customFormat="1" ht="15" customHeight="1">
      <c r="A48" s="117"/>
      <c r="B48" s="117"/>
      <c r="C48" s="117"/>
      <c r="D48" s="117"/>
      <c r="E48" s="117"/>
      <c r="F48" s="117"/>
      <c r="G48" s="23"/>
      <c r="H48" s="23"/>
      <c r="I48" s="23"/>
      <c r="J48" s="117"/>
      <c r="K48" s="117"/>
      <c r="L48" s="117"/>
      <c r="M48" s="117"/>
      <c r="N48" s="117"/>
      <c r="O48" s="117"/>
      <c r="P48" s="117"/>
      <c r="Q48" s="117"/>
      <c r="R48" s="117"/>
      <c r="S48" s="117"/>
      <c r="T48" s="117"/>
      <c r="U48" s="116"/>
      <c r="W48" s="57" t="str">
        <f>'Data_ Contrats'!A57</f>
        <v>Citadines Montmartre</v>
      </c>
      <c r="X48" s="56"/>
    </row>
    <row r="49" spans="1:46" s="118" customFormat="1" ht="15" customHeight="1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U49" s="116"/>
      <c r="W49" s="57" t="str">
        <f>'Data_ Contrats'!A58</f>
        <v>Citadines Montpellier</v>
      </c>
      <c r="X49" s="56"/>
    </row>
    <row r="50" spans="1:46" s="118" customFormat="1" ht="15" customHeight="1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U50" s="116"/>
      <c r="W50" s="57" t="str">
        <f>'Data_ Contrats'!A59</f>
        <v>Citadines République</v>
      </c>
      <c r="X50" s="56"/>
    </row>
    <row r="51" spans="1:46" ht="15" customHeight="1">
      <c r="W51" s="57" t="str">
        <f>'Data_ Contrats'!A60</f>
        <v>Citadines Saint-Germain</v>
      </c>
    </row>
    <row r="52" spans="1:46">
      <c r="N52" s="196" t="s">
        <v>250</v>
      </c>
      <c r="O52" s="223"/>
      <c r="P52" s="223"/>
      <c r="Q52" s="223"/>
      <c r="R52" s="223"/>
      <c r="S52" s="223"/>
      <c r="T52" s="223"/>
      <c r="U52" s="51"/>
      <c r="V52" s="51"/>
      <c r="W52" s="57" t="str">
        <f>'Data_ Contrats'!A61</f>
        <v>Citadines Toulouse</v>
      </c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</row>
    <row r="53" spans="1:46">
      <c r="N53" s="223"/>
      <c r="O53" s="223"/>
      <c r="P53" s="223"/>
      <c r="Q53" s="223"/>
      <c r="R53" s="223"/>
      <c r="S53" s="223"/>
      <c r="T53" s="223"/>
      <c r="U53" s="51"/>
      <c r="V53" s="51"/>
      <c r="W53" s="57" t="str">
        <f>'Data_ Contrats'!A62</f>
        <v>Citadines Tour Eiffel</v>
      </c>
      <c r="X53" s="52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</row>
    <row r="54" spans="1:46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38"/>
      <c r="L54" s="38"/>
      <c r="M54" s="39"/>
      <c r="N54" s="223"/>
      <c r="O54" s="223"/>
      <c r="P54" s="223"/>
      <c r="Q54" s="223"/>
      <c r="R54" s="223"/>
      <c r="S54" s="223"/>
      <c r="T54" s="223"/>
      <c r="U54" s="51"/>
      <c r="V54" s="51"/>
      <c r="W54" s="57" t="str">
        <f>'Data_ Contrats'!A63</f>
        <v>Citadines Trocadéro</v>
      </c>
      <c r="X54" s="52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</row>
    <row r="55" spans="1:46" s="118" customFormat="1" ht="18">
      <c r="A55" s="94"/>
      <c r="B55" s="94"/>
      <c r="C55" s="94"/>
      <c r="D55" s="94"/>
      <c r="E55" s="94"/>
      <c r="F55" s="94"/>
      <c r="G55" s="94"/>
      <c r="H55" s="94"/>
      <c r="I55" s="94"/>
      <c r="J55" s="94"/>
      <c r="K55" s="38"/>
      <c r="L55" s="38"/>
      <c r="M55" s="39"/>
      <c r="N55" s="146"/>
      <c r="O55" s="146"/>
      <c r="P55" s="146"/>
      <c r="Q55" s="146"/>
      <c r="R55" s="146"/>
      <c r="S55" s="146"/>
      <c r="T55" s="146"/>
      <c r="U55" s="56"/>
      <c r="V55" s="56"/>
      <c r="W55" s="57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</row>
    <row r="56" spans="1:46">
      <c r="A56" s="226" t="s">
        <v>64</v>
      </c>
      <c r="B56" s="226"/>
      <c r="C56" s="226"/>
      <c r="D56" s="226"/>
      <c r="E56" s="226"/>
      <c r="F56" s="226"/>
      <c r="G56" s="226" t="s">
        <v>377</v>
      </c>
      <c r="H56" s="226"/>
      <c r="I56" s="226"/>
      <c r="J56" s="226" t="s">
        <v>378</v>
      </c>
      <c r="K56" s="226"/>
      <c r="L56" s="226" t="s">
        <v>219</v>
      </c>
      <c r="M56" s="226"/>
      <c r="N56" s="226"/>
      <c r="O56" s="227" t="s">
        <v>379</v>
      </c>
      <c r="P56" s="227"/>
      <c r="Q56" s="227"/>
      <c r="R56" s="225" t="s">
        <v>307</v>
      </c>
      <c r="S56" s="225"/>
      <c r="T56" s="225"/>
      <c r="U56" s="51"/>
      <c r="V56" s="51"/>
      <c r="W56" s="57" t="str">
        <f>'Data_ Contrats'!A64</f>
        <v>Cité Nouvelle</v>
      </c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</row>
    <row r="57" spans="1:46">
      <c r="A57" s="226"/>
      <c r="B57" s="226"/>
      <c r="C57" s="226"/>
      <c r="D57" s="226"/>
      <c r="E57" s="226"/>
      <c r="F57" s="226"/>
      <c r="G57" s="226"/>
      <c r="H57" s="226"/>
      <c r="I57" s="226"/>
      <c r="J57" s="226"/>
      <c r="K57" s="226"/>
      <c r="L57" s="226"/>
      <c r="M57" s="226"/>
      <c r="N57" s="226"/>
      <c r="O57" s="227"/>
      <c r="P57" s="227"/>
      <c r="Q57" s="227"/>
      <c r="R57" s="225"/>
      <c r="S57" s="225"/>
      <c r="T57" s="225"/>
      <c r="U57" s="51"/>
      <c r="V57" s="51"/>
      <c r="W57" s="57" t="str">
        <f>'Data_ Contrats'!A66</f>
        <v>Clarion Suites Cannes</v>
      </c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</row>
    <row r="58" spans="1:46">
      <c r="A58" s="45"/>
      <c r="B58" s="45"/>
      <c r="C58" s="45"/>
      <c r="D58" s="45"/>
      <c r="E58" s="45"/>
      <c r="F58" s="45"/>
      <c r="G58" s="45"/>
      <c r="J58" s="45"/>
      <c r="K58" s="45"/>
      <c r="L58" s="45"/>
      <c r="M58" s="60"/>
      <c r="N58" s="60"/>
      <c r="O58" s="60"/>
      <c r="P58" s="60"/>
      <c r="Q58" s="60"/>
      <c r="R58" s="60"/>
      <c r="S58" s="61"/>
      <c r="T58" s="61"/>
      <c r="U58" s="51"/>
      <c r="V58" s="51"/>
      <c r="W58" s="57" t="str">
        <f>'Data_ Contrats'!A67</f>
        <v>Cogestra</v>
      </c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  <c r="AR58" s="51"/>
      <c r="AS58" s="51"/>
      <c r="AT58" s="51"/>
    </row>
    <row r="59" spans="1:46" ht="15.9" customHeight="1">
      <c r="A59" s="86" t="s">
        <v>526</v>
      </c>
      <c r="B59" s="87"/>
      <c r="C59" s="87"/>
      <c r="D59" s="87"/>
      <c r="E59" s="87"/>
      <c r="F59" s="88"/>
      <c r="G59" s="228" t="e">
        <f>INDEX(Data_P!$A$3:$J$620,MATCH('Paris Habita'!A59,Data_P!$C$3:$C$620,0),4)</f>
        <v>#N/A</v>
      </c>
      <c r="H59" s="229"/>
      <c r="I59" s="230"/>
      <c r="J59" s="222" t="e">
        <f>INDEX(Data_P!$A$3:$J$620,MATCH('Paris Habita'!A59,Data_P!$C$3:$C$620,0),6)</f>
        <v>#N/A</v>
      </c>
      <c r="K59" s="222"/>
      <c r="L59" s="218" t="e">
        <f>INDEX(Data_P!$A$3:$J$620,MATCH('Paris Habita'!A59,Data_P!$C$3:$C$620,0),7)</f>
        <v>#N/A</v>
      </c>
      <c r="M59" s="218"/>
      <c r="N59" s="218"/>
      <c r="O59" s="218" t="e">
        <f>INDEX(Data_P!$A$3:$J$620,MATCH('Paris Habita'!A59,Data_P!$C$3:$C$620,0),10)</f>
        <v>#N/A</v>
      </c>
      <c r="P59" s="218"/>
      <c r="Q59" s="218"/>
      <c r="R59" s="231" t="e">
        <f>O59*0.1</f>
        <v>#N/A</v>
      </c>
      <c r="S59" s="231"/>
      <c r="T59" s="231"/>
      <c r="U59" s="51"/>
      <c r="V59" s="51"/>
      <c r="W59" s="57" t="str">
        <f>'Data_ Contrats'!A69</f>
        <v>Concorde Montparnasse</v>
      </c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  <c r="AQ59" s="51"/>
      <c r="AR59" s="51"/>
      <c r="AS59" s="51"/>
      <c r="AT59" s="51"/>
    </row>
    <row r="60" spans="1:46">
      <c r="A60" s="71" t="s">
        <v>352</v>
      </c>
      <c r="B60" s="65"/>
      <c r="C60" s="66"/>
      <c r="D60" s="72"/>
      <c r="E60" s="77"/>
      <c r="F60" s="73"/>
      <c r="G60" s="228" t="e">
        <f>INDEX(Data_P!$A$3:$J$620,MATCH('Paris Habita'!A60,Data_P!$C$3:$C$620,0),4)</f>
        <v>#N/A</v>
      </c>
      <c r="H60" s="229"/>
      <c r="I60" s="230"/>
      <c r="J60" s="222" t="e">
        <f>INDEX(Data_P!$A$3:$J$620,MATCH('Paris Habita'!A60,Data_P!$C$3:$C$620,0),6)</f>
        <v>#N/A</v>
      </c>
      <c r="K60" s="222"/>
      <c r="L60" s="218" t="e">
        <f>INDEX(Data_P!$A$3:$J$620,MATCH('Paris Habita'!A60,Data_P!$C$3:$C$620,0),7)</f>
        <v>#N/A</v>
      </c>
      <c r="M60" s="218"/>
      <c r="N60" s="218"/>
      <c r="O60" s="218" t="e">
        <f>INDEX(Data_P!$A$3:$J$620,MATCH('Paris Habita'!A60,Data_P!$C$3:$C$620,0),10)</f>
        <v>#N/A</v>
      </c>
      <c r="P60" s="218"/>
      <c r="Q60" s="218"/>
      <c r="R60" s="224" t="e">
        <f>O60*0.1</f>
        <v>#N/A</v>
      </c>
      <c r="S60" s="224"/>
      <c r="T60" s="224"/>
      <c r="U60" s="51"/>
      <c r="V60" s="51"/>
      <c r="W60" s="57" t="str">
        <f>'Data_ Contrats'!A70</f>
        <v>Coopérer Pour Habiter</v>
      </c>
      <c r="Y60" s="51"/>
      <c r="Z60" s="51"/>
      <c r="AA60" s="51"/>
      <c r="AB60" s="51"/>
      <c r="AC60" s="51"/>
      <c r="AD60" s="51"/>
      <c r="AE60" s="51"/>
      <c r="AF60" s="51"/>
      <c r="AG60" s="51"/>
      <c r="AH60" s="51"/>
      <c r="AI60" s="51"/>
      <c r="AJ60" s="51"/>
      <c r="AK60" s="51"/>
      <c r="AL60" s="51"/>
      <c r="AM60" s="51"/>
      <c r="AN60" s="51"/>
      <c r="AO60" s="51"/>
      <c r="AP60" s="51"/>
      <c r="AQ60" s="51"/>
      <c r="AR60" s="51"/>
      <c r="AS60" s="51"/>
      <c r="AT60" s="51"/>
    </row>
    <row r="61" spans="1:46">
      <c r="A61" s="75" t="s">
        <v>424</v>
      </c>
      <c r="B61" s="76"/>
      <c r="C61" s="74"/>
      <c r="D61" s="74"/>
      <c r="E61" s="74"/>
      <c r="F61" s="74"/>
      <c r="G61" s="228" t="e">
        <f>INDEX(Data_P!$A$3:$J$620,MATCH('Paris Habita'!A61,Data_P!$C$3:$C$620,0),4)</f>
        <v>#N/A</v>
      </c>
      <c r="H61" s="229"/>
      <c r="I61" s="230"/>
      <c r="J61" s="222" t="e">
        <f>INDEX(Data_P!$A$3:$J$620,MATCH('Paris Habita'!A61,Data_P!$C$3:$C$620,0),6)</f>
        <v>#N/A</v>
      </c>
      <c r="K61" s="222"/>
      <c r="L61" s="218" t="e">
        <f>INDEX(Data_P!$A$3:$J$620,MATCH('Paris Habita'!A61,Data_P!$C$3:$C$620,0),7)</f>
        <v>#N/A</v>
      </c>
      <c r="M61" s="218"/>
      <c r="N61" s="218"/>
      <c r="O61" s="218" t="e">
        <f>INDEX(Data_P!$A$3:$J$620,MATCH('Paris Habita'!A61,Data_P!$C$3:$C$620,0),10)</f>
        <v>#N/A</v>
      </c>
      <c r="P61" s="218"/>
      <c r="Q61" s="218"/>
      <c r="R61" s="215" t="e">
        <f>O61*0.1</f>
        <v>#N/A</v>
      </c>
      <c r="S61" s="216"/>
      <c r="T61" s="217"/>
      <c r="U61" s="51"/>
      <c r="V61" s="51"/>
      <c r="W61" s="57" t="str">
        <f>'Data_ Contrats'!A71</f>
        <v>Crowne Plaza Montpellier</v>
      </c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</row>
    <row r="62" spans="1:46">
      <c r="A62" s="89" t="s">
        <v>477</v>
      </c>
      <c r="B62" s="90"/>
      <c r="C62" s="90"/>
      <c r="D62" s="90"/>
      <c r="E62" s="90"/>
      <c r="F62" s="91"/>
      <c r="G62" s="228" t="e">
        <f>INDEX(Data_P!$A$3:$J$620,MATCH('Paris Habita'!A62,Data_P!$C$3:$C$620,0),4)</f>
        <v>#N/A</v>
      </c>
      <c r="H62" s="229"/>
      <c r="I62" s="230"/>
      <c r="J62" s="222" t="e">
        <f>INDEX(Data_P!$A$3:$J$620,MATCH('Paris Habita'!A62,Data_P!$C$3:$C$620,0),6)</f>
        <v>#N/A</v>
      </c>
      <c r="K62" s="222"/>
      <c r="L62" s="218" t="e">
        <f>INDEX(Data_P!$A$3:$J$620,MATCH('Paris Habita'!A62,Data_P!$C$3:$C$620,0),7)</f>
        <v>#N/A</v>
      </c>
      <c r="M62" s="218"/>
      <c r="N62" s="218"/>
      <c r="O62" s="218" t="e">
        <f>INDEX(Data_P!$A$3:$J$620,MATCH('Paris Habita'!A62,Data_P!$C$3:$C$620,0),10)</f>
        <v>#N/A</v>
      </c>
      <c r="P62" s="218"/>
      <c r="Q62" s="218"/>
      <c r="R62" s="215" t="e">
        <f>O62*0.1</f>
        <v>#N/A</v>
      </c>
      <c r="S62" s="216"/>
      <c r="T62" s="217"/>
      <c r="U62" s="51"/>
      <c r="V62" s="51"/>
      <c r="W62" s="57" t="e">
        <f>'Data_ Contrats'!#REF!</f>
        <v>#REF!</v>
      </c>
      <c r="Y62" s="51"/>
      <c r="Z62" s="51"/>
      <c r="AA62" s="51"/>
      <c r="AB62" s="51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  <c r="AO62" s="51"/>
      <c r="AP62" s="51"/>
      <c r="AQ62" s="51"/>
      <c r="AR62" s="51"/>
      <c r="AS62" s="51"/>
      <c r="AT62" s="51"/>
    </row>
    <row r="63" spans="1:46">
      <c r="A63" s="85"/>
      <c r="B63" s="14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51"/>
      <c r="V63" s="51"/>
      <c r="W63" s="57" t="e">
        <f>'Data_ Contrats'!#REF!</f>
        <v>#REF!</v>
      </c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</row>
    <row r="64" spans="1:46">
      <c r="A64" s="62"/>
      <c r="B64" s="63"/>
      <c r="C64" s="62"/>
      <c r="D64" s="62"/>
      <c r="E64" s="62"/>
      <c r="F64" s="62"/>
      <c r="G64" s="62"/>
      <c r="H64" s="62"/>
      <c r="I64" s="85"/>
      <c r="J64" s="219" t="s">
        <v>165</v>
      </c>
      <c r="K64" s="220"/>
      <c r="L64" s="220"/>
      <c r="M64" s="220"/>
      <c r="N64" s="221"/>
      <c r="O64" s="215" t="e">
        <f>SUM(O59:Q62)</f>
        <v>#N/A</v>
      </c>
      <c r="P64" s="216"/>
      <c r="Q64" s="217"/>
      <c r="R64" s="215" t="e">
        <f>SUM(R59:S62)</f>
        <v>#N/A</v>
      </c>
      <c r="S64" s="216"/>
      <c r="T64" s="217"/>
      <c r="U64" s="58"/>
      <c r="V64" s="51"/>
      <c r="W64" s="57" t="e">
        <f>'Data_ Contrats'!#REF!</f>
        <v>#REF!</v>
      </c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  <c r="AN64" s="51"/>
      <c r="AO64" s="51"/>
      <c r="AP64" s="51"/>
      <c r="AQ64" s="51"/>
      <c r="AR64" s="51"/>
      <c r="AS64" s="51"/>
      <c r="AT64" s="51"/>
    </row>
    <row r="65" spans="1:46">
      <c r="A65" s="64"/>
      <c r="B65" s="64"/>
      <c r="C65" s="64"/>
      <c r="D65" s="64"/>
      <c r="E65" s="64"/>
      <c r="F65" s="64"/>
      <c r="G65" s="64"/>
      <c r="H65" s="64"/>
      <c r="I65" s="85"/>
      <c r="J65" s="78"/>
      <c r="K65" s="78" t="str">
        <f>IF('Détail de conso'!B15=0,"",'Détail de conso'!B15)</f>
        <v/>
      </c>
      <c r="L65" s="100" t="str">
        <f>IF('Détail de conso'!C15=0,"",'Détail de conso'!C15)</f>
        <v/>
      </c>
      <c r="M65" s="101"/>
      <c r="N65" s="101"/>
      <c r="O65" s="85" t="str">
        <f>IF('Détail de conso'!D15=0,"",'Détail de conso'!D15)</f>
        <v/>
      </c>
      <c r="P65" s="85"/>
      <c r="Q65" s="85" t="str">
        <f>IF('Détail de conso'!E15=0,"",'Détail de conso'!E15)</f>
        <v/>
      </c>
      <c r="R65" s="85"/>
      <c r="S65" s="56"/>
      <c r="T65" s="56"/>
      <c r="U65" s="51"/>
      <c r="V65" s="51"/>
      <c r="W65" s="57" t="e">
        <f>'Data_ Contrats'!#REF!</f>
        <v>#REF!</v>
      </c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</row>
    <row r="66" spans="1:46">
      <c r="A66" s="63"/>
      <c r="B66" s="63"/>
      <c r="C66" s="63"/>
      <c r="D66" s="63"/>
      <c r="E66" s="63"/>
      <c r="F66" s="63"/>
      <c r="G66" s="63"/>
      <c r="H66" s="63"/>
      <c r="J66" s="78"/>
      <c r="K66" s="78" t="str">
        <f>IF('Détail de conso'!B16=0,"",'Détail de conso'!B16)</f>
        <v/>
      </c>
      <c r="L66" s="78"/>
      <c r="M66" s="78" t="str">
        <f>IF('Détail de conso'!C16=0,"",'Détail de conso'!C16)</f>
        <v/>
      </c>
      <c r="N66" s="78"/>
      <c r="O66" s="52" t="str">
        <f>IF('Détail de conso'!D16=0,"",'Détail de conso'!D16)</f>
        <v/>
      </c>
      <c r="Q66" s="52" t="str">
        <f>IF('Détail de conso'!E16=0,"",'Détail de conso'!E16)</f>
        <v/>
      </c>
      <c r="S66" s="51"/>
      <c r="T66" s="51"/>
      <c r="U66" s="51"/>
      <c r="V66" s="51"/>
      <c r="W66" s="57" t="e">
        <f>'Data_ Contrats'!#REF!</f>
        <v>#REF!</v>
      </c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</row>
    <row r="67" spans="1:46">
      <c r="A67" s="62"/>
      <c r="B67" s="63"/>
      <c r="C67" s="62"/>
      <c r="D67" s="62"/>
      <c r="E67" s="62"/>
      <c r="F67" s="62"/>
      <c r="G67" s="62"/>
      <c r="H67" s="62"/>
      <c r="J67" s="78"/>
      <c r="K67" s="78"/>
      <c r="L67" s="78"/>
      <c r="M67" s="78"/>
      <c r="N67" s="102"/>
      <c r="Q67" s="52" t="str">
        <f>IF('Détail de conso'!E17=0,"",'Détail de conso'!E17)</f>
        <v/>
      </c>
      <c r="S67" s="51"/>
      <c r="T67" s="51"/>
      <c r="U67" s="51"/>
      <c r="V67" s="51"/>
      <c r="W67" s="57" t="e">
        <f>'Data_ Contrats'!#REF!</f>
        <v>#REF!</v>
      </c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</row>
    <row r="68" spans="1:46">
      <c r="B68" s="14"/>
      <c r="N68" s="14"/>
      <c r="Q68" s="52" t="str">
        <f>IF('Détail de conso'!E18=0,"",'Détail de conso'!E18)</f>
        <v/>
      </c>
      <c r="S68" s="51"/>
      <c r="T68" s="51"/>
      <c r="U68" s="51"/>
      <c r="V68" s="51"/>
      <c r="W68" s="57" t="str">
        <f>'Data_ Contrats'!A72</f>
        <v>CT Exploitation</v>
      </c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</row>
    <row r="69" spans="1:46">
      <c r="B69" s="14"/>
      <c r="I69" s="96"/>
      <c r="Q69" s="52" t="str">
        <f>IF('Détail de conso'!E19=0,"",'Détail de conso'!E19)</f>
        <v/>
      </c>
      <c r="S69" s="51"/>
      <c r="T69" s="51"/>
      <c r="U69" s="51"/>
      <c r="V69" s="51"/>
      <c r="W69" s="57" t="e">
        <f>'Data_ Contrats'!#REF!</f>
        <v>#REF!</v>
      </c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</row>
    <row r="70" spans="1:46">
      <c r="B70" s="14"/>
      <c r="G70" s="97"/>
      <c r="H70" s="97"/>
      <c r="I70" s="97"/>
      <c r="J70" s="97"/>
      <c r="Q70" s="52" t="str">
        <f>IF('Détail de conso'!E20=0,"",'Détail de conso'!E20)</f>
        <v/>
      </c>
      <c r="S70" s="50"/>
      <c r="U70" s="51"/>
      <c r="V70" s="51"/>
      <c r="W70" s="57" t="str">
        <f>'Data_ Contrats'!A73</f>
        <v>Cus Habitat</v>
      </c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</row>
    <row r="71" spans="1:46">
      <c r="G71" s="97"/>
      <c r="H71" s="97"/>
      <c r="I71" s="97"/>
      <c r="J71" s="97"/>
      <c r="Q71" s="52" t="str">
        <f>IF('Détail de conso'!E21=0,"",'Détail de conso'!E21)</f>
        <v/>
      </c>
      <c r="S71" s="50"/>
      <c r="U71" s="51"/>
      <c r="V71" s="51"/>
      <c r="W71" s="57" t="str">
        <f>'Data_ Contrats'!A74</f>
        <v>Discount Parking Beauvais</v>
      </c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</row>
    <row r="72" spans="1:46">
      <c r="B72" s="14"/>
      <c r="G72" s="97"/>
      <c r="H72" s="97"/>
      <c r="I72" s="97"/>
      <c r="J72" s="97"/>
      <c r="Q72" s="52" t="str">
        <f>IF('Détail de conso'!E22=0,"",'Détail de conso'!E22)</f>
        <v/>
      </c>
      <c r="S72" s="50"/>
      <c r="W72" s="57" t="str">
        <f>'Data_ Contrats'!A75</f>
        <v>Domaxis</v>
      </c>
    </row>
    <row r="73" spans="1:46">
      <c r="B73" s="14"/>
      <c r="Q73" s="52" t="str">
        <f>IF('Détail de conso'!E23=0,"",'Détail de conso'!E23)</f>
        <v/>
      </c>
      <c r="S73" s="50"/>
      <c r="W73" s="57" t="str">
        <f>'Data_ Contrats'!A76</f>
        <v>Dynacité</v>
      </c>
    </row>
    <row r="74" spans="1:46">
      <c r="B74" s="14"/>
      <c r="Q74" s="52" t="str">
        <f>IF('Détail de conso'!E24=0,"",'Détail de conso'!E24)</f>
        <v/>
      </c>
      <c r="S74" s="50"/>
      <c r="W74" s="57" t="str">
        <f>'Data_ Contrats'!A77</f>
        <v>Easypark 31</v>
      </c>
    </row>
    <row r="75" spans="1:46">
      <c r="B75" s="14"/>
      <c r="K75" s="52" t="str">
        <f>IF('Détail de conso'!B25=0,"",'Détail de conso'!B25)</f>
        <v/>
      </c>
      <c r="M75" s="52" t="str">
        <f>IF('Détail de conso'!C25=0,"",'Détail de conso'!C25)</f>
        <v/>
      </c>
      <c r="O75" s="52" t="str">
        <f>IF('Détail de conso'!D25=0,"",'Détail de conso'!D25)</f>
        <v/>
      </c>
      <c r="Q75" s="52" t="str">
        <f>IF('Détail de conso'!E25=0,"",'Détail de conso'!E25)</f>
        <v/>
      </c>
      <c r="S75" s="50"/>
      <c r="W75" s="57" t="str">
        <f>'Data_ Contrats'!A78</f>
        <v>Efidis Hauts de Seine</v>
      </c>
    </row>
    <row r="76" spans="1:46">
      <c r="B76" s="14"/>
      <c r="O76" s="52" t="str">
        <f>IF('Détail de conso'!D26=0,"",'Détail de conso'!D26)</f>
        <v/>
      </c>
      <c r="Q76" s="52" t="str">
        <f>IF('Détail de conso'!E26=0,"",'Détail de conso'!E26)</f>
        <v/>
      </c>
      <c r="S76" s="50"/>
      <c r="W76" s="57" t="str">
        <f>'Data_ Contrats'!A79</f>
        <v>Efidis Paris</v>
      </c>
    </row>
    <row r="77" spans="1:46">
      <c r="B77" s="14"/>
      <c r="K77" s="52" t="str">
        <f>IF('Détail de conso'!B27=0,"",'Détail de conso'!B27)</f>
        <v/>
      </c>
      <c r="M77" s="52" t="str">
        <f>IF('Détail de conso'!C27=0,"",'Détail de conso'!C27)</f>
        <v/>
      </c>
      <c r="O77" s="52" t="str">
        <f>IF('Détail de conso'!D27=0,"",'Détail de conso'!D27)</f>
        <v/>
      </c>
      <c r="Q77" s="52" t="str">
        <f>IF('Détail de conso'!E27=0,"",'Détail de conso'!E27)</f>
        <v/>
      </c>
      <c r="S77" s="50"/>
      <c r="W77" s="57" t="str">
        <f>'Data_ Contrats'!A81</f>
        <v>Elysée Palace SNC</v>
      </c>
    </row>
    <row r="78" spans="1:46">
      <c r="B78" s="14"/>
      <c r="K78" s="52" t="str">
        <f>IF('Détail de conso'!B28=0,"",'Détail de conso'!B28)</f>
        <v/>
      </c>
      <c r="M78" s="52" t="str">
        <f>IF('Détail de conso'!C28=0,"",'Détail de conso'!C28)</f>
        <v/>
      </c>
      <c r="O78" s="52" t="str">
        <f>IF('Détail de conso'!D28=0,"",'Détail de conso'!D28)</f>
        <v/>
      </c>
      <c r="Q78" s="52" t="str">
        <f>IF('Détail de conso'!E28=0,"",'Détail de conso'!E28)</f>
        <v/>
      </c>
      <c r="S78" s="50"/>
      <c r="W78" s="57" t="str">
        <f>'Data_ Contrats'!A82</f>
        <v>Erigere</v>
      </c>
    </row>
    <row r="79" spans="1:46">
      <c r="B79" s="14"/>
      <c r="K79" s="52" t="str">
        <f>IF('Détail de conso'!B29=0,"",'Détail de conso'!B29)</f>
        <v/>
      </c>
      <c r="M79" s="52" t="str">
        <f>IF('Détail de conso'!C29=0,"",'Détail de conso'!C29)</f>
        <v/>
      </c>
      <c r="O79" s="52" t="str">
        <f>IF('Détail de conso'!D29=0,"",'Détail de conso'!D29)</f>
        <v/>
      </c>
      <c r="Q79" s="52" t="str">
        <f>IF('Détail de conso'!E29=0,"",'Détail de conso'!E29)</f>
        <v/>
      </c>
      <c r="S79" s="50"/>
      <c r="W79" s="57" t="str">
        <f>'Data_ Contrats'!A83</f>
        <v>ERILIA</v>
      </c>
    </row>
    <row r="80" spans="1:46">
      <c r="B80" s="14"/>
      <c r="K80" s="52" t="str">
        <f>IF('Détail de conso'!B30=0,"",'Détail de conso'!B30)</f>
        <v/>
      </c>
      <c r="M80" s="52" t="str">
        <f>IF('Détail de conso'!C30=0,"",'Détail de conso'!C30)</f>
        <v/>
      </c>
      <c r="O80" s="52" t="str">
        <f>IF('Détail de conso'!D30=0,"",'Détail de conso'!D30)</f>
        <v/>
      </c>
      <c r="Q80" s="52" t="str">
        <f>IF('Détail de conso'!E30=0,"",'Détail de conso'!E30)</f>
        <v/>
      </c>
      <c r="W80" s="57" t="str">
        <f>'Data_ Contrats'!A84</f>
        <v>Fimare</v>
      </c>
    </row>
    <row r="81" spans="2:23">
      <c r="B81" s="14"/>
      <c r="K81" s="52" t="str">
        <f>IF('Détail de conso'!B31=0,"",'Détail de conso'!B31)</f>
        <v/>
      </c>
      <c r="M81" s="52" t="str">
        <f>IF('Détail de conso'!C31=0,"",'Détail de conso'!C31)</f>
        <v/>
      </c>
      <c r="O81" s="52" t="str">
        <f>IF('Détail de conso'!D31=0,"",'Détail de conso'!D31)</f>
        <v/>
      </c>
      <c r="Q81" s="52" t="str">
        <f>IF('Détail de conso'!E31=0,"",'Détail de conso'!E31)</f>
        <v/>
      </c>
      <c r="W81" s="57" t="str">
        <f>'Data_ Contrats'!A85</f>
        <v>Fly Away Car Park</v>
      </c>
    </row>
    <row r="82" spans="2:23">
      <c r="K82" s="52" t="str">
        <f>IF('Détail de conso'!B32=0,"",'Détail de conso'!B32)</f>
        <v/>
      </c>
      <c r="M82" s="52" t="str">
        <f>IF('Détail de conso'!C32=0,"",'Détail de conso'!C32)</f>
        <v/>
      </c>
      <c r="O82" s="52" t="str">
        <f>IF('Détail de conso'!D32=0,"",'Détail de conso'!D32)</f>
        <v/>
      </c>
      <c r="Q82" s="52" t="str">
        <f>IF('Détail de conso'!E32=0,"",'Détail de conso'!E32)</f>
        <v/>
      </c>
      <c r="W82" s="57" t="str">
        <f>'Data_ Contrats'!A86</f>
        <v>Foyer Laekenois</v>
      </c>
    </row>
    <row r="83" spans="2:23">
      <c r="K83" s="52" t="str">
        <f>IF('Détail de conso'!B33=0,"",'Détail de conso'!B33)</f>
        <v/>
      </c>
      <c r="M83" s="52" t="str">
        <f>IF('Détail de conso'!C33=0,"",'Détail de conso'!C33)</f>
        <v/>
      </c>
      <c r="O83" s="52" t="str">
        <f>IF('Détail de conso'!D33=0,"",'Détail de conso'!D33)</f>
        <v/>
      </c>
      <c r="Q83" s="52" t="str">
        <f>IF('Détail de conso'!E33=0,"",'Détail de conso'!E33)</f>
        <v/>
      </c>
      <c r="W83" s="57" t="str">
        <f>'Data_ Contrats'!A87</f>
        <v>Global Exploitation</v>
      </c>
    </row>
    <row r="84" spans="2:23">
      <c r="W84" s="57" t="str">
        <f>'Data_ Contrats'!A88</f>
        <v>Grand Garage de Clignancourt</v>
      </c>
    </row>
    <row r="85" spans="2:23">
      <c r="W85" s="57" t="str">
        <f>'Data_ Contrats'!A89</f>
        <v>Grand Lyon Habitat</v>
      </c>
    </row>
    <row r="86" spans="2:23">
      <c r="W86" s="57" t="str">
        <f>'Data_ Contrats'!A90</f>
        <v>Grenoble Habitat</v>
      </c>
    </row>
    <row r="87" spans="2:23">
      <c r="W87" s="57" t="str">
        <f>'Data_ Contrats'!A91</f>
        <v>GSA Résidences</v>
      </c>
    </row>
    <row r="88" spans="2:23">
      <c r="W88" s="57" t="str">
        <f>'Data_ Contrats'!A92</f>
        <v>Habitat 76</v>
      </c>
    </row>
    <row r="89" spans="2:23">
      <c r="W89" s="57" t="str">
        <f>'Data_ Contrats'!A93</f>
        <v>Haute-Savoie Habitat</v>
      </c>
    </row>
    <row r="90" spans="2:23">
      <c r="W90" s="57" t="str">
        <f>'Data_ Contrats'!A94</f>
        <v>Hérault Habitat</v>
      </c>
    </row>
    <row r="91" spans="2:23">
      <c r="W91" s="57" t="str">
        <f>'Data_ Contrats'!A95</f>
        <v>Holiday Inn Marne La Vallée</v>
      </c>
    </row>
    <row r="92" spans="2:23">
      <c r="W92" s="57" t="str">
        <f>'Data_ Contrats'!A96</f>
        <v>Holiday Inn Roissy CDG</v>
      </c>
    </row>
    <row r="93" spans="2:23">
      <c r="W93" s="57" t="str">
        <f>'Data_ Contrats'!A97</f>
        <v>Holiday Inn Vélizy</v>
      </c>
    </row>
    <row r="94" spans="2:23">
      <c r="W94" s="57" t="str">
        <f>'Data_ Contrats'!A98</f>
        <v>Hôtel Ariana</v>
      </c>
    </row>
    <row r="95" spans="2:23">
      <c r="W95" s="57" t="str">
        <f>'Data_ Contrats'!A99</f>
        <v>Hôtel B&amp;B Group</v>
      </c>
    </row>
    <row r="96" spans="2:23">
      <c r="W96" s="57" t="str">
        <f>'Data_ Contrats'!A100</f>
        <v>Hôtel de Brienne</v>
      </c>
    </row>
    <row r="97" spans="23:23">
      <c r="W97" s="57" t="str">
        <f>'Data_ Contrats'!A101</f>
        <v>Hôtel de Brienne</v>
      </c>
    </row>
    <row r="98" spans="23:23">
      <c r="W98" s="57" t="str">
        <f>'Data_ Contrats'!A102</f>
        <v>Hôtel Elysée Serris</v>
      </c>
    </row>
    <row r="99" spans="23:23">
      <c r="W99" s="57" t="str">
        <f>'Data_ Contrats'!A103</f>
        <v>Hotel Prince de Liege</v>
      </c>
    </row>
    <row r="100" spans="23:23">
      <c r="W100" s="57" t="str">
        <f>'Data_ Contrats'!A104</f>
        <v>Ibis Budget Aubervilliers</v>
      </c>
    </row>
    <row r="101" spans="23:23">
      <c r="W101" s="57" t="str">
        <f>'Data_ Contrats'!A105</f>
        <v>Ibis Budget Bry sur Marne</v>
      </c>
    </row>
    <row r="102" spans="23:23">
      <c r="W102" s="57" t="str">
        <f>'Data_ Contrats'!A106</f>
        <v>Ibis Budget Nanterre</v>
      </c>
    </row>
    <row r="103" spans="23:23">
      <c r="W103" s="57" t="str">
        <f>'Data_ Contrats'!A107</f>
        <v>Ibis Budget Porte de Montmartre</v>
      </c>
    </row>
    <row r="104" spans="23:23">
      <c r="W104" s="57" t="str">
        <f>'Data_ Contrats'!A108</f>
        <v>Ibis Budget Porte de Pantin</v>
      </c>
    </row>
    <row r="105" spans="23:23">
      <c r="W105" s="57" t="str">
        <f>'Data_ Contrats'!A109</f>
        <v>Ibis Budget Porte de Vanves</v>
      </c>
    </row>
    <row r="106" spans="23:23">
      <c r="W106" s="57" t="str">
        <f>'Data_ Contrats'!A110</f>
        <v>Ibis Budget Porte d'Italie Est</v>
      </c>
    </row>
    <row r="107" spans="23:23">
      <c r="W107" s="57" t="str">
        <f>'Data_ Contrats'!A111</f>
        <v>Ibis Budget Porte d'Italie Ouest</v>
      </c>
    </row>
    <row r="108" spans="23:23">
      <c r="W108" s="57" t="str">
        <f>'Data_ Contrats'!A112</f>
        <v>Ibis Marseille Calanques</v>
      </c>
    </row>
    <row r="109" spans="23:23">
      <c r="W109" s="57" t="str">
        <f>'Data_ Contrats'!A113</f>
        <v>Ibis Saint Quentin en Yvelines</v>
      </c>
    </row>
    <row r="110" spans="23:23">
      <c r="W110" s="57" t="str">
        <f>'Data_ Contrats'!A114</f>
        <v>Ibis Styles Brussels Louise</v>
      </c>
    </row>
    <row r="111" spans="23:23">
      <c r="W111" s="57" t="str">
        <f>'Data_ Contrats'!A115</f>
        <v>Ibis Styles Brussels Stephanie</v>
      </c>
    </row>
    <row r="112" spans="23:23">
      <c r="W112" s="57" t="str">
        <f>'Data_ Contrats'!A116</f>
        <v>Ibis Styles Porte d'Orléans</v>
      </c>
    </row>
    <row r="113" spans="23:23">
      <c r="W113" s="57" t="str">
        <f>'Data_ Contrats'!A117</f>
        <v>Ibis Styles Roissy CDG</v>
      </c>
    </row>
    <row r="114" spans="23:23">
      <c r="W114" s="57" t="str">
        <f>'Data_ Contrats'!A118</f>
        <v>Ibis Styles Saint-Malo Port</v>
      </c>
    </row>
    <row r="115" spans="23:23">
      <c r="W115" s="57" t="str">
        <f>'Data_ Contrats'!A119</f>
        <v>Icade</v>
      </c>
    </row>
    <row r="116" spans="23:23">
      <c r="W116" s="57" t="str">
        <f>'Data_ Contrats'!A120</f>
        <v>ICF Habitat La Sablière</v>
      </c>
    </row>
    <row r="117" spans="23:23">
      <c r="W117" s="57" t="str">
        <f>'Data_ Contrats'!A121</f>
        <v>Immobilière 3F</v>
      </c>
    </row>
    <row r="118" spans="23:23">
      <c r="W118" s="57" t="str">
        <f>'Data_ Contrats'!A123</f>
        <v>Immobilière Nord-Artois</v>
      </c>
    </row>
    <row r="119" spans="23:23">
      <c r="W119" s="57" t="str">
        <f>'Data_ Contrats'!A124</f>
        <v>Inter-Hotel Parc des Expositions Marseille</v>
      </c>
    </row>
    <row r="120" spans="23:23">
      <c r="W120" s="57" t="str">
        <f>'Data_ Contrats'!A125</f>
        <v>Izipark Nantes</v>
      </c>
    </row>
    <row r="121" spans="23:23">
      <c r="W121" s="57" t="str">
        <f>'Data_ Contrats'!A126</f>
        <v>KLEY CAEN</v>
      </c>
    </row>
    <row r="122" spans="23:23">
      <c r="W122" s="57" t="str">
        <f>'Data_ Contrats'!A127</f>
        <v>KONG</v>
      </c>
    </row>
    <row r="123" spans="23:23">
      <c r="W123" s="57" t="str">
        <f>'Data_ Contrats'!A128</f>
        <v>Kyriad Le Bourget</v>
      </c>
    </row>
    <row r="124" spans="23:23">
      <c r="W124" s="57" t="str">
        <f>'Data_ Contrats'!A129</f>
        <v>La Cité Jardins</v>
      </c>
    </row>
    <row r="125" spans="23:23">
      <c r="W125" s="57" t="str">
        <f>'Data_ Contrats'!A130</f>
        <v>La Résidence Urbaine de France</v>
      </c>
    </row>
    <row r="126" spans="23:23">
      <c r="W126" s="57" t="str">
        <f>'Data_ Contrats'!A131</f>
        <v>Laurent Parking</v>
      </c>
    </row>
    <row r="127" spans="23:23">
      <c r="W127" s="57" t="str">
        <f>'Data_ Contrats'!A132</f>
        <v>Les Estudines Lille</v>
      </c>
    </row>
    <row r="128" spans="23:23">
      <c r="W128" s="57" t="str">
        <f>'Data_ Contrats'!A133</f>
        <v>Les Estudines Metz</v>
      </c>
    </row>
    <row r="129" spans="23:23">
      <c r="W129" s="57" t="str">
        <f>'Data_ Contrats'!A134</f>
        <v>Lille Métropole Habitat</v>
      </c>
    </row>
    <row r="130" spans="23:23">
      <c r="W130" s="57" t="str">
        <f>'Data_ Contrats'!A135</f>
        <v>Logement Bruxellois</v>
      </c>
    </row>
    <row r="131" spans="23:23">
      <c r="W131" s="57" t="str">
        <f>'Data_ Contrats'!A136</f>
        <v>Logement Francilien</v>
      </c>
    </row>
    <row r="132" spans="23:23">
      <c r="W132" s="57" t="str">
        <f>'Data_ Contrats'!A137</f>
        <v xml:space="preserve">LOGIREM </v>
      </c>
    </row>
    <row r="133" spans="23:23">
      <c r="W133" s="57" t="str">
        <f>'Data_ Contrats'!A138</f>
        <v>Louise Village SA</v>
      </c>
    </row>
    <row r="134" spans="23:23">
      <c r="W134" s="57" t="str">
        <f>'Data_ Contrats'!A139</f>
        <v>Marseille Habitat</v>
      </c>
    </row>
    <row r="135" spans="23:23">
      <c r="W135" s="57" t="str">
        <f>'Data_ Contrats'!A140</f>
        <v>Mercure Bordeaux</v>
      </c>
    </row>
    <row r="136" spans="23:23">
      <c r="W136" s="57" t="str">
        <f>'Data_ Contrats'!A141</f>
        <v>Mercure Centre Rennes</v>
      </c>
    </row>
    <row r="137" spans="23:23">
      <c r="W137" s="57" t="str">
        <f>'Data_ Contrats'!A142</f>
        <v>Mercure Le Mans Centre</v>
      </c>
    </row>
    <row r="138" spans="23:23">
      <c r="W138" s="57" t="str">
        <f>'Data_ Contrats'!A143</f>
        <v>Mercure Nancy</v>
      </c>
    </row>
    <row r="139" spans="23:23">
      <c r="W139" s="57" t="str">
        <f>'Data_ Contrats'!A145</f>
        <v>Mercure Porte de St Cloud</v>
      </c>
    </row>
    <row r="140" spans="23:23">
      <c r="W140" s="57" t="str">
        <f>'Data_ Contrats'!A146</f>
        <v>Mercure Reims</v>
      </c>
    </row>
    <row r="141" spans="23:23">
      <c r="W141" s="57" t="str">
        <f>'Data_ Contrats'!A147</f>
        <v>Mercure Roissy CDG</v>
      </c>
    </row>
    <row r="142" spans="23:23">
      <c r="W142" s="57" t="str">
        <f>'Data_ Contrats'!A148</f>
        <v>Métropole Habitat</v>
      </c>
    </row>
    <row r="143" spans="23:23">
      <c r="W143" s="57" t="str">
        <f>'Data_ Contrats'!A149</f>
        <v>Nantes Habitat</v>
      </c>
    </row>
    <row r="144" spans="23:23">
      <c r="W144" s="57" t="str">
        <f>'Data_ Contrats'!A150</f>
        <v>Neolia</v>
      </c>
    </row>
    <row r="145" spans="23:23">
      <c r="W145" s="57" t="str">
        <f>'Data_ Contrats'!A152</f>
        <v>Newco Appart Bry</v>
      </c>
    </row>
    <row r="146" spans="23:23">
      <c r="W146" s="57" t="str">
        <f>'Data_ Contrats'!A153</f>
        <v>Nexity Groupe</v>
      </c>
    </row>
    <row r="147" spans="23:23">
      <c r="W147" s="57" t="str">
        <f>'Data_ Contrats'!A154</f>
        <v>NH Hotel du Grand Sablon</v>
      </c>
    </row>
    <row r="148" spans="23:23">
      <c r="W148" s="57" t="str">
        <f>'Data_ Contrats'!A155</f>
        <v>Notre Logis</v>
      </c>
    </row>
    <row r="149" spans="23:23">
      <c r="W149" s="57" t="str">
        <f>'Data_ Contrats'!A156</f>
        <v>Novotel Avignon</v>
      </c>
    </row>
    <row r="150" spans="23:23">
      <c r="W150" s="57" t="str">
        <f>'Data_ Contrats'!A157</f>
        <v>Novotel Montreuil Vincennes</v>
      </c>
    </row>
    <row r="151" spans="23:23">
      <c r="W151" s="57" t="str">
        <f>'Data_ Contrats'!A158</f>
        <v>Novotel Nantes</v>
      </c>
    </row>
    <row r="152" spans="23:23">
      <c r="W152" s="57" t="str">
        <f>'Data_ Contrats'!A159</f>
        <v>Novotel Rennes Gare SNCF</v>
      </c>
    </row>
    <row r="153" spans="23:23">
      <c r="W153" s="57" t="str">
        <f>'Data_ Contrats'!A160</f>
        <v>Odalys Aix Le Tholonet</v>
      </c>
    </row>
    <row r="154" spans="23:23">
      <c r="W154" s="57" t="str">
        <f>'Data_ Contrats'!A161</f>
        <v>Odalys Aix Les Floridianes</v>
      </c>
    </row>
    <row r="155" spans="23:23">
      <c r="W155" s="57" t="str">
        <f>'Data_ Contrats'!A162</f>
        <v>Odalys Genève</v>
      </c>
    </row>
    <row r="156" spans="23:23">
      <c r="W156" s="57" t="str">
        <f>'Data_ Contrats'!A163</f>
        <v>Odalys Levallois-Perret</v>
      </c>
    </row>
    <row r="157" spans="23:23">
      <c r="W157" s="57" t="str">
        <f>'Data_ Contrats'!A164</f>
        <v>Odalys Lyon Bioparc</v>
      </c>
    </row>
    <row r="158" spans="23:23">
      <c r="W158" s="57" t="str">
        <f>'Data_ Contrats'!A165</f>
        <v>Odalys Lyon Confluence</v>
      </c>
    </row>
    <row r="159" spans="23:23">
      <c r="W159" s="57" t="str">
        <f>'Data_ Contrats'!A166</f>
        <v>Odalys Marseille</v>
      </c>
    </row>
    <row r="160" spans="23:23">
      <c r="W160" s="57" t="str">
        <f>'Data_ Contrats'!A167</f>
        <v>OPH de Bobigny</v>
      </c>
    </row>
    <row r="161" spans="23:23">
      <c r="W161" s="57" t="str">
        <f>'Data_ Contrats'!A168</f>
        <v>OPH Montreuillois</v>
      </c>
    </row>
    <row r="162" spans="23:23">
      <c r="W162" s="57" t="str">
        <f>'Data_ Contrats'!A169</f>
        <v>OPH Montreuillois</v>
      </c>
    </row>
    <row r="163" spans="23:23">
      <c r="W163" s="57" t="str">
        <f>'Data_ Contrats'!A171</f>
        <v>Paris Habitat</v>
      </c>
    </row>
    <row r="164" spans="23:23">
      <c r="W164" s="57" t="str">
        <f>'Data_ Contrats'!A172</f>
        <v>Paris Hotel Louis Blanc</v>
      </c>
    </row>
    <row r="165" spans="23:23">
      <c r="W165" s="57" t="str">
        <f>'Data_ Contrats'!A174</f>
        <v>Parking La Courneuve</v>
      </c>
    </row>
    <row r="166" spans="23:23">
      <c r="W166" s="57" t="str">
        <f>'Data_ Contrats'!A175</f>
        <v xml:space="preserve">Parking Paris Beauvais </v>
      </c>
    </row>
    <row r="167" spans="23:23">
      <c r="W167" s="57" t="str">
        <f>'Data_ Contrats'!A176</f>
        <v>Parking Roissy Tarif</v>
      </c>
    </row>
    <row r="168" spans="23:23">
      <c r="W168" s="57" t="str">
        <f>'Data_ Contrats'!A177</f>
        <v>Parking Services</v>
      </c>
    </row>
    <row r="169" spans="23:23">
      <c r="W169" s="57" t="str">
        <f>'Data_ Contrats'!A178</f>
        <v>Parking Soleil Orly</v>
      </c>
    </row>
    <row r="170" spans="23:23">
      <c r="W170" s="57" t="str">
        <f>'Data_ Contrats'!A179</f>
        <v>Partenord Habitat</v>
      </c>
    </row>
    <row r="171" spans="23:23">
      <c r="W171" s="57" t="str">
        <f>'Data_ Contrats'!A180</f>
        <v>Patrimoine SA</v>
      </c>
    </row>
    <row r="172" spans="23:23">
      <c r="W172" s="57" t="str">
        <f>'Data_ Contrats'!A181</f>
        <v>Perial - PFO2 - PF1</v>
      </c>
    </row>
    <row r="173" spans="23:23">
      <c r="W173" s="57" t="str">
        <f>'Data_ Contrats'!A182</f>
        <v>Plurial Novilia</v>
      </c>
    </row>
    <row r="174" spans="23:23">
      <c r="W174" s="57" t="str">
        <f>'Data_ Contrats'!A183</f>
        <v>Plurial Novilia</v>
      </c>
    </row>
    <row r="175" spans="23:23">
      <c r="W175" s="57" t="str">
        <f>'Data_ Contrats'!A185</f>
        <v>Pullman La Défense</v>
      </c>
    </row>
    <row r="176" spans="23:23">
      <c r="W176" s="57" t="str">
        <f>'Data_ Contrats'!A186</f>
        <v>Pullman Toulouse</v>
      </c>
    </row>
    <row r="177" spans="23:23">
      <c r="W177" s="57" t="str">
        <f>'Data_ Contrats'!A187</f>
        <v>Quality Suites Bordeaux</v>
      </c>
    </row>
    <row r="178" spans="23:23">
      <c r="W178" s="57" t="str">
        <f>'Data_ Contrats'!A188</f>
        <v>Radisson Blu Nice</v>
      </c>
    </row>
    <row r="179" spans="23:23">
      <c r="W179" s="57" t="str">
        <f>'Data_ Contrats'!A189</f>
        <v>Ramada Brussels Woluwe</v>
      </c>
    </row>
    <row r="180" spans="23:23">
      <c r="W180" s="57" t="str">
        <f>'Data_ Contrats'!A190</f>
        <v>Reims Habitat</v>
      </c>
    </row>
    <row r="181" spans="23:23">
      <c r="W181" s="57" t="str">
        <f>'Data_ Contrats'!A191</f>
        <v>RESAPARK</v>
      </c>
    </row>
    <row r="182" spans="23:23">
      <c r="W182" s="57" t="str">
        <f>'Data_ Contrats'!A192</f>
        <v>Residhome Roissy Village</v>
      </c>
    </row>
    <row r="183" spans="23:23">
      <c r="W183" s="57" t="str">
        <f>'Data_ Contrats'!A193</f>
        <v>RIVP</v>
      </c>
    </row>
    <row r="184" spans="23:23">
      <c r="W184" s="57" t="str">
        <f>'Data_ Contrats'!A194</f>
        <v>SAEMES</v>
      </c>
    </row>
    <row r="185" spans="23:23">
      <c r="W185" s="57" t="str">
        <f>'Data_ Contrats'!A195</f>
        <v>SARL DT 6 NANTES</v>
      </c>
    </row>
    <row r="186" spans="23:23">
      <c r="W186" s="57" t="str">
        <f>'Data_ Contrats'!A196</f>
        <v>SCI Hotel de Valfons</v>
      </c>
    </row>
    <row r="187" spans="23:23">
      <c r="W187" s="57" t="str">
        <f>'Data_ Contrats'!A197</f>
        <v>SCI Isabou</v>
      </c>
    </row>
    <row r="188" spans="23:23">
      <c r="W188" s="57" t="str">
        <f>'Data_ Contrats'!A198</f>
        <v>SIA Habitat</v>
      </c>
    </row>
    <row r="189" spans="23:23">
      <c r="W189" s="57" t="str">
        <f>'Data_ Contrats'!A199</f>
        <v>SNI</v>
      </c>
    </row>
    <row r="190" spans="23:23">
      <c r="W190" s="57" t="str">
        <f>'Data_ Contrats'!A200</f>
        <v>Société Hotelière Saint Germain</v>
      </c>
    </row>
    <row r="191" spans="23:23">
      <c r="W191" s="57" t="str">
        <f>'Data_ Contrats'!A201</f>
        <v>Société Lorraine Habitat Nancy</v>
      </c>
    </row>
    <row r="192" spans="23:23">
      <c r="W192" s="57" t="str">
        <f>'Data_ Contrats'!A202</f>
        <v>Sofitel La Défense</v>
      </c>
    </row>
    <row r="193" spans="23:23">
      <c r="W193" s="57" t="str">
        <f>'Data_ Contrats'!A203</f>
        <v>SOLIME</v>
      </c>
    </row>
    <row r="194" spans="23:23">
      <c r="W194" s="57" t="str">
        <f>'Data_ Contrats'!A204</f>
        <v>Somnoo Ibis Colmar</v>
      </c>
    </row>
    <row r="195" spans="23:23">
      <c r="W195" s="57" t="str">
        <f>'Data_ Contrats'!A205</f>
        <v>Somnoo Ibis Strasbourg Aéroport le Zénith</v>
      </c>
    </row>
    <row r="196" spans="23:23">
      <c r="W196" s="57" t="str">
        <f>'Data_ Contrats'!A206</f>
        <v>Somnoo Mercure Cergy</v>
      </c>
    </row>
    <row r="197" spans="23:23">
      <c r="W197" s="57" t="str">
        <f>'Data_ Contrats'!A207</f>
        <v xml:space="preserve">Somnoo Première Classe Annecy </v>
      </c>
    </row>
    <row r="198" spans="23:23">
      <c r="W198" s="57" t="str">
        <f>'Data_ Contrats'!A208</f>
        <v>Study O Bordeaux</v>
      </c>
    </row>
    <row r="199" spans="23:23">
      <c r="W199" s="57" t="str">
        <f>'Data_ Contrats'!A209</f>
        <v>Swiss-Life REIM</v>
      </c>
    </row>
    <row r="200" spans="23:23">
      <c r="W200" s="57" t="str">
        <f>'Data_ Contrats'!A210</f>
        <v>Syndicat Résidence Studea Maisons-Alfort</v>
      </c>
    </row>
    <row r="201" spans="23:23">
      <c r="W201" s="57">
        <f>'Data_ Contrats'!A211</f>
        <v>0</v>
      </c>
    </row>
    <row r="202" spans="23:23">
      <c r="W202" s="57">
        <f>'Data_ Contrats'!A212</f>
        <v>0</v>
      </c>
    </row>
    <row r="203" spans="23:23">
      <c r="W203" s="57">
        <f>'Data_ Contrats'!A213</f>
        <v>0</v>
      </c>
    </row>
    <row r="204" spans="23:23">
      <c r="W204" s="57" t="str">
        <f>'Data_ Contrats'!A214</f>
        <v>Tagerim Résidences Étudiantes</v>
      </c>
    </row>
    <row r="205" spans="23:23">
      <c r="W205" s="57" t="str">
        <f>'Data_ Contrats'!A215</f>
        <v>Ténéo Apparthotel Bordeaux</v>
      </c>
    </row>
    <row r="206" spans="23:23">
      <c r="W206" s="57" t="str">
        <f>'Data_ Contrats'!A216</f>
        <v>Traducteo</v>
      </c>
    </row>
    <row r="207" spans="23:23">
      <c r="W207" s="57" t="str">
        <f>'Data_ Contrats'!A217</f>
        <v>Transports Baudron</v>
      </c>
    </row>
    <row r="208" spans="23:23">
      <c r="W208" s="57" t="str">
        <f>'Data_ Contrats'!A218</f>
        <v>Urbis Park</v>
      </c>
    </row>
    <row r="209" spans="23:23">
      <c r="W209" s="57" t="str">
        <f>'Data_ Contrats'!A219</f>
        <v>Valopark</v>
      </c>
    </row>
    <row r="210" spans="23:23">
      <c r="W210" s="57" t="str">
        <f>'Data_ Contrats'!A220</f>
        <v>Villa Soleil</v>
      </c>
    </row>
    <row r="211" spans="23:23">
      <c r="W211" s="57" t="str">
        <f>'Data_ Contrats'!A221</f>
        <v>Vilogia</v>
      </c>
    </row>
    <row r="212" spans="23:23">
      <c r="W212" s="57">
        <f>'Data_ Contrats'!A222</f>
        <v>0</v>
      </c>
    </row>
    <row r="213" spans="23:23">
      <c r="W213" s="57">
        <f>'Data_ Contrats'!A223</f>
        <v>0</v>
      </c>
    </row>
    <row r="214" spans="23:23">
      <c r="W214" s="57">
        <f>'Data_ Contrats'!A224</f>
        <v>0</v>
      </c>
    </row>
    <row r="215" spans="23:23">
      <c r="W215" s="57">
        <f>'Data_ Contrats'!A225</f>
        <v>0</v>
      </c>
    </row>
    <row r="216" spans="23:23">
      <c r="W216" s="57">
        <f>'Data_ Contrats'!A226</f>
        <v>0</v>
      </c>
    </row>
    <row r="217" spans="23:23">
      <c r="W217" s="57">
        <f>'Data_ Contrats'!A227</f>
        <v>0</v>
      </c>
    </row>
    <row r="218" spans="23:23">
      <c r="W218" s="57">
        <f>'Data_ Contrats'!A228</f>
        <v>0</v>
      </c>
    </row>
    <row r="219" spans="23:23">
      <c r="W219" s="57">
        <f>'Data_ Contrats'!A229</f>
        <v>0</v>
      </c>
    </row>
    <row r="220" spans="23:23">
      <c r="W220" s="57">
        <f>'Data_ Contrats'!A230</f>
        <v>0</v>
      </c>
    </row>
    <row r="221" spans="23:23">
      <c r="W221" s="57">
        <f>'Data_ Contrats'!A231</f>
        <v>0</v>
      </c>
    </row>
    <row r="222" spans="23:23">
      <c r="W222" s="57">
        <f>'Data_ Contrats'!A232</f>
        <v>0</v>
      </c>
    </row>
  </sheetData>
  <mergeCells count="43">
    <mergeCell ref="G62:I62"/>
    <mergeCell ref="J62:K62"/>
    <mergeCell ref="G61:I61"/>
    <mergeCell ref="J61:K61"/>
    <mergeCell ref="L61:N61"/>
    <mergeCell ref="L62:N62"/>
    <mergeCell ref="N52:T54"/>
    <mergeCell ref="R60:T60"/>
    <mergeCell ref="R56:T57"/>
    <mergeCell ref="A56:F57"/>
    <mergeCell ref="O56:Q57"/>
    <mergeCell ref="G60:I60"/>
    <mergeCell ref="J56:K57"/>
    <mergeCell ref="G56:I57"/>
    <mergeCell ref="O60:Q60"/>
    <mergeCell ref="L56:N57"/>
    <mergeCell ref="G59:I59"/>
    <mergeCell ref="J59:K59"/>
    <mergeCell ref="L59:N59"/>
    <mergeCell ref="O59:Q59"/>
    <mergeCell ref="R59:T59"/>
    <mergeCell ref="R64:T64"/>
    <mergeCell ref="L60:N60"/>
    <mergeCell ref="O64:Q64"/>
    <mergeCell ref="J64:N64"/>
    <mergeCell ref="O62:Q62"/>
    <mergeCell ref="R62:T62"/>
    <mergeCell ref="J60:K60"/>
    <mergeCell ref="O61:Q61"/>
    <mergeCell ref="R61:T61"/>
    <mergeCell ref="L27:N27"/>
    <mergeCell ref="U1:U5"/>
    <mergeCell ref="I6:T6"/>
    <mergeCell ref="I7:T7"/>
    <mergeCell ref="G13:H13"/>
    <mergeCell ref="D15:T15"/>
    <mergeCell ref="U15:U19"/>
    <mergeCell ref="U22:U23"/>
    <mergeCell ref="E24:H24"/>
    <mergeCell ref="E25:G25"/>
    <mergeCell ref="E26:H26"/>
    <mergeCell ref="C14:F14"/>
    <mergeCell ref="M1:T3"/>
  </mergeCells>
  <phoneticPr fontId="28" type="noConversion"/>
  <dataValidations disablePrompts="1" count="2">
    <dataValidation type="list" allowBlank="1" showInputMessage="1" showErrorMessage="1" sqref="L8:T8" xr:uid="{00000000-0002-0000-0500-000000000000}">
      <formula1>Y2:Y51</formula1>
    </dataValidation>
    <dataValidation type="list" allowBlank="1" showInputMessage="1" showErrorMessage="1" sqref="I6:T6" xr:uid="{00000000-0002-0000-0500-000001000000}">
      <formula1>W2:W73</formula1>
    </dataValidation>
  </dataValidations>
  <pageMargins left="0.59055118110236227" right="0.35000000000000003" top="0.75" bottom="0.75" header="0.5" footer="0.5"/>
  <pageSetup paperSize="9" orientation="portrait" horizontalDpi="4294967292" verticalDpi="4294967292" r:id="rId1"/>
  <headerFooter>
    <oddFooter>&amp;C&amp;"Calibri (Corps),Normal"&amp;11ZENPARK – SA au capital de 403 432  EUR
RCS Paris 537 527 145  – CODE NAF 6201Z – TVA intracommunautaire FR00537527145
Siège social : 142 rue Montmartre, 75002 Paris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500-000002000000}">
          <x14:formula1>
            <xm:f>Data_P!$B:$B</xm:f>
          </x14:formula1>
          <xm:sqref>E21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2:L16"/>
  <sheetViews>
    <sheetView workbookViewId="0">
      <selection activeCell="I7" sqref="I7"/>
    </sheetView>
  </sheetViews>
  <sheetFormatPr baseColWidth="10" defaultColWidth="11.23046875" defaultRowHeight="16.2"/>
  <cols>
    <col min="1" max="1" width="17.765625" bestFit="1" customWidth="1"/>
    <col min="2" max="2" width="20" bestFit="1" customWidth="1"/>
    <col min="3" max="4" width="7.53515625" bestFit="1" customWidth="1"/>
    <col min="5" max="5" width="6.765625" bestFit="1" customWidth="1"/>
    <col min="6" max="6" width="8.53515625" bestFit="1" customWidth="1"/>
    <col min="7" max="7" width="6.84375" bestFit="1" customWidth="1"/>
    <col min="8" max="8" width="8.84375" bestFit="1" customWidth="1"/>
    <col min="9" max="9" width="19.3046875" customWidth="1"/>
    <col min="10" max="10" width="7.84375" bestFit="1" customWidth="1"/>
    <col min="11" max="11" width="7.3828125" bestFit="1" customWidth="1"/>
    <col min="12" max="14" width="7.84375" bestFit="1" customWidth="1"/>
    <col min="15" max="15" width="8.69140625" bestFit="1" customWidth="1"/>
    <col min="16" max="17" width="7.84375" bestFit="1" customWidth="1"/>
    <col min="18" max="18" width="7.15234375" bestFit="1" customWidth="1"/>
    <col min="19" max="19" width="7" bestFit="1" customWidth="1"/>
    <col min="20" max="21" width="7.84375" bestFit="1" customWidth="1"/>
    <col min="22" max="22" width="7" bestFit="1" customWidth="1"/>
    <col min="23" max="23" width="8.921875" bestFit="1" customWidth="1"/>
    <col min="24" max="25" width="7.84375" bestFit="1" customWidth="1"/>
    <col min="26" max="26" width="7.07421875" bestFit="1" customWidth="1"/>
    <col min="27" max="28" width="7.84375" bestFit="1" customWidth="1"/>
    <col min="29" max="29" width="7.15234375" bestFit="1" customWidth="1"/>
    <col min="30" max="30" width="7" bestFit="1" customWidth="1"/>
    <col min="31" max="32" width="7.84375" bestFit="1" customWidth="1"/>
    <col min="33" max="33" width="7.3828125" bestFit="1" customWidth="1"/>
    <col min="34" max="35" width="8.921875" bestFit="1" customWidth="1"/>
    <col min="36" max="36" width="7.69140625" bestFit="1" customWidth="1"/>
    <col min="37" max="39" width="8.921875" bestFit="1" customWidth="1"/>
    <col min="40" max="40" width="5.23046875" customWidth="1"/>
    <col min="41" max="41" width="8.921875" bestFit="1" customWidth="1"/>
    <col min="42" max="43" width="7.23046875" bestFit="1" customWidth="1"/>
    <col min="44" max="44" width="9.921875" bestFit="1" customWidth="1"/>
  </cols>
  <sheetData>
    <row r="2" spans="1:12">
      <c r="A2" s="16" t="s">
        <v>215</v>
      </c>
      <c r="B2" s="56" t="s">
        <v>2146</v>
      </c>
    </row>
    <row r="3" spans="1:12">
      <c r="L3" s="233"/>
    </row>
    <row r="4" spans="1:12" s="56" customFormat="1" ht="32.4">
      <c r="A4" s="16" t="s">
        <v>225</v>
      </c>
      <c r="B4" s="16" t="s">
        <v>224</v>
      </c>
      <c r="C4"/>
      <c r="D4"/>
      <c r="E4"/>
    </row>
    <row r="5" spans="1:12" s="56" customFormat="1">
      <c r="A5" s="16" t="s">
        <v>223</v>
      </c>
      <c r="B5" s="56" t="s">
        <v>2144</v>
      </c>
      <c r="C5" s="56" t="s">
        <v>2189</v>
      </c>
      <c r="D5" s="56" t="s">
        <v>2268</v>
      </c>
      <c r="E5" s="56" t="s">
        <v>248</v>
      </c>
    </row>
    <row r="6" spans="1:12" s="56" customFormat="1" ht="32.4">
      <c r="A6" s="232" t="s">
        <v>2147</v>
      </c>
      <c r="B6" s="233">
        <v>208.67</v>
      </c>
      <c r="C6" s="233">
        <v>330.33</v>
      </c>
      <c r="D6" s="233">
        <v>109.34</v>
      </c>
      <c r="E6" s="233">
        <v>648.34</v>
      </c>
      <c r="I6" s="179" t="s">
        <v>2370</v>
      </c>
    </row>
    <row r="7" spans="1:12" s="56" customFormat="1">
      <c r="A7" s="232" t="s">
        <v>248</v>
      </c>
      <c r="B7" s="233">
        <v>208.67</v>
      </c>
      <c r="C7" s="233">
        <v>330.33</v>
      </c>
      <c r="D7" s="233">
        <v>109.34</v>
      </c>
      <c r="E7" s="233">
        <v>648.34</v>
      </c>
      <c r="I7" s="179" t="s">
        <v>2146</v>
      </c>
    </row>
    <row r="8" spans="1:12" s="56" customFormat="1">
      <c r="A8"/>
      <c r="B8"/>
      <c r="C8"/>
      <c r="D8"/>
      <c r="E8"/>
    </row>
    <row r="9" spans="1:12" s="56" customFormat="1">
      <c r="A9"/>
      <c r="B9"/>
      <c r="C9"/>
      <c r="D9"/>
      <c r="E9"/>
    </row>
    <row r="10" spans="1:12" s="56" customFormat="1">
      <c r="A10"/>
      <c r="B10"/>
      <c r="C10"/>
      <c r="D10"/>
      <c r="E10"/>
    </row>
    <row r="11" spans="1:12" s="56" customFormat="1">
      <c r="A11"/>
      <c r="B11"/>
      <c r="C11"/>
      <c r="D11"/>
      <c r="E11"/>
    </row>
    <row r="12" spans="1:12" s="56" customFormat="1">
      <c r="A12"/>
      <c r="B12"/>
      <c r="C12"/>
      <c r="D12"/>
      <c r="E12"/>
    </row>
    <row r="13" spans="1:12" s="56" customFormat="1"/>
    <row r="14" spans="1:12" s="56" customFormat="1"/>
    <row r="15" spans="1:12" s="56" customFormat="1"/>
    <row r="16" spans="1:12" s="56" customFormat="1"/>
  </sheetData>
  <phoneticPr fontId="28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Macro2">
                <anchor moveWithCells="1" sizeWithCells="1">
                  <from>
                    <xdr:col>10</xdr:col>
                    <xdr:colOff>274320</xdr:colOff>
                    <xdr:row>10</xdr:row>
                    <xdr:rowOff>38100</xdr:rowOff>
                  </from>
                  <to>
                    <xdr:col>12</xdr:col>
                    <xdr:colOff>259080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4464A-B104-424A-B22B-7480C2F51E38}">
  <sheetPr codeName="Feuil9"/>
  <dimension ref="A1:E14090"/>
  <sheetViews>
    <sheetView tabSelected="1" zoomScale="90" zoomScaleNormal="90" workbookViewId="0">
      <selection activeCell="A2" sqref="A2"/>
    </sheetView>
  </sheetViews>
  <sheetFormatPr baseColWidth="10" defaultRowHeight="16.2"/>
  <cols>
    <col min="1" max="1" width="27.53515625" customWidth="1"/>
    <col min="2" max="2" width="23.23046875" style="175" customWidth="1"/>
    <col min="3" max="3" width="15.53515625" hidden="1" customWidth="1"/>
    <col min="4" max="4" width="15.61328125" hidden="1" customWidth="1"/>
    <col min="5" max="5" width="15.921875" customWidth="1"/>
  </cols>
  <sheetData>
    <row r="1" spans="1:5" s="56" customFormat="1">
      <c r="A1" s="158" t="s">
        <v>2189</v>
      </c>
      <c r="B1" s="159">
        <f>SUBTOTAL(9,B8:B222)</f>
        <v>201625.05999999997</v>
      </c>
      <c r="C1" s="159">
        <f>SUBTOTAL(9,C8:C222)</f>
        <v>201625.05999999997</v>
      </c>
    </row>
    <row r="2" spans="1:5" s="56" customFormat="1">
      <c r="A2" s="160" t="s">
        <v>2330</v>
      </c>
      <c r="B2" s="161"/>
      <c r="C2" s="161"/>
    </row>
    <row r="3" spans="1:5" s="56" customFormat="1">
      <c r="A3" s="162" t="s">
        <v>2331</v>
      </c>
      <c r="B3" s="173"/>
      <c r="C3" s="163"/>
    </row>
    <row r="4" spans="1:5" s="56" customFormat="1">
      <c r="A4" s="158" t="s">
        <v>2332</v>
      </c>
      <c r="B4" s="174"/>
      <c r="C4" s="164"/>
    </row>
    <row r="5" spans="1:5" s="56" customFormat="1">
      <c r="A5" s="158"/>
      <c r="B5" s="174"/>
      <c r="C5" s="164"/>
    </row>
    <row r="6" spans="1:5" s="56" customFormat="1">
      <c r="A6" s="158"/>
      <c r="B6" s="174"/>
      <c r="C6" s="164"/>
    </row>
    <row r="7" spans="1:5" ht="21" customHeight="1">
      <c r="A7" s="155" t="s">
        <v>2328</v>
      </c>
      <c r="B7" s="178" t="s">
        <v>2329</v>
      </c>
      <c r="C7" s="156" t="s">
        <v>2329</v>
      </c>
      <c r="D7" s="170" t="s">
        <v>2369</v>
      </c>
      <c r="E7" s="179"/>
    </row>
    <row r="8" spans="1:5" s="56" customFormat="1">
      <c r="A8" s="124" t="s">
        <v>2143</v>
      </c>
      <c r="B8" s="157">
        <v>190.22</v>
      </c>
      <c r="C8" s="157">
        <f>IF('Data_ Contrats'!O3="M",SUMIF(Data_P!A:A,CONCATENATE(A8,"_",A$1),Data_P!J:J),IF('Data_ Contrats'!O3="T",SUMIF(Data_P!A:A,CONCATENATE(A8,"_",A$1),Data_P!J:J),""))</f>
        <v>190.22</v>
      </c>
      <c r="D8" s="169" t="str">
        <f>VLOOKUP(A8,'Data_ Contrats'!A$3:O$250,15)</f>
        <v>M</v>
      </c>
    </row>
    <row r="9" spans="1:5" s="56" customFormat="1">
      <c r="A9" s="124" t="s">
        <v>2145</v>
      </c>
      <c r="B9" s="157">
        <v>1920.44</v>
      </c>
      <c r="C9" s="157">
        <f>IF('Data_ Contrats'!O4="M",SUMIF(Data_P!A:A,CONCATENATE(A9,"_",A$1),Data_P!J:J),IF('Data_ Contrats'!O4="T",SUMIF(Data_P!A:A,CONCATENATE(A9,"_",A$1),Data_P!J:J),""))</f>
        <v>1920.44</v>
      </c>
      <c r="D9" s="169" t="str">
        <f>VLOOKUP(A9,'Data_ Contrats'!A$3:O$250,15)</f>
        <v>M</v>
      </c>
    </row>
    <row r="10" spans="1:5" s="56" customFormat="1">
      <c r="A10" s="124" t="s">
        <v>1250</v>
      </c>
      <c r="B10" s="157">
        <v>349.24</v>
      </c>
      <c r="C10" s="157">
        <f>IF('Data_ Contrats'!O5="M",SUMIF(Data_P!A:A,CONCATENATE(A10,"_",A$1),Data_P!J:J),IF('Data_ Contrats'!O5="T",SUMIF(Data_P!A:A,CONCATENATE(A10,"_",A$1),Data_P!J:J),""))</f>
        <v>349.24</v>
      </c>
      <c r="D10" s="169" t="str">
        <f>VLOOKUP(A10,'Data_ Contrats'!A$3:O$250,15)</f>
        <v>M</v>
      </c>
    </row>
    <row r="11" spans="1:5" s="56" customFormat="1">
      <c r="A11" s="172" t="s">
        <v>226</v>
      </c>
      <c r="B11" s="176">
        <v>702.27</v>
      </c>
      <c r="C11" s="157">
        <f>IF('Data_ Contrats'!O6="M",SUMIF(Data_P!A:A,CONCATENATE(A11,"_",A$1),Data_P!J:J),IF('Data_ Contrats'!O6="T",SUMIF(Data_P!A:A,CONCATENATE(A11,"_",A$1),Data_P!J:J),""))</f>
        <v>702.27</v>
      </c>
      <c r="D11" s="169" t="str">
        <f>VLOOKUP(A11,'Data_ Contrats'!A$3:O$250,15)</f>
        <v>T</v>
      </c>
    </row>
    <row r="12" spans="1:5" s="56" customFormat="1">
      <c r="A12" s="124" t="s">
        <v>1226</v>
      </c>
      <c r="B12" s="176">
        <v>30.38</v>
      </c>
      <c r="C12" s="157">
        <f>IF('Data_ Contrats'!O7="M",SUMIF(Data_P!A:A,CONCATENATE(A12,"_",A$1),Data_P!J:J),IF('Data_ Contrats'!O7="T",SUMIF(Data_P!A:A,CONCATENATE(A12,"_",A$1),Data_P!J:J),""))</f>
        <v>30.38</v>
      </c>
      <c r="D12" s="169" t="str">
        <f>VLOOKUP(A12,'Data_ Contrats'!A$3:O$250,15)</f>
        <v>T</v>
      </c>
    </row>
    <row r="13" spans="1:5" s="56" customFormat="1">
      <c r="A13" s="124" t="s">
        <v>1227</v>
      </c>
      <c r="B13" s="176">
        <v>0</v>
      </c>
      <c r="C13" s="157">
        <f>IF('Data_ Contrats'!O8="M",SUMIF(Data_P!A:A,CONCATENATE(A13,"_",A$1),Data_P!J:J),IF('Data_ Contrats'!O8="T",SUMIF(Data_P!A:A,CONCATENATE(A13,"_",A$1),Data_P!J:J),""))</f>
        <v>0</v>
      </c>
      <c r="D13" s="169" t="str">
        <f>VLOOKUP(A13,'Data_ Contrats'!A$3:O$250,15)</f>
        <v>T</v>
      </c>
    </row>
    <row r="14" spans="1:5" s="56" customFormat="1">
      <c r="A14" s="124" t="s">
        <v>1230</v>
      </c>
      <c r="B14" s="176">
        <v>372</v>
      </c>
      <c r="C14" s="157">
        <f>IF('Data_ Contrats'!O9="M",SUMIF(Data_P!A:A,CONCATENATE(A14,"_",A$1),Data_P!J:J),IF('Data_ Contrats'!O9="T",SUMIF(Data_P!A:A,CONCATENATE(A14,"_",A$1),Data_P!J:J),""))</f>
        <v>372</v>
      </c>
      <c r="D14" s="169" t="str">
        <f>VLOOKUP(A14,'Data_ Contrats'!A$3:O$250,15)</f>
        <v>T</v>
      </c>
    </row>
    <row r="15" spans="1:5" s="56" customFormat="1">
      <c r="A15" s="172" t="s">
        <v>2146</v>
      </c>
      <c r="B15" s="157">
        <v>330.33</v>
      </c>
      <c r="C15" s="157">
        <f>IF('Data_ Contrats'!O10="M",SUMIF(Data_P!A:A,CONCATENATE(A15,"_",A$1),Data_P!J:J),IF('Data_ Contrats'!O10="T",SUMIF(Data_P!A:A,CONCATENATE(A15,"_",A$1),Data_P!J:J),""))</f>
        <v>330.33</v>
      </c>
      <c r="D15" s="169" t="str">
        <f>VLOOKUP(A15,'Data_ Contrats'!A$3:O$250,15)</f>
        <v>M</v>
      </c>
    </row>
    <row r="16" spans="1:5" s="56" customFormat="1">
      <c r="A16" s="124" t="s">
        <v>227</v>
      </c>
      <c r="B16" s="157">
        <v>1745.4</v>
      </c>
      <c r="C16" s="157">
        <f>IF('Data_ Contrats'!O11="M",SUMIF(Data_P!A:A,CONCATENATE(A16,"_",A$1),Data_P!J:J),IF('Data_ Contrats'!O11="T",SUMIF(Data_P!A:A,CONCATENATE(A16,"_",A$1),Data_P!J:J),""))</f>
        <v>1745.4</v>
      </c>
      <c r="D16" s="169" t="str">
        <f>VLOOKUP(A16,'Data_ Contrats'!A$3:O$250,15)</f>
        <v>M</v>
      </c>
    </row>
    <row r="17" spans="1:4" s="56" customFormat="1">
      <c r="A17" s="124" t="s">
        <v>2043</v>
      </c>
      <c r="B17" s="176">
        <v>2310.39</v>
      </c>
      <c r="C17" s="157">
        <f>IF('Data_ Contrats'!O12="M",SUMIF(Data_P!A:A,CONCATENATE(A17,"_",A$1),Data_P!J:J),IF('Data_ Contrats'!O12="T",SUMIF(Data_P!A:A,CONCATENATE(A17,"_",A$1),Data_P!J:J),""))</f>
        <v>2310.39</v>
      </c>
      <c r="D17" s="169" t="str">
        <f>VLOOKUP(A17,'Data_ Contrats'!A$3:O$250,15)</f>
        <v>T</v>
      </c>
    </row>
    <row r="18" spans="1:4" s="56" customFormat="1">
      <c r="A18" s="124" t="s">
        <v>880</v>
      </c>
      <c r="B18" s="176">
        <v>588.26</v>
      </c>
      <c r="C18" s="157">
        <f>IF('Data_ Contrats'!O14="M",SUMIF(Data_P!A:A,CONCATENATE(A18,"_",A$1),Data_P!J:J),IF('Data_ Contrats'!O14="T",SUMIF(Data_P!A:A,CONCATENATE(A18,"_",A$1),Data_P!J:J),""))</f>
        <v>588.26</v>
      </c>
      <c r="D18" s="169" t="str">
        <f>VLOOKUP(A18,'Data_ Contrats'!A$3:O$250,15)</f>
        <v>T</v>
      </c>
    </row>
    <row r="19" spans="1:4" s="56" customFormat="1">
      <c r="A19" s="124" t="s">
        <v>1674</v>
      </c>
      <c r="B19" s="157">
        <v>294.66000000000003</v>
      </c>
      <c r="C19" s="157">
        <f>IF('Data_ Contrats'!O15="M",SUMIF(Data_P!A:A,CONCATENATE(A19,"_",A$1),Data_P!J:J),IF('Data_ Contrats'!O15="T",SUMIF(Data_P!A:A,CONCATENATE(A19,"_",A$1),Data_P!J:J),""))</f>
        <v>294.66000000000003</v>
      </c>
      <c r="D19" s="169" t="str">
        <f>VLOOKUP(A19,'Data_ Contrats'!A$3:O$250,15)</f>
        <v>M</v>
      </c>
    </row>
    <row r="20" spans="1:4" s="56" customFormat="1">
      <c r="A20" s="124" t="s">
        <v>1199</v>
      </c>
      <c r="B20" s="157">
        <v>14.03</v>
      </c>
      <c r="C20" s="157">
        <f>IF('Data_ Contrats'!O16="M",SUMIF(Data_P!A:A,CONCATENATE(A20,"_",A$1),Data_P!J:J),IF('Data_ Contrats'!O16="T",SUMIF(Data_P!A:A,CONCATENATE(A20,"_",A$1),Data_P!J:J),""))</f>
        <v>14.03</v>
      </c>
      <c r="D20" s="169" t="str">
        <f>VLOOKUP(A20,'Data_ Contrats'!A$3:O$250,15)</f>
        <v>M</v>
      </c>
    </row>
    <row r="21" spans="1:4" s="56" customFormat="1">
      <c r="A21" s="124" t="s">
        <v>2045</v>
      </c>
      <c r="B21" s="157">
        <v>727.29</v>
      </c>
      <c r="C21" s="157">
        <f>IF('Data_ Contrats'!O17="M",SUMIF(Data_P!A:A,CONCATENATE(A21,"_",A$1),Data_P!J:J),IF('Data_ Contrats'!O17="T",SUMIF(Data_P!A:A,CONCATENATE(A21,"_",A$1),Data_P!J:J),""))</f>
        <v>727.29</v>
      </c>
      <c r="D21" s="169" t="str">
        <f>VLOOKUP(A21,'Data_ Contrats'!A$3:O$250,15)</f>
        <v>M</v>
      </c>
    </row>
    <row r="22" spans="1:4" s="56" customFormat="1">
      <c r="A22" s="124" t="s">
        <v>2046</v>
      </c>
      <c r="B22" s="157">
        <v>327.42</v>
      </c>
      <c r="C22" s="157">
        <f>IF('Data_ Contrats'!O18="M",SUMIF(Data_P!A:A,CONCATENATE(A22,"_",A$1),Data_P!J:J),IF('Data_ Contrats'!O18="T",SUMIF(Data_P!A:A,CONCATENATE(A22,"_",A$1),Data_P!J:J),""))</f>
        <v>327.42</v>
      </c>
      <c r="D22" s="169" t="str">
        <f>VLOOKUP(A22,'Data_ Contrats'!A$3:O$250,15)</f>
        <v>M</v>
      </c>
    </row>
    <row r="23" spans="1:4" s="56" customFormat="1">
      <c r="A23" s="124" t="s">
        <v>938</v>
      </c>
      <c r="B23" s="157">
        <v>378.35</v>
      </c>
      <c r="C23" s="157">
        <f>IF('Data_ Contrats'!O19="M",SUMIF(Data_P!A:A,CONCATENATE(A23,"_",A$1),Data_P!J:J),IF('Data_ Contrats'!O19="T",SUMIF(Data_P!A:A,CONCATENATE(A23,"_",A$1),Data_P!J:J),""))</f>
        <v>378.35</v>
      </c>
      <c r="D23" s="169" t="str">
        <f>VLOOKUP(A23,'Data_ Contrats'!A$3:O$250,15)</f>
        <v>M</v>
      </c>
    </row>
    <row r="24" spans="1:4" s="56" customFormat="1">
      <c r="A24" s="124" t="s">
        <v>2149</v>
      </c>
      <c r="B24" s="157">
        <v>945.66</v>
      </c>
      <c r="C24" s="157">
        <f>IF('Data_ Contrats'!O20="M",SUMIF(Data_P!A:A,CONCATENATE(A24,"_",A$1),Data_P!J:J),IF('Data_ Contrats'!O20="T",SUMIF(Data_P!A:A,CONCATENATE(A24,"_",A$1),Data_P!J:J),""))</f>
        <v>945.66</v>
      </c>
      <c r="D24" s="169" t="str">
        <f>VLOOKUP(A24,'Data_ Contrats'!A$3:O$250,15)</f>
        <v>M</v>
      </c>
    </row>
    <row r="25" spans="1:4" s="56" customFormat="1">
      <c r="A25" s="124" t="s">
        <v>2150</v>
      </c>
      <c r="B25" s="157">
        <v>638.79999999999995</v>
      </c>
      <c r="C25" s="157">
        <f>IF('Data_ Contrats'!O21="M",SUMIF(Data_P!A:A,CONCATENATE(A25,"_",A$1),Data_P!J:J),IF('Data_ Contrats'!O21="T",SUMIF(Data_P!A:A,CONCATENATE(A25,"_",A$1),Data_P!J:J),""))</f>
        <v>638.79999999999995</v>
      </c>
      <c r="D25" s="169" t="str">
        <f>VLOOKUP(A25,'Data_ Contrats'!A$3:O$250,15)</f>
        <v>M</v>
      </c>
    </row>
    <row r="26" spans="1:4" s="56" customFormat="1">
      <c r="A26" s="124" t="s">
        <v>1675</v>
      </c>
      <c r="B26" s="157">
        <v>108.8</v>
      </c>
      <c r="C26" s="157">
        <f>IF('Data_ Contrats'!O22="M",SUMIF(Data_P!A:A,CONCATENATE(A26,"_",A$1),Data_P!J:J),IF('Data_ Contrats'!O22="T",SUMIF(Data_P!A:A,CONCATENATE(A26,"_",A$1),Data_P!J:J),""))</f>
        <v>108.8</v>
      </c>
      <c r="D26" s="169" t="str">
        <f>VLOOKUP(A26,'Data_ Contrats'!A$3:O$250,15)</f>
        <v>M</v>
      </c>
    </row>
    <row r="27" spans="1:4" s="56" customFormat="1">
      <c r="A27" s="124" t="s">
        <v>2047</v>
      </c>
      <c r="B27" s="157">
        <v>369.51</v>
      </c>
      <c r="C27" s="157">
        <f>IF('Data_ Contrats'!O23="M",SUMIF(Data_P!A:A,CONCATENATE(A27,"_",A$1),Data_P!J:J),IF('Data_ Contrats'!O23="T",SUMIF(Data_P!A:A,CONCATENATE(A27,"_",A$1),Data_P!J:J),""))</f>
        <v>369.51</v>
      </c>
      <c r="D27" s="169" t="str">
        <f>VLOOKUP(A27,'Data_ Contrats'!A$3:O$250,15)</f>
        <v>M</v>
      </c>
    </row>
    <row r="28" spans="1:4" s="56" customFormat="1">
      <c r="A28" s="124" t="s">
        <v>1883</v>
      </c>
      <c r="B28" s="157">
        <v>59.91</v>
      </c>
      <c r="C28" s="157">
        <f>IF('Data_ Contrats'!O24="M",SUMIF(Data_P!A:A,CONCATENATE(A28,"_",A$1),Data_P!J:J),IF('Data_ Contrats'!O24="T",SUMIF(Data_P!A:A,CONCATENATE(A28,"_",A$1),Data_P!J:J),""))</f>
        <v>59.91</v>
      </c>
      <c r="D28" s="169" t="str">
        <f>VLOOKUP(A28,'Data_ Contrats'!A$3:O$250,15)</f>
        <v>M</v>
      </c>
    </row>
    <row r="29" spans="1:4" s="56" customFormat="1">
      <c r="A29" s="124" t="s">
        <v>2048</v>
      </c>
      <c r="B29" s="176">
        <v>1471.27</v>
      </c>
      <c r="C29" s="157">
        <f>IF('Data_ Contrats'!O25="M",SUMIF(Data_P!A:A,CONCATENATE(A29,"_",A$1),Data_P!J:J),IF('Data_ Contrats'!O25="T",SUMIF(Data_P!A:A,CONCATENATE(A29,"_",A$1),Data_P!J:J),""))</f>
        <v>1471.27</v>
      </c>
      <c r="D29" s="169" t="str">
        <f>VLOOKUP(A29,'Data_ Contrats'!A$3:O$250,15)</f>
        <v>T</v>
      </c>
    </row>
    <row r="30" spans="1:4" s="56" customFormat="1">
      <c r="A30" s="124" t="s">
        <v>2049</v>
      </c>
      <c r="B30" s="157">
        <v>2742.28</v>
      </c>
      <c r="C30" s="157">
        <f>IF('Data_ Contrats'!O26="M",SUMIF(Data_P!A:A,CONCATENATE(A30,"_",A$1),Data_P!J:J),IF('Data_ Contrats'!O26="T",SUMIF(Data_P!A:A,CONCATENATE(A30,"_",A$1),Data_P!J:J),""))</f>
        <v>2742.28</v>
      </c>
      <c r="D30" s="169" t="str">
        <f>VLOOKUP(A30,'Data_ Contrats'!A$3:O$250,15)</f>
        <v>M</v>
      </c>
    </row>
    <row r="31" spans="1:4" s="56" customFormat="1">
      <c r="A31" s="124" t="s">
        <v>1175</v>
      </c>
      <c r="B31" s="176" t="s">
        <v>535</v>
      </c>
      <c r="C31" s="157" t="str">
        <f>IF('Data_ Contrats'!O27="M",SUMIF(Data_P!A:A,CONCATENATE(A31,"_",A$1),Data_P!J:J),IF('Data_ Contrats'!O27="T",SUMIF(Data_P!A:A,CONCATENATE(A31,"_",A$1),Data_P!J:J),""))</f>
        <v/>
      </c>
      <c r="D31" s="169">
        <f>VLOOKUP(A31,'Data_ Contrats'!A$3:O$250,15)</f>
        <v>0</v>
      </c>
    </row>
    <row r="32" spans="1:4" s="56" customFormat="1">
      <c r="A32" s="124" t="s">
        <v>2050</v>
      </c>
      <c r="B32" s="157">
        <v>262.25</v>
      </c>
      <c r="C32" s="157">
        <f>IF('Data_ Contrats'!O28="M",SUMIF(Data_P!A:A,CONCATENATE(A32,"_",A$1),Data_P!J:J),IF('Data_ Contrats'!O28="T",SUMIF(Data_P!A:A,CONCATENATE(A32,"_",A$1),Data_P!J:J),""))</f>
        <v>262.25</v>
      </c>
      <c r="D32" s="169" t="str">
        <f>VLOOKUP(A32,'Data_ Contrats'!A$3:O$250,15)</f>
        <v>M</v>
      </c>
    </row>
    <row r="33" spans="1:4" s="56" customFormat="1">
      <c r="A33" s="124" t="s">
        <v>1692</v>
      </c>
      <c r="B33" s="176">
        <v>519.20000000000005</v>
      </c>
      <c r="C33" s="157">
        <f>IF('Data_ Contrats'!O29="M",SUMIF(Data_P!A:A,CONCATENATE(A33,"_",A$1),Data_P!J:J),IF('Data_ Contrats'!O29="T",SUMIF(Data_P!A:A,CONCATENATE(A33,"_",A$1),Data_P!J:J),""))</f>
        <v>519.20000000000005</v>
      </c>
      <c r="D33" s="169" t="str">
        <f>VLOOKUP(A33,'Data_ Contrats'!A$3:O$250,15)</f>
        <v>T</v>
      </c>
    </row>
    <row r="34" spans="1:4" s="56" customFormat="1">
      <c r="A34" s="124" t="s">
        <v>471</v>
      </c>
      <c r="B34" s="176">
        <v>1950.76</v>
      </c>
      <c r="C34" s="157">
        <f>IF('Data_ Contrats'!O30="M",SUMIF(Data_P!A:A,CONCATENATE(A34,"_",A$1),Data_P!J:J),IF('Data_ Contrats'!O30="T",SUMIF(Data_P!A:A,CONCATENATE(A34,"_",A$1),Data_P!J:J),""))</f>
        <v>1950.76</v>
      </c>
      <c r="D34" s="169" t="str">
        <f>VLOOKUP(A34,'Data_ Contrats'!A$3:O$250,15)</f>
        <v>T</v>
      </c>
    </row>
    <row r="35" spans="1:4" s="56" customFormat="1">
      <c r="A35" s="124" t="s">
        <v>471</v>
      </c>
      <c r="B35" s="176">
        <v>1950.76</v>
      </c>
      <c r="C35" s="157">
        <f>IF('Data_ Contrats'!O31="M",SUMIF(Data_P!A:A,CONCATENATE(A35,"_",A$1),Data_P!J:J),IF('Data_ Contrats'!O31="T",SUMIF(Data_P!A:A,CONCATENATE(A35,"_",A$1),Data_P!J:J),""))</f>
        <v>1950.76</v>
      </c>
      <c r="D35" s="169" t="str">
        <f>VLOOKUP(A35,'Data_ Contrats'!A$3:O$250,15)</f>
        <v>T</v>
      </c>
    </row>
    <row r="36" spans="1:4" s="56" customFormat="1">
      <c r="A36" s="124" t="s">
        <v>952</v>
      </c>
      <c r="B36" s="157">
        <v>0</v>
      </c>
      <c r="C36" s="157">
        <f>IF('Data_ Contrats'!O32="M",SUMIF(Data_P!A:A,CONCATENATE(A36,"_",A$1),Data_P!J:J),IF('Data_ Contrats'!O32="T",SUMIF(Data_P!A:A,CONCATENATE(A36,"_",A$1),Data_P!J:J),""))</f>
        <v>0</v>
      </c>
      <c r="D36" s="169" t="str">
        <f>VLOOKUP(A36,'Data_ Contrats'!A$3:O$250,15)</f>
        <v>M</v>
      </c>
    </row>
    <row r="37" spans="1:4" s="56" customFormat="1">
      <c r="A37" s="124" t="s">
        <v>984</v>
      </c>
      <c r="B37" s="157">
        <v>0</v>
      </c>
      <c r="C37" s="157">
        <f>IF('Data_ Contrats'!O33="M",SUMIF(Data_P!A:A,CONCATENATE(A37,"_",A$1),Data_P!J:J),IF('Data_ Contrats'!O33="T",SUMIF(Data_P!A:A,CONCATENATE(A37,"_",A$1),Data_P!J:J),""))</f>
        <v>0</v>
      </c>
      <c r="D37" s="169" t="str">
        <f>VLOOKUP(A37,'Data_ Contrats'!A$3:O$250,15)</f>
        <v>M</v>
      </c>
    </row>
    <row r="38" spans="1:4" s="56" customFormat="1">
      <c r="A38" s="124" t="s">
        <v>2051</v>
      </c>
      <c r="B38" s="157">
        <v>125.75</v>
      </c>
      <c r="C38" s="157">
        <f>IF('Data_ Contrats'!O34="M",SUMIF(Data_P!A:A,CONCATENATE(A38,"_",A$1),Data_P!J:J),IF('Data_ Contrats'!O34="T",SUMIF(Data_P!A:A,CONCATENATE(A38,"_",A$1),Data_P!J:J),""))</f>
        <v>125.75</v>
      </c>
      <c r="D38" s="169" t="str">
        <f>VLOOKUP(A38,'Data_ Contrats'!A$3:O$250,15)</f>
        <v>M</v>
      </c>
    </row>
    <row r="39" spans="1:4" s="56" customFormat="1">
      <c r="A39" s="124" t="s">
        <v>2053</v>
      </c>
      <c r="B39" s="157">
        <v>98.69</v>
      </c>
      <c r="C39" s="157">
        <f>IF('Data_ Contrats'!O35="M",SUMIF(Data_P!A:A,CONCATENATE(A39,"_",A$1),Data_P!J:J),IF('Data_ Contrats'!O35="T",SUMIF(Data_P!A:A,CONCATENATE(A39,"_",A$1),Data_P!J:J),""))</f>
        <v>98.69</v>
      </c>
      <c r="D39" s="169" t="str">
        <f>VLOOKUP(A39,'Data_ Contrats'!A$3:O$250,15)</f>
        <v>M</v>
      </c>
    </row>
    <row r="40" spans="1:4" s="56" customFormat="1">
      <c r="A40" s="124" t="s">
        <v>2055</v>
      </c>
      <c r="B40" s="157">
        <v>790.67</v>
      </c>
      <c r="C40" s="157">
        <f>IF('Data_ Contrats'!O36="M",SUMIF(Data_P!A:A,CONCATENATE(A40,"_",A$1),Data_P!J:J),IF('Data_ Contrats'!O36="T",SUMIF(Data_P!A:A,CONCATENATE(A40,"_",A$1),Data_P!J:J),""))</f>
        <v>790.67</v>
      </c>
      <c r="D40" s="169" t="str">
        <f>VLOOKUP(A40,'Data_ Contrats'!A$3:O$250,15)</f>
        <v>M</v>
      </c>
    </row>
    <row r="41" spans="1:4" s="56" customFormat="1">
      <c r="A41" s="124" t="s">
        <v>1496</v>
      </c>
      <c r="B41" s="157">
        <v>610.79999999999995</v>
      </c>
      <c r="C41" s="157">
        <f>IF('Data_ Contrats'!O37="M",SUMIF(Data_P!A:A,CONCATENATE(A41,"_",A$1),Data_P!J:J),IF('Data_ Contrats'!O37="T",SUMIF(Data_P!A:A,CONCATENATE(A41,"_",A$1),Data_P!J:J),""))</f>
        <v>610.79999999999995</v>
      </c>
      <c r="D41" s="169" t="str">
        <f>VLOOKUP(A41,'Data_ Contrats'!A$3:O$250,15)</f>
        <v>M</v>
      </c>
    </row>
    <row r="42" spans="1:4" s="56" customFormat="1">
      <c r="A42" s="124" t="s">
        <v>1031</v>
      </c>
      <c r="B42" s="157">
        <v>170.35</v>
      </c>
      <c r="C42" s="157">
        <f>IF('Data_ Contrats'!O38="M",SUMIF(Data_P!A:A,CONCATENATE(A42,"_",A$1),Data_P!J:J),IF('Data_ Contrats'!O38="T",SUMIF(Data_P!A:A,CONCATENATE(A42,"_",A$1),Data_P!J:J),""))</f>
        <v>170.35</v>
      </c>
      <c r="D42" s="169" t="str">
        <f>VLOOKUP(A42,'Data_ Contrats'!A$3:O$250,15)</f>
        <v>M</v>
      </c>
    </row>
    <row r="43" spans="1:4" s="56" customFormat="1">
      <c r="A43" s="124" t="s">
        <v>1671</v>
      </c>
      <c r="B43" s="157">
        <v>0</v>
      </c>
      <c r="C43" s="157">
        <f>IF('Data_ Contrats'!O39="M",SUMIF(Data_P!A:A,CONCATENATE(A43,"_",A$1),Data_P!J:J),IF('Data_ Contrats'!O39="T",SUMIF(Data_P!A:A,CONCATENATE(A43,"_",A$1),Data_P!J:J),""))</f>
        <v>0</v>
      </c>
      <c r="D43" s="169" t="str">
        <f>VLOOKUP(A43,'Data_ Contrats'!A$3:O$250,15)</f>
        <v>M</v>
      </c>
    </row>
    <row r="44" spans="1:4" s="56" customFormat="1">
      <c r="A44" s="124" t="s">
        <v>1676</v>
      </c>
      <c r="B44" s="157">
        <v>4.2</v>
      </c>
      <c r="C44" s="157">
        <f>IF('Data_ Contrats'!O40="M",SUMIF(Data_P!A:A,CONCATENATE(A44,"_",A$1),Data_P!J:J),IF('Data_ Contrats'!O40="T",SUMIF(Data_P!A:A,CONCATENATE(A44,"_",A$1),Data_P!J:J),""))</f>
        <v>4.2</v>
      </c>
      <c r="D44" s="169" t="str">
        <f>VLOOKUP(A44,'Data_ Contrats'!A$3:O$250,15)</f>
        <v>M</v>
      </c>
    </row>
    <row r="45" spans="1:4" s="56" customFormat="1">
      <c r="A45" s="124" t="s">
        <v>1233</v>
      </c>
      <c r="B45" s="157">
        <v>769.27</v>
      </c>
      <c r="C45" s="157">
        <f>IF('Data_ Contrats'!O41="M",SUMIF(Data_P!A:A,CONCATENATE(A45,"_",A$1),Data_P!J:J),IF('Data_ Contrats'!O41="T",SUMIF(Data_P!A:A,CONCATENATE(A45,"_",A$1),Data_P!J:J),""))</f>
        <v>769.27</v>
      </c>
      <c r="D45" s="169" t="str">
        <f>VLOOKUP(A45,'Data_ Contrats'!A$3:O$250,15)</f>
        <v>M</v>
      </c>
    </row>
    <row r="46" spans="1:4" s="56" customFormat="1">
      <c r="A46" s="124" t="s">
        <v>1677</v>
      </c>
      <c r="B46" s="157">
        <v>99.6</v>
      </c>
      <c r="C46" s="157">
        <f>IF('Data_ Contrats'!O42="M",SUMIF(Data_P!A:A,CONCATENATE(A46,"_",A$1),Data_P!J:J),IF('Data_ Contrats'!O42="T",SUMIF(Data_P!A:A,CONCATENATE(A46,"_",A$1),Data_P!J:J),""))</f>
        <v>99.6</v>
      </c>
      <c r="D46" s="169" t="str">
        <f>VLOOKUP(A46,'Data_ Contrats'!A$3:O$250,15)</f>
        <v>M</v>
      </c>
    </row>
    <row r="47" spans="1:4" s="56" customFormat="1">
      <c r="A47" s="124" t="s">
        <v>1799</v>
      </c>
      <c r="B47" s="176">
        <v>106.8</v>
      </c>
      <c r="C47" s="157">
        <f>IF('Data_ Contrats'!O43="M",SUMIF(Data_P!A:A,CONCATENATE(A47,"_",A$1),Data_P!J:J),IF('Data_ Contrats'!O43="T",SUMIF(Data_P!A:A,CONCATENATE(A47,"_",A$1),Data_P!J:J),""))</f>
        <v>106.8</v>
      </c>
      <c r="D47" s="169" t="str">
        <f>VLOOKUP(A47,'Data_ Contrats'!A$3:O$250,15)</f>
        <v>T</v>
      </c>
    </row>
    <row r="48" spans="1:4" s="56" customFormat="1">
      <c r="A48" s="124" t="s">
        <v>1678</v>
      </c>
      <c r="B48" s="157">
        <v>0</v>
      </c>
      <c r="C48" s="157">
        <f>IF('Data_ Contrats'!O44="M",SUMIF(Data_P!A:A,CONCATENATE(A48,"_",A$1),Data_P!J:J),IF('Data_ Contrats'!O44="T",SUMIF(Data_P!A:A,CONCATENATE(A48,"_",A$1),Data_P!J:J),""))</f>
        <v>0</v>
      </c>
      <c r="D48" s="169" t="str">
        <f>VLOOKUP(A48,'Data_ Contrats'!A$3:O$250,15)</f>
        <v>M</v>
      </c>
    </row>
    <row r="49" spans="1:4" s="56" customFormat="1">
      <c r="A49" s="124" t="s">
        <v>2058</v>
      </c>
      <c r="B49" s="176">
        <v>3.6</v>
      </c>
      <c r="C49" s="157">
        <f>IF('Data_ Contrats'!O45="M",SUMIF(Data_P!A:A,CONCATENATE(A49,"_",A$1),Data_P!J:J),IF('Data_ Contrats'!O45="T",SUMIF(Data_P!A:A,CONCATENATE(A49,"_",A$1),Data_P!J:J),""))</f>
        <v>3.6</v>
      </c>
      <c r="D49" s="169" t="str">
        <f>VLOOKUP(A49,'Data_ Contrats'!A$3:O$250,15)</f>
        <v>T</v>
      </c>
    </row>
    <row r="50" spans="1:4" s="56" customFormat="1">
      <c r="A50" s="124" t="s">
        <v>1801</v>
      </c>
      <c r="B50" s="157">
        <v>83.51</v>
      </c>
      <c r="C50" s="157">
        <f>IF('Data_ Contrats'!O46="M",SUMIF(Data_P!A:A,CONCATENATE(A50,"_",A$1),Data_P!J:J),IF('Data_ Contrats'!O46="T",SUMIF(Data_P!A:A,CONCATENATE(A50,"_",A$1),Data_P!J:J),""))</f>
        <v>83.51</v>
      </c>
      <c r="D50" s="169" t="str">
        <f>VLOOKUP(A50,'Data_ Contrats'!A$3:O$250,15)</f>
        <v>M</v>
      </c>
    </row>
    <row r="51" spans="1:4" s="56" customFormat="1">
      <c r="A51" s="124" t="s">
        <v>2059</v>
      </c>
      <c r="B51" s="176">
        <v>653.32000000000005</v>
      </c>
      <c r="C51" s="157">
        <f>IF('Data_ Contrats'!O47="M",SUMIF(Data_P!A:A,CONCATENATE(A51,"_",A$1),Data_P!J:J),IF('Data_ Contrats'!O47="T",SUMIF(Data_P!A:A,CONCATENATE(A51,"_",A$1),Data_P!J:J),""))</f>
        <v>653.32000000000005</v>
      </c>
      <c r="D51" s="169" t="str">
        <f>VLOOKUP(A51,'Data_ Contrats'!A$3:O$250,15)</f>
        <v>T</v>
      </c>
    </row>
    <row r="52" spans="1:4" s="56" customFormat="1">
      <c r="A52" s="124" t="s">
        <v>1679</v>
      </c>
      <c r="B52" s="157">
        <v>1187.31</v>
      </c>
      <c r="C52" s="157">
        <f>IF('Data_ Contrats'!O48="M",SUMIF(Data_P!A:A,CONCATENATE(A52,"_",A$1),Data_P!J:J),IF('Data_ Contrats'!O48="T",SUMIF(Data_P!A:A,CONCATENATE(A52,"_",A$1),Data_P!J:J),""))</f>
        <v>1187.31</v>
      </c>
      <c r="D52" s="169" t="str">
        <f>VLOOKUP(A52,'Data_ Contrats'!A$3:O$250,15)</f>
        <v>M</v>
      </c>
    </row>
    <row r="53" spans="1:4" s="56" customFormat="1">
      <c r="A53" s="124" t="s">
        <v>2057</v>
      </c>
      <c r="B53" s="157">
        <v>13.26</v>
      </c>
      <c r="C53" s="157">
        <f>IF('Data_ Contrats'!O49="M",SUMIF(Data_P!A:A,CONCATENATE(A53,"_",A$1),Data_P!J:J),IF('Data_ Contrats'!O49="T",SUMIF(Data_P!A:A,CONCATENATE(A53,"_",A$1),Data_P!J:J),""))</f>
        <v>13.26</v>
      </c>
      <c r="D53" s="169" t="str">
        <f>VLOOKUP(A53,'Data_ Contrats'!A$3:O$250,15)</f>
        <v>M</v>
      </c>
    </row>
    <row r="54" spans="1:4" s="56" customFormat="1">
      <c r="A54" s="124" t="s">
        <v>228</v>
      </c>
      <c r="B54" s="157">
        <v>638.67999999999995</v>
      </c>
      <c r="C54" s="157">
        <f>IF('Data_ Contrats'!O50="M",SUMIF(Data_P!A:A,CONCATENATE(A54,"_",A$1),Data_P!J:J),IF('Data_ Contrats'!O50="T",SUMIF(Data_P!A:A,CONCATENATE(A54,"_",A$1),Data_P!J:J),""))</f>
        <v>638.67999999999995</v>
      </c>
      <c r="D54" s="169" t="str">
        <f>VLOOKUP(A54,'Data_ Contrats'!A$3:O$250,15)</f>
        <v>M</v>
      </c>
    </row>
    <row r="55" spans="1:4" s="56" customFormat="1" ht="16.8" customHeight="1">
      <c r="A55" s="124" t="s">
        <v>229</v>
      </c>
      <c r="B55" s="157">
        <v>955.46</v>
      </c>
      <c r="C55" s="157">
        <f>IF('Data_ Contrats'!O51="M",SUMIF(Data_P!A:A,CONCATENATE(A55,"_",A$1),Data_P!J:J),IF('Data_ Contrats'!O51="T",SUMIF(Data_P!A:A,CONCATENATE(A55,"_",A$1),Data_P!J:J),""))</f>
        <v>955.46</v>
      </c>
      <c r="D55" s="169" t="str">
        <f>VLOOKUP(A55,'Data_ Contrats'!A$3:O$250,15)</f>
        <v>M</v>
      </c>
    </row>
    <row r="56" spans="1:4" s="56" customFormat="1">
      <c r="A56" s="124" t="s">
        <v>2060</v>
      </c>
      <c r="B56" s="157">
        <v>0</v>
      </c>
      <c r="C56" s="157">
        <f>IF('Data_ Contrats'!O52="M",SUMIF(Data_P!A:A,CONCATENATE(A56,"_",A$1),Data_P!J:J),IF('Data_ Contrats'!O52="T",SUMIF(Data_P!A:A,CONCATENATE(A56,"_",A$1),Data_P!J:J),""))</f>
        <v>0</v>
      </c>
      <c r="D56" s="169" t="str">
        <f>VLOOKUP(A56,'Data_ Contrats'!A$3:O$250,15)</f>
        <v>M</v>
      </c>
    </row>
    <row r="57" spans="1:4" s="56" customFormat="1" ht="31.2">
      <c r="A57" s="124" t="s">
        <v>1234</v>
      </c>
      <c r="B57" s="176">
        <v>0</v>
      </c>
      <c r="C57" s="157">
        <f>IF('Data_ Contrats'!O53="M",SUMIF(Data_P!A:A,CONCATENATE(A57,"_",A$1),Data_P!J:J),IF('Data_ Contrats'!O53="T",SUMIF(Data_P!A:A,CONCATENATE(A57,"_",A$1),Data_P!J:J),""))</f>
        <v>0</v>
      </c>
      <c r="D57" s="169" t="str">
        <f>VLOOKUP(A57,'Data_ Contrats'!A$3:O$250,15)</f>
        <v>T</v>
      </c>
    </row>
    <row r="58" spans="1:4" s="56" customFormat="1">
      <c r="A58" s="124" t="s">
        <v>2063</v>
      </c>
      <c r="B58" s="157">
        <v>515.41999999999996</v>
      </c>
      <c r="C58" s="157">
        <f>IF('Data_ Contrats'!O54="M",SUMIF(Data_P!A:A,CONCATENATE(A58,"_",A$1),Data_P!J:J),IF('Data_ Contrats'!O54="T",SUMIF(Data_P!A:A,CONCATENATE(A58,"_",A$1),Data_P!J:J),""))</f>
        <v>515.41999999999996</v>
      </c>
      <c r="D58" s="169" t="str">
        <f>VLOOKUP(A58,'Data_ Contrats'!A$3:O$250,15)</f>
        <v>M</v>
      </c>
    </row>
    <row r="59" spans="1:4" s="56" customFormat="1">
      <c r="A59" s="124" t="s">
        <v>2064</v>
      </c>
      <c r="B59" s="157">
        <v>2785.61</v>
      </c>
      <c r="C59" s="157">
        <f>IF('Data_ Contrats'!O55="M",SUMIF(Data_P!A:A,CONCATENATE(A59,"_",A$1),Data_P!J:J),IF('Data_ Contrats'!O55="T",SUMIF(Data_P!A:A,CONCATENATE(A59,"_",A$1),Data_P!J:J),""))</f>
        <v>2785.61</v>
      </c>
      <c r="D59" s="169" t="str">
        <f>VLOOKUP(A59,'Data_ Contrats'!A$3:O$250,15)</f>
        <v>M</v>
      </c>
    </row>
    <row r="60" spans="1:4" s="56" customFormat="1">
      <c r="A60" s="124" t="s">
        <v>2061</v>
      </c>
      <c r="B60" s="157">
        <v>0</v>
      </c>
      <c r="C60" s="157">
        <f>IF('Data_ Contrats'!O56="M",SUMIF(Data_P!A:A,CONCATENATE(A60,"_",A$1),Data_P!J:J),IF('Data_ Contrats'!O56="T",SUMIF(Data_P!A:A,CONCATENATE(A60,"_",A$1),Data_P!J:J),""))</f>
        <v>0</v>
      </c>
      <c r="D60" s="169" t="str">
        <f>VLOOKUP(A60,'Data_ Contrats'!A$3:O$250,15)</f>
        <v>M</v>
      </c>
    </row>
    <row r="61" spans="1:4" s="56" customFormat="1">
      <c r="A61" s="124" t="s">
        <v>2065</v>
      </c>
      <c r="B61" s="157">
        <v>1626.9</v>
      </c>
      <c r="C61" s="157">
        <f>IF('Data_ Contrats'!O57="M",SUMIF(Data_P!A:A,CONCATENATE(A61,"_",A$1),Data_P!J:J),IF('Data_ Contrats'!O57="T",SUMIF(Data_P!A:A,CONCATENATE(A61,"_",A$1),Data_P!J:J),""))</f>
        <v>1626.9</v>
      </c>
      <c r="D61" s="169" t="str">
        <f>VLOOKUP(A61,'Data_ Contrats'!A$3:O$250,15)</f>
        <v>M</v>
      </c>
    </row>
    <row r="62" spans="1:4" s="56" customFormat="1">
      <c r="A62" s="124" t="s">
        <v>2062</v>
      </c>
      <c r="B62" s="157">
        <v>395.85</v>
      </c>
      <c r="C62" s="157">
        <f>IF('Data_ Contrats'!O58="M",SUMIF(Data_P!A:A,CONCATENATE(A62,"_",A$1),Data_P!J:J),IF('Data_ Contrats'!O58="T",SUMIF(Data_P!A:A,CONCATENATE(A62,"_",A$1),Data_P!J:J),""))</f>
        <v>395.85</v>
      </c>
      <c r="D62" s="169" t="str">
        <f>VLOOKUP(A62,'Data_ Contrats'!A$3:O$250,15)</f>
        <v>M</v>
      </c>
    </row>
    <row r="63" spans="1:4" s="56" customFormat="1">
      <c r="A63" s="124" t="s">
        <v>2066</v>
      </c>
      <c r="B63" s="157">
        <v>1951.67</v>
      </c>
      <c r="C63" s="157">
        <f>IF('Data_ Contrats'!O59="M",SUMIF(Data_P!A:A,CONCATENATE(A63,"_",A$1),Data_P!J:J),IF('Data_ Contrats'!O59="T",SUMIF(Data_P!A:A,CONCATENATE(A63,"_",A$1),Data_P!J:J),""))</f>
        <v>1951.67</v>
      </c>
      <c r="D63" s="169" t="str">
        <f>VLOOKUP(A63,'Data_ Contrats'!A$3:O$250,15)</f>
        <v>M</v>
      </c>
    </row>
    <row r="64" spans="1:4" s="56" customFormat="1">
      <c r="A64" s="124" t="s">
        <v>2067</v>
      </c>
      <c r="B64" s="157">
        <v>771.76</v>
      </c>
      <c r="C64" s="157">
        <f>IF('Data_ Contrats'!O60="M",SUMIF(Data_P!A:A,CONCATENATE(A64,"_",A$1),Data_P!J:J),IF('Data_ Contrats'!O60="T",SUMIF(Data_P!A:A,CONCATENATE(A64,"_",A$1),Data_P!J:J),""))</f>
        <v>771.76</v>
      </c>
      <c r="D64" s="169" t="str">
        <f>VLOOKUP(A64,'Data_ Contrats'!A$3:O$250,15)</f>
        <v>M</v>
      </c>
    </row>
    <row r="65" spans="1:4" s="56" customFormat="1">
      <c r="A65" s="124" t="s">
        <v>2070</v>
      </c>
      <c r="B65" s="157">
        <v>607.07000000000005</v>
      </c>
      <c r="C65" s="157">
        <f>IF('Data_ Contrats'!O61="M",SUMIF(Data_P!A:A,CONCATENATE(A65,"_",A$1),Data_P!J:J),IF('Data_ Contrats'!O61="T",SUMIF(Data_P!A:A,CONCATENATE(A65,"_",A$1),Data_P!J:J),""))</f>
        <v>607.07000000000005</v>
      </c>
      <c r="D65" s="169" t="str">
        <f>VLOOKUP(A65,'Data_ Contrats'!A$3:O$250,15)</f>
        <v>M</v>
      </c>
    </row>
    <row r="66" spans="1:4" s="56" customFormat="1">
      <c r="A66" s="124" t="s">
        <v>2068</v>
      </c>
      <c r="B66" s="157">
        <v>1033.19</v>
      </c>
      <c r="C66" s="157">
        <f>IF('Data_ Contrats'!O62="M",SUMIF(Data_P!A:A,CONCATENATE(A66,"_",A$1),Data_P!J:J),IF('Data_ Contrats'!O62="T",SUMIF(Data_P!A:A,CONCATENATE(A66,"_",A$1),Data_P!J:J),""))</f>
        <v>1033.19</v>
      </c>
      <c r="D66" s="169" t="str">
        <f>VLOOKUP(A66,'Data_ Contrats'!A$3:O$250,15)</f>
        <v>M</v>
      </c>
    </row>
    <row r="67" spans="1:4" s="56" customFormat="1">
      <c r="A67" s="124" t="s">
        <v>2069</v>
      </c>
      <c r="B67" s="157">
        <v>4085.89</v>
      </c>
      <c r="C67" s="157">
        <f>IF('Data_ Contrats'!O63="M",SUMIF(Data_P!A:A,CONCATENATE(A67,"_",A$1),Data_P!J:J),IF('Data_ Contrats'!O63="T",SUMIF(Data_P!A:A,CONCATENATE(A67,"_",A$1),Data_P!J:J),""))</f>
        <v>4085.89</v>
      </c>
      <c r="D67" s="169" t="str">
        <f>VLOOKUP(A67,'Data_ Contrats'!A$3:O$250,15)</f>
        <v>M</v>
      </c>
    </row>
    <row r="68" spans="1:4" s="56" customFormat="1">
      <c r="A68" s="124" t="s">
        <v>2193</v>
      </c>
      <c r="B68" s="157">
        <v>63.069999999999993</v>
      </c>
      <c r="C68" s="157">
        <f>IF('Data_ Contrats'!O64="M",SUMIF(Data_P!A:A,CONCATENATE(A68,"_",A$1),Data_P!J:J),IF('Data_ Contrats'!O64="T",SUMIF(Data_P!A:A,CONCATENATE(A68,"_",A$1),Data_P!J:J),""))</f>
        <v>63.069999999999993</v>
      </c>
      <c r="D68" s="169" t="str">
        <f>VLOOKUP(A68,'Data_ Contrats'!A$3:O$250,15)</f>
        <v>M</v>
      </c>
    </row>
    <row r="69" spans="1:4" s="56" customFormat="1">
      <c r="A69" s="124" t="s">
        <v>2071</v>
      </c>
      <c r="B69" s="176">
        <v>12</v>
      </c>
      <c r="C69" s="157">
        <f>IF('Data_ Contrats'!O65="M",SUMIF(Data_P!A:A,CONCATENATE(A69,"_",A$1),Data_P!J:J),IF('Data_ Contrats'!O65="T",SUMIF(Data_P!A:A,CONCATENATE(A69,"_",A$1),Data_P!J:J),""))</f>
        <v>12</v>
      </c>
      <c r="D69" s="169" t="str">
        <f>VLOOKUP(A69,'Data_ Contrats'!A$3:O$250,15)</f>
        <v>T</v>
      </c>
    </row>
    <row r="70" spans="1:4" s="56" customFormat="1">
      <c r="A70" s="124" t="s">
        <v>2151</v>
      </c>
      <c r="B70" s="176">
        <v>1544.5</v>
      </c>
      <c r="C70" s="157">
        <f>IF('Data_ Contrats'!O66="M",SUMIF(Data_P!A:A,CONCATENATE(A70,"_",A$1),Data_P!J:J),IF('Data_ Contrats'!O66="T",SUMIF(Data_P!A:A,CONCATENATE(A70,"_",A$1),Data_P!J:J),""))</f>
        <v>1544.5</v>
      </c>
      <c r="D70" s="169" t="str">
        <f>VLOOKUP(A70,'Data_ Contrats'!A$3:O$250,15)</f>
        <v>T</v>
      </c>
    </row>
    <row r="71" spans="1:4" s="56" customFormat="1">
      <c r="A71" s="124" t="s">
        <v>380</v>
      </c>
      <c r="B71" s="157">
        <v>1420.79</v>
      </c>
      <c r="C71" s="157">
        <f>IF('Data_ Contrats'!O67="M",SUMIF(Data_P!A:A,CONCATENATE(A71,"_",A$1),Data_P!J:J),IF('Data_ Contrats'!O67="T",SUMIF(Data_P!A:A,CONCATENATE(A71,"_",A$1),Data_P!J:J),""))</f>
        <v>1420.79</v>
      </c>
      <c r="D71" s="169" t="str">
        <f>VLOOKUP(A71,'Data_ Contrats'!A$3:O$250,15)</f>
        <v>M</v>
      </c>
    </row>
    <row r="72" spans="1:4" s="56" customFormat="1">
      <c r="A72" s="124" t="s">
        <v>2074</v>
      </c>
      <c r="B72" s="176">
        <v>679.45</v>
      </c>
      <c r="C72" s="157">
        <f>IF('Data_ Contrats'!O68="M",SUMIF(Data_P!A:A,CONCATENATE(A72,"_",A$1),Data_P!J:J),IF('Data_ Contrats'!O68="T",SUMIF(Data_P!A:A,CONCATENATE(A72,"_",A$1),Data_P!J:J),""))</f>
        <v>679.45</v>
      </c>
      <c r="D72" s="169" t="str">
        <f>VLOOKUP(A72,'Data_ Contrats'!A$3:O$250,15)</f>
        <v>T</v>
      </c>
    </row>
    <row r="73" spans="1:4" s="56" customFormat="1">
      <c r="A73" s="124" t="s">
        <v>1690</v>
      </c>
      <c r="B73" s="157">
        <v>3781.72</v>
      </c>
      <c r="C73" s="157">
        <f>IF('Data_ Contrats'!O69="M",SUMIF(Data_P!A:A,CONCATENATE(A73,"_",A$1),Data_P!J:J),IF('Data_ Contrats'!O69="T",SUMIF(Data_P!A:A,CONCATENATE(A73,"_",A$1),Data_P!J:J),""))</f>
        <v>3781.72</v>
      </c>
      <c r="D73" s="169" t="str">
        <f>VLOOKUP(A73,'Data_ Contrats'!A$3:O$250,15)</f>
        <v>M</v>
      </c>
    </row>
    <row r="74" spans="1:4" s="56" customFormat="1">
      <c r="A74" s="124" t="s">
        <v>1755</v>
      </c>
      <c r="B74" s="176">
        <v>171.6</v>
      </c>
      <c r="C74" s="157">
        <f>IF('Data_ Contrats'!O70="M",SUMIF(Data_P!A:A,CONCATENATE(A74,"_",A$1),Data_P!J:J),IF('Data_ Contrats'!O70="T",SUMIF(Data_P!A:A,CONCATENATE(A74,"_",A$1),Data_P!J:J),""))</f>
        <v>171.6</v>
      </c>
      <c r="D74" s="169" t="str">
        <f>VLOOKUP(A74,'Data_ Contrats'!A$3:O$250,15)</f>
        <v>T</v>
      </c>
    </row>
    <row r="75" spans="1:4" s="56" customFormat="1">
      <c r="A75" s="124" t="s">
        <v>1336</v>
      </c>
      <c r="B75" s="157">
        <v>3.22</v>
      </c>
      <c r="C75" s="157">
        <f>IF('Data_ Contrats'!O71="M",SUMIF(Data_P!A:A,CONCATENATE(A75,"_",A$1),Data_P!J:J),IF('Data_ Contrats'!O71="T",SUMIF(Data_P!A:A,CONCATENATE(A75,"_",A$1),Data_P!J:J),""))</f>
        <v>3.22</v>
      </c>
      <c r="D75" s="169" t="str">
        <f>VLOOKUP(A75,'Data_ Contrats'!A$3:O$250,15)</f>
        <v>M</v>
      </c>
    </row>
    <row r="76" spans="1:4" s="56" customFormat="1">
      <c r="A76" s="124" t="s">
        <v>1088</v>
      </c>
      <c r="B76" s="157">
        <v>254.64</v>
      </c>
      <c r="C76" s="157">
        <f>IF('Data_ Contrats'!O72="M",SUMIF(Data_P!A:A,CONCATENATE(A76,"_",A$1),Data_P!J:J),IF('Data_ Contrats'!O72="T",SUMIF(Data_P!A:A,CONCATENATE(A76,"_",A$1),Data_P!J:J),""))</f>
        <v>254.64</v>
      </c>
      <c r="D76" s="169" t="str">
        <f>VLOOKUP(A76,'Data_ Contrats'!A$3:O$250,15)</f>
        <v>M</v>
      </c>
    </row>
    <row r="77" spans="1:4" s="56" customFormat="1">
      <c r="A77" s="124" t="s">
        <v>1018</v>
      </c>
      <c r="B77" s="176">
        <v>629.94999999999993</v>
      </c>
      <c r="C77" s="157">
        <f>IF('Data_ Contrats'!O73="M",SUMIF(Data_P!A:A,CONCATENATE(A77,"_",A$1),Data_P!J:J),IF('Data_ Contrats'!O73="T",SUMIF(Data_P!A:A,CONCATENATE(A77,"_",A$1),Data_P!J:J),""))</f>
        <v>629.94999999999993</v>
      </c>
      <c r="D77" s="169" t="str">
        <f>VLOOKUP(A77,'Data_ Contrats'!A$3:O$250,15)</f>
        <v>T</v>
      </c>
    </row>
    <row r="78" spans="1:4" s="56" customFormat="1">
      <c r="A78" s="124" t="s">
        <v>1255</v>
      </c>
      <c r="B78" s="157">
        <v>627</v>
      </c>
      <c r="C78" s="157">
        <f>IF('Data_ Contrats'!O74="M",SUMIF(Data_P!A:A,CONCATENATE(A78,"_",A$1),Data_P!J:J),IF('Data_ Contrats'!O74="T",SUMIF(Data_P!A:A,CONCATENATE(A78,"_",A$1),Data_P!J:J),""))</f>
        <v>627</v>
      </c>
      <c r="D78" s="169" t="str">
        <f>VLOOKUP(A78,'Data_ Contrats'!A$3:O$250,15)</f>
        <v>M</v>
      </c>
    </row>
    <row r="79" spans="1:4" s="56" customFormat="1">
      <c r="A79" s="124" t="s">
        <v>1026</v>
      </c>
      <c r="B79" s="157">
        <v>4034.4700000000003</v>
      </c>
      <c r="C79" s="157">
        <f>IF('Data_ Contrats'!O75="M",SUMIF(Data_P!A:A,CONCATENATE(A79,"_",A$1),Data_P!J:J),IF('Data_ Contrats'!O75="T",SUMIF(Data_P!A:A,CONCATENATE(A79,"_",A$1),Data_P!J:J),""))</f>
        <v>4034.4700000000003</v>
      </c>
      <c r="D79" s="169" t="str">
        <f>VLOOKUP(A79,'Data_ Contrats'!A$3:O$250,15)</f>
        <v>M</v>
      </c>
    </row>
    <row r="80" spans="1:4" s="56" customFormat="1">
      <c r="A80" s="124" t="s">
        <v>1397</v>
      </c>
      <c r="B80" s="176">
        <v>546.23</v>
      </c>
      <c r="C80" s="157">
        <f>IF('Data_ Contrats'!O76="M",SUMIF(Data_P!A:A,CONCATENATE(A80,"_",A$1),Data_P!J:J),IF('Data_ Contrats'!O76="T",SUMIF(Data_P!A:A,CONCATENATE(A80,"_",A$1),Data_P!J:J),""))</f>
        <v>546.23</v>
      </c>
      <c r="D80" s="169" t="str">
        <f>VLOOKUP(A80,'Data_ Contrats'!A$3:O$250,15)</f>
        <v>T</v>
      </c>
    </row>
    <row r="81" spans="1:4" s="56" customFormat="1">
      <c r="A81" s="124" t="s">
        <v>2198</v>
      </c>
      <c r="B81" s="157">
        <v>113.4</v>
      </c>
      <c r="C81" s="157">
        <f>IF('Data_ Contrats'!O77="M",SUMIF(Data_P!A:A,CONCATENATE(A81,"_",A$1),Data_P!J:J),IF('Data_ Contrats'!O77="T",SUMIF(Data_P!A:A,CONCATENATE(A81,"_",A$1),Data_P!J:J),""))</f>
        <v>113.4</v>
      </c>
      <c r="D81" s="169" t="str">
        <f>VLOOKUP(A81,'Data_ Contrats'!A$3:O$250,15)</f>
        <v>M</v>
      </c>
    </row>
    <row r="82" spans="1:4" s="56" customFormat="1">
      <c r="A82" s="124" t="s">
        <v>2075</v>
      </c>
      <c r="B82" s="157">
        <v>1816.46</v>
      </c>
      <c r="C82" s="157">
        <f>IF('Data_ Contrats'!O78="M",SUMIF(Data_P!A:A,CONCATENATE(A82,"_",A$1),Data_P!J:J),IF('Data_ Contrats'!O78="T",SUMIF(Data_P!A:A,CONCATENATE(A82,"_",A$1),Data_P!J:J),""))</f>
        <v>1816.46</v>
      </c>
      <c r="D82" s="169" t="str">
        <f>VLOOKUP(A82,'Data_ Contrats'!A$3:O$250,15)</f>
        <v>M</v>
      </c>
    </row>
    <row r="83" spans="1:4" s="56" customFormat="1">
      <c r="A83" s="124" t="s">
        <v>295</v>
      </c>
      <c r="B83" s="157">
        <v>1207.8600000000001</v>
      </c>
      <c r="C83" s="157">
        <f>IF('Data_ Contrats'!O79="M",SUMIF(Data_P!A:A,CONCATENATE(A83,"_",A$1),Data_P!J:J),IF('Data_ Contrats'!O79="T",SUMIF(Data_P!A:A,CONCATENATE(A83,"_",A$1),Data_P!J:J),""))</f>
        <v>1207.8600000000001</v>
      </c>
      <c r="D83" s="169" t="str">
        <f>VLOOKUP(A83,'Data_ Contrats'!A$3:O$250,15)</f>
        <v>M</v>
      </c>
    </row>
    <row r="84" spans="1:4" s="56" customFormat="1">
      <c r="A84" s="124" t="s">
        <v>1082</v>
      </c>
      <c r="B84" s="176">
        <v>13545.619999999997</v>
      </c>
      <c r="C84" s="157">
        <f>IF('Data_ Contrats'!O80="M",SUMIF(Data_P!A:A,CONCATENATE(A84,"_",A$1),Data_P!J:J),IF('Data_ Contrats'!O80="T",SUMIF(Data_P!A:A,CONCATENATE(A84,"_",A$1),Data_P!J:J),""))</f>
        <v>13545.619999999997</v>
      </c>
      <c r="D84" s="169" t="str">
        <f>VLOOKUP(A84,'Data_ Contrats'!A$3:O$250,15)</f>
        <v>T</v>
      </c>
    </row>
    <row r="85" spans="1:4" s="56" customFormat="1">
      <c r="A85" s="124" t="s">
        <v>1219</v>
      </c>
      <c r="B85" s="157">
        <v>603.88</v>
      </c>
      <c r="C85" s="157">
        <f>IF('Data_ Contrats'!O81="M",SUMIF(Data_P!A:A,CONCATENATE(A85,"_",A$1),Data_P!J:J),IF('Data_ Contrats'!O81="T",SUMIF(Data_P!A:A,CONCATENATE(A85,"_",A$1),Data_P!J:J),""))</f>
        <v>603.88</v>
      </c>
      <c r="D85" s="169" t="str">
        <f>VLOOKUP(A85,'Data_ Contrats'!A$3:O$250,15)</f>
        <v>M</v>
      </c>
    </row>
    <row r="86" spans="1:4" s="56" customFormat="1">
      <c r="A86" s="124" t="s">
        <v>2078</v>
      </c>
      <c r="B86" s="157">
        <v>2460.7800000000002</v>
      </c>
      <c r="C86" s="157">
        <f>IF('Data_ Contrats'!O82="M",SUMIF(Data_P!A:A,CONCATENATE(A86,"_",A$1),Data_P!J:J),IF('Data_ Contrats'!O82="T",SUMIF(Data_P!A:A,CONCATENATE(A86,"_",A$1),Data_P!J:J),""))</f>
        <v>2460.7800000000002</v>
      </c>
      <c r="D86" s="169" t="str">
        <f>VLOOKUP(A86,'Data_ Contrats'!A$3:O$250,15)</f>
        <v>M</v>
      </c>
    </row>
    <row r="87" spans="1:4" s="56" customFormat="1">
      <c r="A87" s="124" t="s">
        <v>2340</v>
      </c>
      <c r="B87" s="157">
        <v>0</v>
      </c>
      <c r="C87" s="157">
        <f>IF('Data_ Contrats'!O83="M",SUMIF(Data_P!A:A,CONCATENATE(A87,"_",A$1),Data_P!J:J),IF('Data_ Contrats'!O83="T",SUMIF(Data_P!A:A,CONCATENATE(A87,"_",A$1),Data_P!J:J),""))</f>
        <v>0</v>
      </c>
      <c r="D87" s="169" t="str">
        <f>VLOOKUP(A87,'Data_ Contrats'!A$3:O$250,15)</f>
        <v>M</v>
      </c>
    </row>
    <row r="88" spans="1:4" s="56" customFormat="1">
      <c r="A88" s="124" t="s">
        <v>2202</v>
      </c>
      <c r="B88" s="157">
        <v>55.46</v>
      </c>
      <c r="C88" s="157">
        <f>IF('Data_ Contrats'!O84="M",SUMIF(Data_P!A:A,CONCATENATE(A88,"_",A$1),Data_P!J:J),IF('Data_ Contrats'!O84="T",SUMIF(Data_P!A:A,CONCATENATE(A88,"_",A$1),Data_P!J:J),""))</f>
        <v>55.46</v>
      </c>
      <c r="D88" s="169" t="str">
        <f>VLOOKUP(A88,'Data_ Contrats'!A$3:O$250,15)</f>
        <v>M</v>
      </c>
    </row>
    <row r="89" spans="1:4" s="56" customFormat="1">
      <c r="A89" s="124" t="s">
        <v>1808</v>
      </c>
      <c r="B89" s="157">
        <v>0</v>
      </c>
      <c r="C89" s="157">
        <f>IF('Data_ Contrats'!O85="M",SUMIF(Data_P!A:A,CONCATENATE(A89,"_",A$1),Data_P!J:J),IF('Data_ Contrats'!O85="T",SUMIF(Data_P!A:A,CONCATENATE(A89,"_",A$1),Data_P!J:J),""))</f>
        <v>0</v>
      </c>
      <c r="D89" s="169" t="str">
        <f>VLOOKUP(A89,'Data_ Contrats'!A$3:O$250,15)</f>
        <v>M</v>
      </c>
    </row>
    <row r="90" spans="1:4" s="56" customFormat="1">
      <c r="A90" s="124" t="s">
        <v>1701</v>
      </c>
      <c r="B90" s="176">
        <v>54.92</v>
      </c>
      <c r="C90" s="157">
        <f>IF('Data_ Contrats'!O86="M",SUMIF(Data_P!A:A,CONCATENATE(A90,"_",A$1),Data_P!J:J),IF('Data_ Contrats'!O86="T",SUMIF(Data_P!A:A,CONCATENATE(A90,"_",A$1),Data_P!J:J),""))</f>
        <v>54.92</v>
      </c>
      <c r="D90" s="169" t="str">
        <f>VLOOKUP(A90,'Data_ Contrats'!A$3:O$250,15)</f>
        <v>T</v>
      </c>
    </row>
    <row r="91" spans="1:4" s="56" customFormat="1">
      <c r="A91" s="124" t="s">
        <v>439</v>
      </c>
      <c r="B91" s="157">
        <v>640.55999999999995</v>
      </c>
      <c r="C91" s="157">
        <f>IF('Data_ Contrats'!O87="M",SUMIF(Data_P!A:A,CONCATENATE(A91,"_",A$1),Data_P!J:J),IF('Data_ Contrats'!O87="T",SUMIF(Data_P!A:A,CONCATENATE(A91,"_",A$1),Data_P!J:J),""))</f>
        <v>640.55999999999995</v>
      </c>
      <c r="D91" s="169" t="str">
        <f>VLOOKUP(A91,'Data_ Contrats'!A$3:O$250,15)</f>
        <v>M</v>
      </c>
    </row>
    <row r="92" spans="1:4" s="56" customFormat="1">
      <c r="A92" s="124" t="s">
        <v>230</v>
      </c>
      <c r="B92" s="157">
        <v>901.79</v>
      </c>
      <c r="C92" s="157">
        <f>IF('Data_ Contrats'!O88="M",SUMIF(Data_P!A:A,CONCATENATE(A92,"_",A$1),Data_P!J:J),IF('Data_ Contrats'!O88="T",SUMIF(Data_P!A:A,CONCATENATE(A92,"_",A$1),Data_P!J:J),""))</f>
        <v>901.79</v>
      </c>
      <c r="D92" s="169" t="str">
        <f>VLOOKUP(A92,'Data_ Contrats'!A$3:O$250,15)</f>
        <v>M</v>
      </c>
    </row>
    <row r="93" spans="1:4" s="56" customFormat="1">
      <c r="A93" s="124" t="s">
        <v>1402</v>
      </c>
      <c r="B93" s="176">
        <v>2550.42</v>
      </c>
      <c r="C93" s="157">
        <f>IF('Data_ Contrats'!O89="M",SUMIF(Data_P!A:A,CONCATENATE(A93,"_",A$1),Data_P!J:J),IF('Data_ Contrats'!O89="T",SUMIF(Data_P!A:A,CONCATENATE(A93,"_",A$1),Data_P!J:J),""))</f>
        <v>2550.42</v>
      </c>
      <c r="D93" s="169" t="str">
        <f>VLOOKUP(A93,'Data_ Contrats'!A$3:O$250,15)</f>
        <v>T</v>
      </c>
    </row>
    <row r="94" spans="1:4" s="56" customFormat="1">
      <c r="A94" s="124" t="s">
        <v>1258</v>
      </c>
      <c r="B94" s="157">
        <v>242.8</v>
      </c>
      <c r="C94" s="157">
        <f>IF('Data_ Contrats'!O90="M",SUMIF(Data_P!A:A,CONCATENATE(A94,"_",A$1),Data_P!J:J),IF('Data_ Contrats'!O90="T",SUMIF(Data_P!A:A,CONCATENATE(A94,"_",A$1),Data_P!J:J),""))</f>
        <v>242.8</v>
      </c>
      <c r="D94" s="169" t="str">
        <f>VLOOKUP(A94,'Data_ Contrats'!A$3:O$250,15)</f>
        <v>M</v>
      </c>
    </row>
    <row r="95" spans="1:4" s="56" customFormat="1">
      <c r="A95" s="124" t="s">
        <v>472</v>
      </c>
      <c r="B95" s="157">
        <v>220.51</v>
      </c>
      <c r="C95" s="157">
        <f>IF('Data_ Contrats'!O91="M",SUMIF(Data_P!A:A,CONCATENATE(A95,"_",A$1),Data_P!J:J),IF('Data_ Contrats'!O91="T",SUMIF(Data_P!A:A,CONCATENATE(A95,"_",A$1),Data_P!J:J),""))</f>
        <v>220.51</v>
      </c>
      <c r="D95" s="169" t="str">
        <f>VLOOKUP(A95,'Data_ Contrats'!A$3:O$250,15)</f>
        <v>M</v>
      </c>
    </row>
    <row r="96" spans="1:4" s="56" customFormat="1">
      <c r="A96" s="124" t="s">
        <v>1705</v>
      </c>
      <c r="B96" s="176">
        <v>516.22</v>
      </c>
      <c r="C96" s="157">
        <f>IF('Data_ Contrats'!O92="M",SUMIF(Data_P!A:A,CONCATENATE(A96,"_",A$1),Data_P!J:J),IF('Data_ Contrats'!O92="T",SUMIF(Data_P!A:A,CONCATENATE(A96,"_",A$1),Data_P!J:J),""))</f>
        <v>516.22</v>
      </c>
      <c r="D96" s="169" t="str">
        <f>VLOOKUP(A96,'Data_ Contrats'!A$3:O$250,15)</f>
        <v>T</v>
      </c>
    </row>
    <row r="97" spans="1:4" s="56" customFormat="1">
      <c r="A97" s="124" t="s">
        <v>614</v>
      </c>
      <c r="B97" s="157">
        <v>683.33</v>
      </c>
      <c r="C97" s="157">
        <f>IF('Data_ Contrats'!O93="M",SUMIF(Data_P!A:A,CONCATENATE(A97,"_",A$1),Data_P!J:J),IF('Data_ Contrats'!O93="T",SUMIF(Data_P!A:A,CONCATENATE(A97,"_",A$1),Data_P!J:J),""))</f>
        <v>683.33</v>
      </c>
      <c r="D97" s="169" t="str">
        <f>VLOOKUP(A97,'Data_ Contrats'!A$3:O$250,15)</f>
        <v>M</v>
      </c>
    </row>
    <row r="98" spans="1:4" s="56" customFormat="1">
      <c r="A98" s="124" t="s">
        <v>1711</v>
      </c>
      <c r="B98" s="176">
        <v>57.879999999999995</v>
      </c>
      <c r="C98" s="157">
        <f>IF('Data_ Contrats'!O94="M",SUMIF(Data_P!A:A,CONCATENATE(A98,"_",A$1),Data_P!J:J),IF('Data_ Contrats'!O94="T",SUMIF(Data_P!A:A,CONCATENATE(A98,"_",A$1),Data_P!J:J),""))</f>
        <v>57.879999999999995</v>
      </c>
      <c r="D98" s="169" t="str">
        <f>VLOOKUP(A98,'Data_ Contrats'!A$3:O$250,15)</f>
        <v>T</v>
      </c>
    </row>
    <row r="99" spans="1:4" s="56" customFormat="1">
      <c r="A99" s="124" t="s">
        <v>1680</v>
      </c>
      <c r="B99" s="157">
        <v>224.71</v>
      </c>
      <c r="C99" s="157">
        <f>IF('Data_ Contrats'!O95="M",SUMIF(Data_P!A:A,CONCATENATE(A99,"_",A$1),Data_P!J:J),IF('Data_ Contrats'!O95="T",SUMIF(Data_P!A:A,CONCATENATE(A99,"_",A$1),Data_P!J:J),""))</f>
        <v>224.71</v>
      </c>
      <c r="D99" s="169" t="str">
        <f>VLOOKUP(A99,'Data_ Contrats'!A$3:O$250,15)</f>
        <v>M</v>
      </c>
    </row>
    <row r="100" spans="1:4" s="56" customFormat="1">
      <c r="A100" s="124" t="s">
        <v>1681</v>
      </c>
      <c r="B100" s="157">
        <v>516.41999999999996</v>
      </c>
      <c r="C100" s="157">
        <f>IF('Data_ Contrats'!O96="M",SUMIF(Data_P!A:A,CONCATENATE(A100,"_",A$1),Data_P!J:J),IF('Data_ Contrats'!O96="T",SUMIF(Data_P!A:A,CONCATENATE(A100,"_",A$1),Data_P!J:J),""))</f>
        <v>516.41999999999996</v>
      </c>
      <c r="D100" s="169" t="str">
        <f>VLOOKUP(A100,'Data_ Contrats'!A$3:O$250,15)</f>
        <v>M</v>
      </c>
    </row>
    <row r="101" spans="1:4" s="56" customFormat="1">
      <c r="A101" s="124" t="s">
        <v>1763</v>
      </c>
      <c r="B101" s="157">
        <v>150</v>
      </c>
      <c r="C101" s="157">
        <f>IF('Data_ Contrats'!O97="M",SUMIF(Data_P!A:A,CONCATENATE(A101,"_",A$1),Data_P!J:J),IF('Data_ Contrats'!O97="T",SUMIF(Data_P!A:A,CONCATENATE(A101,"_",A$1),Data_P!J:J),""))</f>
        <v>150</v>
      </c>
      <c r="D101" s="169" t="str">
        <f>VLOOKUP(A101,'Data_ Contrats'!A$3:O$250,15)</f>
        <v>M</v>
      </c>
    </row>
    <row r="102" spans="1:4" s="56" customFormat="1">
      <c r="A102" s="124" t="s">
        <v>1682</v>
      </c>
      <c r="B102" s="157">
        <v>248.54</v>
      </c>
      <c r="C102" s="157">
        <f>IF('Data_ Contrats'!O98="M",SUMIF(Data_P!A:A,CONCATENATE(A102,"_",A$1),Data_P!J:J),IF('Data_ Contrats'!O98="T",SUMIF(Data_P!A:A,CONCATENATE(A102,"_",A$1),Data_P!J:J),""))</f>
        <v>248.54</v>
      </c>
      <c r="D102" s="169" t="str">
        <f>VLOOKUP(A102,'Data_ Contrats'!A$3:O$250,15)</f>
        <v>M</v>
      </c>
    </row>
    <row r="103" spans="1:4" s="56" customFormat="1">
      <c r="A103" s="124" t="s">
        <v>1764</v>
      </c>
      <c r="B103" s="176">
        <v>0</v>
      </c>
      <c r="C103" s="157">
        <f>IF('Data_ Contrats'!O99="M",SUMIF(Data_P!A:A,CONCATENATE(A103,"_",A$1),Data_P!J:J),IF('Data_ Contrats'!O99="T",SUMIF(Data_P!A:A,CONCATENATE(A103,"_",A$1),Data_P!J:J),""))</f>
        <v>0</v>
      </c>
      <c r="D103" s="169" t="str">
        <f>VLOOKUP(A103,'Data_ Contrats'!A$3:O$250,15)</f>
        <v>T</v>
      </c>
    </row>
    <row r="104" spans="1:4" s="56" customFormat="1">
      <c r="A104" s="124" t="s">
        <v>1720</v>
      </c>
      <c r="B104" s="176" t="s">
        <v>535</v>
      </c>
      <c r="C104" s="157" t="str">
        <f>IF('Data_ Contrats'!O100="M",SUMIF(Data_P!A:A,CONCATENATE(A104,"_",A$1),Data_P!J:J),IF('Data_ Contrats'!O100="T",SUMIF(Data_P!A:A,CONCATENATE(A104,"_",A$1),Data_P!J:J),""))</f>
        <v/>
      </c>
      <c r="D104" s="169" t="str">
        <f>VLOOKUP(A104,'Data_ Contrats'!A$3:O$250,15)</f>
        <v>T</v>
      </c>
    </row>
    <row r="105" spans="1:4" s="56" customFormat="1">
      <c r="A105" s="124" t="s">
        <v>1720</v>
      </c>
      <c r="B105" s="176">
        <v>215.51</v>
      </c>
      <c r="C105" s="157">
        <f>IF('Data_ Contrats'!O101="M",SUMIF(Data_P!A:A,CONCATENATE(A105,"_",A$1),Data_P!J:J),IF('Data_ Contrats'!O101="T",SUMIF(Data_P!A:A,CONCATENATE(A105,"_",A$1),Data_P!J:J),""))</f>
        <v>215.51</v>
      </c>
      <c r="D105" s="169" t="str">
        <f>VLOOKUP(A105,'Data_ Contrats'!A$3:O$250,15)</f>
        <v>T</v>
      </c>
    </row>
    <row r="106" spans="1:4" s="56" customFormat="1">
      <c r="A106" s="124" t="s">
        <v>2081</v>
      </c>
      <c r="B106" s="157">
        <v>393.01</v>
      </c>
      <c r="C106" s="157">
        <f>IF('Data_ Contrats'!O102="M",SUMIF(Data_P!A:A,CONCATENATE(A106,"_",A$1),Data_P!J:J),IF('Data_ Contrats'!O102="T",SUMIF(Data_P!A:A,CONCATENATE(A106,"_",A$1),Data_P!J:J),""))</f>
        <v>393.01</v>
      </c>
      <c r="D106" s="169" t="str">
        <f>VLOOKUP(A106,'Data_ Contrats'!A$3:O$250,15)</f>
        <v>M</v>
      </c>
    </row>
    <row r="107" spans="1:4" s="56" customFormat="1">
      <c r="A107" s="124" t="s">
        <v>1978</v>
      </c>
      <c r="B107" s="176">
        <v>57</v>
      </c>
      <c r="C107" s="157">
        <f>IF('Data_ Contrats'!O103="M",SUMIF(Data_P!A:A,CONCATENATE(A107,"_",A$1),Data_P!J:J),IF('Data_ Contrats'!O103="T",SUMIF(Data_P!A:A,CONCATENATE(A107,"_",A$1),Data_P!J:J),""))</f>
        <v>57</v>
      </c>
      <c r="D107" s="169" t="str">
        <f>VLOOKUP(A107,'Data_ Contrats'!A$3:O$250,15)</f>
        <v>T</v>
      </c>
    </row>
    <row r="108" spans="1:4" s="56" customFormat="1">
      <c r="A108" s="124" t="s">
        <v>2086</v>
      </c>
      <c r="B108" s="157">
        <v>295.95</v>
      </c>
      <c r="C108" s="157">
        <f>IF('Data_ Contrats'!O104="M",SUMIF(Data_P!A:A,CONCATENATE(A108,"_",A$1),Data_P!J:J),IF('Data_ Contrats'!O104="T",SUMIF(Data_P!A:A,CONCATENATE(A108,"_",A$1),Data_P!J:J),""))</f>
        <v>295.95</v>
      </c>
      <c r="D108" s="169" t="str">
        <f>VLOOKUP(A108,'Data_ Contrats'!A$3:O$250,15)</f>
        <v>M</v>
      </c>
    </row>
    <row r="109" spans="1:4" s="56" customFormat="1">
      <c r="A109" s="172" t="s">
        <v>2084</v>
      </c>
      <c r="B109" s="157">
        <v>0</v>
      </c>
      <c r="C109" s="157">
        <f>IF('Data_ Contrats'!O105="M",SUMIF(Data_P!A:A,CONCATENATE(A109,"_",A$1),Data_P!J:J),IF('Data_ Contrats'!O105="T",SUMIF(Data_P!A:A,CONCATENATE(A109,"_",A$1),Data_P!J:J),""))</f>
        <v>0</v>
      </c>
      <c r="D109" s="169" t="str">
        <f>VLOOKUP(A109,'Data_ Contrats'!A$3:O$250,15)</f>
        <v>M</v>
      </c>
    </row>
    <row r="110" spans="1:4" s="56" customFormat="1">
      <c r="A110" s="172" t="s">
        <v>2085</v>
      </c>
      <c r="B110" s="157">
        <v>41.12</v>
      </c>
      <c r="C110" s="157">
        <f>IF('Data_ Contrats'!O106="M",SUMIF(Data_P!A:A,CONCATENATE(A110,"_",A$1),Data_P!J:J),IF('Data_ Contrats'!O106="T",SUMIF(Data_P!A:A,CONCATENATE(A110,"_",A$1),Data_P!J:J),""))</f>
        <v>41.12</v>
      </c>
      <c r="D110" s="169" t="str">
        <f>VLOOKUP(A110,'Data_ Contrats'!A$3:O$250,15)</f>
        <v>M</v>
      </c>
    </row>
    <row r="111" spans="1:4" s="56" customFormat="1">
      <c r="A111" s="172" t="s">
        <v>2089</v>
      </c>
      <c r="B111" s="157">
        <v>2194.23</v>
      </c>
      <c r="C111" s="157">
        <f>IF('Data_ Contrats'!O107="M",SUMIF(Data_P!A:A,CONCATENATE(A111,"_",A$1),Data_P!J:J),IF('Data_ Contrats'!O107="T",SUMIF(Data_P!A:A,CONCATENATE(A111,"_",A$1),Data_P!J:J),""))</f>
        <v>2194.23</v>
      </c>
      <c r="D111" s="169" t="str">
        <f>VLOOKUP(A111,'Data_ Contrats'!A$3:O$250,15)</f>
        <v>M</v>
      </c>
    </row>
    <row r="112" spans="1:4" s="56" customFormat="1">
      <c r="A112" s="172" t="s">
        <v>2090</v>
      </c>
      <c r="B112" s="157">
        <v>0</v>
      </c>
      <c r="C112" s="157">
        <f>IF('Data_ Contrats'!O108="M",SUMIF(Data_P!A:A,CONCATENATE(A112,"_",A$1),Data_P!J:J),IF('Data_ Contrats'!O108="T",SUMIF(Data_P!A:A,CONCATENATE(A112,"_",A$1),Data_P!J:J),""))</f>
        <v>0</v>
      </c>
      <c r="D112" s="169" t="str">
        <f>VLOOKUP(A112,'Data_ Contrats'!A$3:O$250,15)</f>
        <v>M</v>
      </c>
    </row>
    <row r="113" spans="1:4" s="56" customFormat="1">
      <c r="A113" s="172" t="s">
        <v>2091</v>
      </c>
      <c r="B113" s="157">
        <v>958.64</v>
      </c>
      <c r="C113" s="157">
        <f>IF('Data_ Contrats'!O109="M",SUMIF(Data_P!A:A,CONCATENATE(A113,"_",A$1),Data_P!J:J),IF('Data_ Contrats'!O109="T",SUMIF(Data_P!A:A,CONCATENATE(A113,"_",A$1),Data_P!J:J),""))</f>
        <v>958.64</v>
      </c>
      <c r="D113" s="169" t="str">
        <f>VLOOKUP(A113,'Data_ Contrats'!A$3:O$250,15)</f>
        <v>M</v>
      </c>
    </row>
    <row r="114" spans="1:4" s="56" customFormat="1">
      <c r="A114" s="172" t="s">
        <v>2087</v>
      </c>
      <c r="B114" s="157">
        <v>274.14</v>
      </c>
      <c r="C114" s="157">
        <f>IF('Data_ Contrats'!O110="M",SUMIF(Data_P!A:A,CONCATENATE(A114,"_",A$1),Data_P!J:J),IF('Data_ Contrats'!O110="T",SUMIF(Data_P!A:A,CONCATENATE(A114,"_",A$1),Data_P!J:J),""))</f>
        <v>274.14</v>
      </c>
      <c r="D114" s="169" t="str">
        <f>VLOOKUP(A114,'Data_ Contrats'!A$3:O$250,15)</f>
        <v>M</v>
      </c>
    </row>
    <row r="115" spans="1:4" s="56" customFormat="1">
      <c r="A115" s="172" t="s">
        <v>2088</v>
      </c>
      <c r="B115" s="157">
        <v>173.15</v>
      </c>
      <c r="C115" s="157">
        <f>IF('Data_ Contrats'!O111="M",SUMIF(Data_P!A:A,CONCATENATE(A115,"_",A$1),Data_P!J:J),IF('Data_ Contrats'!O111="T",SUMIF(Data_P!A:A,CONCATENATE(A115,"_",A$1),Data_P!J:J),""))</f>
        <v>173.15</v>
      </c>
      <c r="D115" s="169" t="str">
        <f>VLOOKUP(A115,'Data_ Contrats'!A$3:O$250,15)</f>
        <v>M</v>
      </c>
    </row>
    <row r="116" spans="1:4" s="56" customFormat="1">
      <c r="A116" s="172" t="s">
        <v>2092</v>
      </c>
      <c r="B116" s="157">
        <v>87.22</v>
      </c>
      <c r="C116" s="157">
        <f>IF('Data_ Contrats'!O112="M",SUMIF(Data_P!A:A,CONCATENATE(A116,"_",A$1),Data_P!J:J),IF('Data_ Contrats'!O112="T",SUMIF(Data_P!A:A,CONCATENATE(A116,"_",A$1),Data_P!J:J),""))</f>
        <v>87.22</v>
      </c>
      <c r="D116" s="169" t="str">
        <f>VLOOKUP(A116,'Data_ Contrats'!A$3:O$250,15)</f>
        <v>M</v>
      </c>
    </row>
    <row r="117" spans="1:4" s="56" customFormat="1">
      <c r="A117" s="172" t="s">
        <v>1208</v>
      </c>
      <c r="B117" s="176">
        <v>211.51</v>
      </c>
      <c r="C117" s="157">
        <f>IF('Data_ Contrats'!O113="M",SUMIF(Data_P!A:A,CONCATENATE(A117,"_",A$1),Data_P!J:J),IF('Data_ Contrats'!O113="T",SUMIF(Data_P!A:A,CONCATENATE(A117,"_",A$1),Data_P!J:J),""))</f>
        <v>211.51</v>
      </c>
      <c r="D117" s="169" t="str">
        <f>VLOOKUP(A117,'Data_ Contrats'!A$3:O$250,15)</f>
        <v>T</v>
      </c>
    </row>
    <row r="118" spans="1:4" s="56" customFormat="1">
      <c r="A118" s="172" t="s">
        <v>1348</v>
      </c>
      <c r="B118" s="157">
        <v>292.39999999999998</v>
      </c>
      <c r="C118" s="157">
        <f>IF('Data_ Contrats'!O114="M",SUMIF(Data_P!A:A,CONCATENATE(A118,"_",A$1),Data_P!J:J),IF('Data_ Contrats'!O114="T",SUMIF(Data_P!A:A,CONCATENATE(A118,"_",A$1),Data_P!J:J),""))</f>
        <v>292.39999999999998</v>
      </c>
      <c r="D118" s="169" t="str">
        <f>VLOOKUP(A118,'Data_ Contrats'!A$3:O$250,15)</f>
        <v>M</v>
      </c>
    </row>
    <row r="119" spans="1:4" s="56" customFormat="1">
      <c r="A119" s="172" t="s">
        <v>1684</v>
      </c>
      <c r="B119" s="157">
        <v>344.24</v>
      </c>
      <c r="C119" s="157">
        <f>IF('Data_ Contrats'!O115="M",SUMIF(Data_P!A:A,CONCATENATE(A119,"_",A$1),Data_P!J:J),IF('Data_ Contrats'!O115="T",SUMIF(Data_P!A:A,CONCATENATE(A119,"_",A$1),Data_P!J:J),""))</f>
        <v>344.24</v>
      </c>
      <c r="D119" s="169" t="str">
        <f>VLOOKUP(A119,'Data_ Contrats'!A$3:O$250,15)</f>
        <v>M</v>
      </c>
    </row>
    <row r="120" spans="1:4" s="56" customFormat="1">
      <c r="A120" s="172" t="s">
        <v>2093</v>
      </c>
      <c r="B120" s="176">
        <v>743.32</v>
      </c>
      <c r="C120" s="157">
        <f>IF('Data_ Contrats'!O116="M",SUMIF(Data_P!A:A,CONCATENATE(A120,"_",A$1),Data_P!J:J),IF('Data_ Contrats'!O116="T",SUMIF(Data_P!A:A,CONCATENATE(A120,"_",A$1),Data_P!J:J),""))</f>
        <v>743.32</v>
      </c>
      <c r="D120" s="169" t="str">
        <f>VLOOKUP(A120,'Data_ Contrats'!A$3:O$250,15)</f>
        <v>T</v>
      </c>
    </row>
    <row r="121" spans="1:4" s="56" customFormat="1">
      <c r="A121" s="172" t="s">
        <v>1685</v>
      </c>
      <c r="B121" s="157">
        <v>5739.86</v>
      </c>
      <c r="C121" s="157">
        <f>IF('Data_ Contrats'!O117="M",SUMIF(Data_P!A:A,CONCATENATE(A121,"_",A$1),Data_P!J:J),IF('Data_ Contrats'!O117="T",SUMIF(Data_P!A:A,CONCATENATE(A121,"_",A$1),Data_P!J:J),""))</f>
        <v>5739.86</v>
      </c>
      <c r="D121" s="169" t="str">
        <f>VLOOKUP(A121,'Data_ Contrats'!A$3:O$250,15)</f>
        <v>M</v>
      </c>
    </row>
    <row r="122" spans="1:4" s="56" customFormat="1">
      <c r="A122" s="172" t="s">
        <v>1686</v>
      </c>
      <c r="B122" s="157">
        <v>37.5</v>
      </c>
      <c r="C122" s="157">
        <f>IF('Data_ Contrats'!O118="M",SUMIF(Data_P!A:A,CONCATENATE(A122,"_",A$1),Data_P!J:J),IF('Data_ Contrats'!O118="T",SUMIF(Data_P!A:A,CONCATENATE(A122,"_",A$1),Data_P!J:J),""))</f>
        <v>37.5</v>
      </c>
      <c r="D122" s="169" t="str">
        <f>VLOOKUP(A122,'Data_ Contrats'!A$3:O$250,15)</f>
        <v>M</v>
      </c>
    </row>
    <row r="123" spans="1:4" s="56" customFormat="1">
      <c r="A123" s="172" t="s">
        <v>888</v>
      </c>
      <c r="B123" s="157">
        <v>63.94</v>
      </c>
      <c r="C123" s="157">
        <f>IF('Data_ Contrats'!O119="M",SUMIF(Data_P!A:A,CONCATENATE(A123,"_",A$1),Data_P!J:J),IF('Data_ Contrats'!O119="T",SUMIF(Data_P!A:A,CONCATENATE(A123,"_",A$1),Data_P!J:J),""))</f>
        <v>63.94</v>
      </c>
      <c r="D123" s="169" t="str">
        <f>VLOOKUP(A123,'Data_ Contrats'!A$3:O$250,15)</f>
        <v>M</v>
      </c>
    </row>
    <row r="124" spans="1:4" s="56" customFormat="1">
      <c r="A124" s="172" t="s">
        <v>12</v>
      </c>
      <c r="B124" s="157">
        <v>3494.8099999999995</v>
      </c>
      <c r="C124" s="157">
        <f>IF('Data_ Contrats'!O120="M",SUMIF(Data_P!A:A,CONCATENATE(A124,"_",A$1),Data_P!J:J),IF('Data_ Contrats'!O120="T",SUMIF(Data_P!A:A,CONCATENATE(A124,"_",A$1),Data_P!J:J),""))</f>
        <v>3494.8099999999995</v>
      </c>
      <c r="D124" s="169" t="str">
        <f>VLOOKUP(A124,'Data_ Contrats'!A$3:O$250,15)</f>
        <v>M</v>
      </c>
    </row>
    <row r="125" spans="1:4" s="56" customFormat="1">
      <c r="A125" s="172" t="s">
        <v>142</v>
      </c>
      <c r="B125" s="176">
        <v>27034.699999999993</v>
      </c>
      <c r="C125" s="157">
        <f>IF('Data_ Contrats'!O121="M",SUMIF(Data_P!A:A,CONCATENATE(A125,"_",A$1),Data_P!J:J),IF('Data_ Contrats'!O121="T",SUMIF(Data_P!A:A,CONCATENATE(A125,"_",A$1),Data_P!J:J),""))</f>
        <v>27034.699999999993</v>
      </c>
      <c r="D125" s="169" t="str">
        <f>VLOOKUP(A125,'Data_ Contrats'!A$3:O$250,15)</f>
        <v>T</v>
      </c>
    </row>
    <row r="126" spans="1:4" s="56" customFormat="1">
      <c r="A126" s="172" t="s">
        <v>1410</v>
      </c>
      <c r="B126" s="176">
        <v>913.29000000000008</v>
      </c>
      <c r="C126" s="157">
        <f>IF('Data_ Contrats'!O122="M",SUMIF(Data_P!A:A,CONCATENATE(A126,"_",A$1),Data_P!J:J),IF('Data_ Contrats'!O122="T",SUMIF(Data_P!A:A,CONCATENATE(A126,"_",A$1),Data_P!J:J),""))</f>
        <v>913.29000000000008</v>
      </c>
      <c r="D126" s="169" t="str">
        <f>VLOOKUP(A126,'Data_ Contrats'!A$3:O$250,15)</f>
        <v>T</v>
      </c>
    </row>
    <row r="127" spans="1:4" s="56" customFormat="1">
      <c r="A127" s="172" t="s">
        <v>1626</v>
      </c>
      <c r="B127" s="176">
        <v>502.54</v>
      </c>
      <c r="C127" s="157">
        <f>IF('Data_ Contrats'!O123="M",SUMIF(Data_P!A:A,CONCATENATE(A127,"_",A$1),Data_P!J:J),IF('Data_ Contrats'!O123="T",SUMIF(Data_P!A:A,CONCATENATE(A127,"_",A$1),Data_P!J:J),""))</f>
        <v>502.54</v>
      </c>
      <c r="D127" s="169" t="str">
        <f>VLOOKUP(A127,'Data_ Contrats'!A$3:O$250,15)</f>
        <v>T</v>
      </c>
    </row>
    <row r="128" spans="1:4" s="56" customFormat="1" ht="31.2">
      <c r="A128" s="172" t="s">
        <v>1960</v>
      </c>
      <c r="B128" s="176">
        <v>15.74</v>
      </c>
      <c r="C128" s="157">
        <f>IF('Data_ Contrats'!O124="M",SUMIF(Data_P!A:A,CONCATENATE(A128,"_",A$1),Data_P!J:J),IF('Data_ Contrats'!O124="T",SUMIF(Data_P!A:A,CONCATENATE(A128,"_",A$1),Data_P!J:J),""))</f>
        <v>15.74</v>
      </c>
      <c r="D128" s="169" t="str">
        <f>VLOOKUP(A128,'Data_ Contrats'!A$3:O$250,15)</f>
        <v>T</v>
      </c>
    </row>
    <row r="129" spans="1:4" s="56" customFormat="1">
      <c r="A129" s="172" t="s">
        <v>323</v>
      </c>
      <c r="B129" s="157">
        <v>0</v>
      </c>
      <c r="C129" s="157">
        <f>IF('Data_ Contrats'!O125="M",SUMIF(Data_P!A:A,CONCATENATE(A129,"_",A$1),Data_P!J:J),IF('Data_ Contrats'!O125="T",SUMIF(Data_P!A:A,CONCATENATE(A129,"_",A$1),Data_P!J:J),""))</f>
        <v>0</v>
      </c>
      <c r="D129" s="169" t="str">
        <f>VLOOKUP(A129,'Data_ Contrats'!A$3:O$250,15)</f>
        <v>M</v>
      </c>
    </row>
    <row r="130" spans="1:4" s="56" customFormat="1">
      <c r="A130" s="172" t="s">
        <v>739</v>
      </c>
      <c r="B130" s="157">
        <v>21.33</v>
      </c>
      <c r="C130" s="157">
        <f>IF('Data_ Contrats'!O126="M",SUMIF(Data_P!A:A,CONCATENATE(A130,"_",A$1),Data_P!J:J),IF('Data_ Contrats'!O126="T",SUMIF(Data_P!A:A,CONCATENATE(A130,"_",A$1),Data_P!J:J),""))</f>
        <v>21.33</v>
      </c>
      <c r="D130" s="169" t="str">
        <f>VLOOKUP(A130,'Data_ Contrats'!A$3:O$250,15)</f>
        <v>M</v>
      </c>
    </row>
    <row r="131" spans="1:4" s="56" customFormat="1">
      <c r="A131" s="172" t="s">
        <v>2247</v>
      </c>
      <c r="B131" s="176">
        <v>45.5</v>
      </c>
      <c r="C131" s="157">
        <f>IF('Data_ Contrats'!O127="M",SUMIF(Data_P!A:A,CONCATENATE(A131,"_",A$1),Data_P!J:J),IF('Data_ Contrats'!O127="T",SUMIF(Data_P!A:A,CONCATENATE(A131,"_",A$1),Data_P!J:J),""))</f>
        <v>45.5</v>
      </c>
      <c r="D131" s="169" t="str">
        <f>VLOOKUP(A131,'Data_ Contrats'!A$3:O$250,15)</f>
        <v>T</v>
      </c>
    </row>
    <row r="132" spans="1:4" s="56" customFormat="1">
      <c r="A132" s="172" t="s">
        <v>2095</v>
      </c>
      <c r="B132" s="157">
        <v>128.65</v>
      </c>
      <c r="C132" s="157">
        <f>IF('Data_ Contrats'!O128="M",SUMIF(Data_P!A:A,CONCATENATE(A132,"_",A$1),Data_P!J:J),IF('Data_ Contrats'!O128="T",SUMIF(Data_P!A:A,CONCATENATE(A132,"_",A$1),Data_P!J:J),""))</f>
        <v>128.65</v>
      </c>
      <c r="D132" s="169" t="str">
        <f>VLOOKUP(A132,'Data_ Contrats'!A$3:O$250,15)</f>
        <v>M</v>
      </c>
    </row>
    <row r="133" spans="1:4" s="56" customFormat="1">
      <c r="A133" s="172" t="s">
        <v>742</v>
      </c>
      <c r="B133" s="176">
        <v>283.06</v>
      </c>
      <c r="C133" s="157">
        <f>IF('Data_ Contrats'!O129="M",SUMIF(Data_P!A:A,CONCATENATE(A133,"_",A$1),Data_P!J:J),IF('Data_ Contrats'!O129="T",SUMIF(Data_P!A:A,CONCATENATE(A133,"_",A$1),Data_P!J:J),""))</f>
        <v>283.06</v>
      </c>
      <c r="D133" s="169" t="str">
        <f>VLOOKUP(A133,'Data_ Contrats'!A$3:O$250,15)</f>
        <v>T</v>
      </c>
    </row>
    <row r="134" spans="1:4" s="56" customFormat="1">
      <c r="A134" s="172" t="s">
        <v>1236</v>
      </c>
      <c r="B134" s="157">
        <v>0</v>
      </c>
      <c r="C134" s="157">
        <f>IF('Data_ Contrats'!O130="M",SUMIF(Data_P!A:A,CONCATENATE(A134,"_",A$1),Data_P!J:J),IF('Data_ Contrats'!O130="T",SUMIF(Data_P!A:A,CONCATENATE(A134,"_",A$1),Data_P!J:J),""))</f>
        <v>0</v>
      </c>
      <c r="D134" s="169" t="str">
        <f>VLOOKUP(A134,'Data_ Contrats'!A$3:O$250,15)</f>
        <v>M</v>
      </c>
    </row>
    <row r="135" spans="1:4" s="56" customFormat="1">
      <c r="A135" s="172" t="s">
        <v>263</v>
      </c>
      <c r="B135" s="157">
        <v>67.2</v>
      </c>
      <c r="C135" s="157">
        <f>IF('Data_ Contrats'!O131="M",SUMIF(Data_P!A:A,CONCATENATE(A135,"_",A$1),Data_P!J:J),IF('Data_ Contrats'!O131="T",SUMIF(Data_P!A:A,CONCATENATE(A135,"_",A$1),Data_P!J:J),""))</f>
        <v>67.2</v>
      </c>
      <c r="D135" s="169" t="str">
        <f>VLOOKUP(A135,'Data_ Contrats'!A$3:O$250,15)</f>
        <v>M</v>
      </c>
    </row>
    <row r="136" spans="1:4" s="56" customFormat="1">
      <c r="A136" s="172" t="s">
        <v>2096</v>
      </c>
      <c r="B136" s="157">
        <v>270.77</v>
      </c>
      <c r="C136" s="157">
        <f>IF('Data_ Contrats'!O132="M",SUMIF(Data_P!A:A,CONCATENATE(A136,"_",A$1),Data_P!J:J),IF('Data_ Contrats'!O132="T",SUMIF(Data_P!A:A,CONCATENATE(A136,"_",A$1),Data_P!J:J),""))</f>
        <v>270.77</v>
      </c>
      <c r="D136" s="169" t="str">
        <f>VLOOKUP(A136,'Data_ Contrats'!A$3:O$250,15)</f>
        <v>M</v>
      </c>
    </row>
    <row r="137" spans="1:4" s="56" customFormat="1">
      <c r="A137" s="172" t="s">
        <v>2097</v>
      </c>
      <c r="B137" s="176">
        <v>180.19</v>
      </c>
      <c r="C137" s="157">
        <f>IF('Data_ Contrats'!O133="M",SUMIF(Data_P!A:A,CONCATENATE(A137,"_",A$1),Data_P!J:J),IF('Data_ Contrats'!O133="T",SUMIF(Data_P!A:A,CONCATENATE(A137,"_",A$1),Data_P!J:J),""))</f>
        <v>180.19</v>
      </c>
      <c r="D137" s="169" t="str">
        <f>VLOOKUP(A137,'Data_ Contrats'!A$3:O$250,15)</f>
        <v>T</v>
      </c>
    </row>
    <row r="138" spans="1:4" s="56" customFormat="1">
      <c r="A138" s="172" t="s">
        <v>587</v>
      </c>
      <c r="B138" s="157">
        <v>6780.48</v>
      </c>
      <c r="C138" s="157">
        <f>IF('Data_ Contrats'!O134="M",SUMIF(Data_P!A:A,CONCATENATE(A138,"_",A$1),Data_P!J:J),IF('Data_ Contrats'!O134="T",SUMIF(Data_P!A:A,CONCATENATE(A138,"_",A$1),Data_P!J:J),""))</f>
        <v>6780.48</v>
      </c>
      <c r="D138" s="169" t="str">
        <f>VLOOKUP(A138,'Data_ Contrats'!A$3:O$250,15)</f>
        <v>M</v>
      </c>
    </row>
    <row r="139" spans="1:4" s="56" customFormat="1">
      <c r="A139" s="172" t="s">
        <v>1918</v>
      </c>
      <c r="B139" s="157">
        <v>472.82</v>
      </c>
      <c r="C139" s="157">
        <f>IF('Data_ Contrats'!O135="M",SUMIF(Data_P!A:A,CONCATENATE(A139,"_",A$1),Data_P!J:J),IF('Data_ Contrats'!O135="T",SUMIF(Data_P!A:A,CONCATENATE(A139,"_",A$1),Data_P!J:J),""))</f>
        <v>472.82</v>
      </c>
      <c r="D139" s="169" t="str">
        <f>VLOOKUP(A139,'Data_ Contrats'!A$3:O$250,15)</f>
        <v>M</v>
      </c>
    </row>
    <row r="140" spans="1:4" s="56" customFormat="1">
      <c r="A140" s="172" t="s">
        <v>764</v>
      </c>
      <c r="B140" s="157">
        <v>1413.17</v>
      </c>
      <c r="C140" s="157">
        <f>IF('Data_ Contrats'!O136="M",SUMIF(Data_P!A:A,CONCATENATE(A140,"_",A$1),Data_P!J:J),IF('Data_ Contrats'!O136="T",SUMIF(Data_P!A:A,CONCATENATE(A140,"_",A$1),Data_P!J:J),""))</f>
        <v>1413.17</v>
      </c>
      <c r="D140" s="169" t="str">
        <f>VLOOKUP(A140,'Data_ Contrats'!A$3:O$250,15)</f>
        <v>M</v>
      </c>
    </row>
    <row r="141" spans="1:4" s="56" customFormat="1">
      <c r="A141" s="172" t="s">
        <v>2028</v>
      </c>
      <c r="B141" s="176">
        <v>332.08</v>
      </c>
      <c r="C141" s="157">
        <f>IF('Data_ Contrats'!O137="M",SUMIF(Data_P!A:A,CONCATENATE(A141,"_",A$1),Data_P!J:J),IF('Data_ Contrats'!O137="T",SUMIF(Data_P!A:A,CONCATENATE(A141,"_",A$1),Data_P!J:J),""))</f>
        <v>332.08</v>
      </c>
      <c r="D141" s="169" t="str">
        <f>VLOOKUP(A141,'Data_ Contrats'!A$3:O$250,15)</f>
        <v>T</v>
      </c>
    </row>
    <row r="142" spans="1:4" s="56" customFormat="1">
      <c r="A142" s="172" t="s">
        <v>1051</v>
      </c>
      <c r="B142" s="157">
        <v>0</v>
      </c>
      <c r="C142" s="157">
        <f>IF('Data_ Contrats'!O138="M",SUMIF(Data_P!A:A,CONCATENATE(A142,"_",A$1),Data_P!J:J),IF('Data_ Contrats'!O138="T",SUMIF(Data_P!A:A,CONCATENATE(A142,"_",A$1),Data_P!J:J),""))</f>
        <v>0</v>
      </c>
      <c r="D142" s="169" t="str">
        <f>VLOOKUP(A142,'Data_ Contrats'!A$3:O$250,15)</f>
        <v>M</v>
      </c>
    </row>
    <row r="143" spans="1:4" s="56" customFormat="1">
      <c r="A143" s="172" t="s">
        <v>473</v>
      </c>
      <c r="B143" s="176">
        <v>2521.9499999999998</v>
      </c>
      <c r="C143" s="157">
        <f>IF('Data_ Contrats'!O139="M",SUMIF(Data_P!A:A,CONCATENATE(A143,"_",A$1),Data_P!J:J),IF('Data_ Contrats'!O139="T",SUMIF(Data_P!A:A,CONCATENATE(A143,"_",A$1),Data_P!J:J),""))</f>
        <v>2521.9499999999998</v>
      </c>
      <c r="D143" s="169" t="str">
        <f>VLOOKUP(A143,'Data_ Contrats'!A$3:O$250,15)</f>
        <v>T</v>
      </c>
    </row>
    <row r="144" spans="1:4" s="56" customFormat="1">
      <c r="A144" s="172" t="s">
        <v>2099</v>
      </c>
      <c r="B144" s="157">
        <v>1540.45</v>
      </c>
      <c r="C144" s="157">
        <f>IF('Data_ Contrats'!O140="M",SUMIF(Data_P!A:A,CONCATENATE(A144,"_",A$1),Data_P!J:J),IF('Data_ Contrats'!O140="T",SUMIF(Data_P!A:A,CONCATENATE(A144,"_",A$1),Data_P!J:J),""))</f>
        <v>1540.45</v>
      </c>
      <c r="D144" s="169" t="str">
        <f>VLOOKUP(A144,'Data_ Contrats'!A$3:O$250,15)</f>
        <v>M</v>
      </c>
    </row>
    <row r="145" spans="1:4" s="56" customFormat="1">
      <c r="A145" s="172" t="s">
        <v>2101</v>
      </c>
      <c r="B145" s="157">
        <v>7.7</v>
      </c>
      <c r="C145" s="157">
        <f>IF('Data_ Contrats'!O141="M",SUMIF(Data_P!A:A,CONCATENATE(A145,"_",A$1),Data_P!J:J),IF('Data_ Contrats'!O141="T",SUMIF(Data_P!A:A,CONCATENATE(A145,"_",A$1),Data_P!J:J),""))</f>
        <v>7.7</v>
      </c>
      <c r="D145" s="169" t="str">
        <f>VLOOKUP(A145,'Data_ Contrats'!A$3:O$250,15)</f>
        <v>M</v>
      </c>
    </row>
    <row r="146" spans="1:4" s="56" customFormat="1">
      <c r="A146" s="172" t="s">
        <v>231</v>
      </c>
      <c r="B146" s="157">
        <v>0</v>
      </c>
      <c r="C146" s="157">
        <f>IF('Data_ Contrats'!O142="M",SUMIF(Data_P!A:A,CONCATENATE(A146,"_",A$1),Data_P!J:J),IF('Data_ Contrats'!O142="T",SUMIF(Data_P!A:A,CONCATENATE(A146,"_",A$1),Data_P!J:J),""))</f>
        <v>0</v>
      </c>
      <c r="D146" s="169" t="str">
        <f>VLOOKUP(A146,'Data_ Contrats'!A$3:O$250,15)</f>
        <v>M</v>
      </c>
    </row>
    <row r="147" spans="1:4" s="56" customFormat="1">
      <c r="A147" s="172" t="s">
        <v>2102</v>
      </c>
      <c r="B147" s="157">
        <v>79.12</v>
      </c>
      <c r="C147" s="157">
        <f>IF('Data_ Contrats'!O143="M",SUMIF(Data_P!A:A,CONCATENATE(A147,"_",A$1),Data_P!J:J),IF('Data_ Contrats'!O143="T",SUMIF(Data_P!A:A,CONCATENATE(A147,"_",A$1),Data_P!J:J),""))</f>
        <v>79.12</v>
      </c>
      <c r="D147" s="169" t="str">
        <f>VLOOKUP(A147,'Data_ Contrats'!A$3:O$250,15)</f>
        <v>M</v>
      </c>
    </row>
    <row r="148" spans="1:4" s="56" customFormat="1">
      <c r="A148" s="172" t="s">
        <v>2103</v>
      </c>
      <c r="B148" s="157">
        <v>912.72</v>
      </c>
      <c r="C148" s="157">
        <f>IF('Data_ Contrats'!O144="M",SUMIF(Data_P!A:A,CONCATENATE(A148,"_",A$1),Data_P!J:J),IF('Data_ Contrats'!O144="T",SUMIF(Data_P!A:A,CONCATENATE(A148,"_",A$1),Data_P!J:J),""))</f>
        <v>912.72</v>
      </c>
      <c r="D148" s="169" t="str">
        <f>VLOOKUP(A148,'Data_ Contrats'!A$3:O$250,15)</f>
        <v>M</v>
      </c>
    </row>
    <row r="149" spans="1:4" s="56" customFormat="1">
      <c r="A149" s="172" t="s">
        <v>2104</v>
      </c>
      <c r="B149" s="157">
        <v>755.1</v>
      </c>
      <c r="C149" s="157">
        <f>IF('Data_ Contrats'!O145="M",SUMIF(Data_P!A:A,CONCATENATE(A149,"_",A$1),Data_P!J:J),IF('Data_ Contrats'!O145="T",SUMIF(Data_P!A:A,CONCATENATE(A149,"_",A$1),Data_P!J:J),""))</f>
        <v>755.1</v>
      </c>
      <c r="D149" s="169" t="str">
        <f>VLOOKUP(A149,'Data_ Contrats'!A$3:O$250,15)</f>
        <v>M</v>
      </c>
    </row>
    <row r="150" spans="1:4" s="56" customFormat="1">
      <c r="A150" s="172" t="s">
        <v>2105</v>
      </c>
      <c r="B150" s="157">
        <v>27.51</v>
      </c>
      <c r="C150" s="157">
        <f>IF('Data_ Contrats'!O146="M",SUMIF(Data_P!A:A,CONCATENATE(A150,"_",A$1),Data_P!J:J),IF('Data_ Contrats'!O146="T",SUMIF(Data_P!A:A,CONCATENATE(A150,"_",A$1),Data_P!J:J),""))</f>
        <v>27.51</v>
      </c>
      <c r="D150" s="169" t="str">
        <f>VLOOKUP(A150,'Data_ Contrats'!A$3:O$250,15)</f>
        <v>M</v>
      </c>
    </row>
    <row r="151" spans="1:4" s="56" customFormat="1">
      <c r="A151" s="172" t="s">
        <v>1683</v>
      </c>
      <c r="B151" s="176">
        <v>1642.72</v>
      </c>
      <c r="C151" s="157">
        <f>IF('Data_ Contrats'!O147="M",SUMIF(Data_P!A:A,CONCATENATE(A151,"_",A$1),Data_P!J:J),IF('Data_ Contrats'!O147="T",SUMIF(Data_P!A:A,CONCATENATE(A151,"_",A$1),Data_P!J:J),""))</f>
        <v>1642.72</v>
      </c>
      <c r="D151" s="169" t="str">
        <f>VLOOKUP(A151,'Data_ Contrats'!A$3:O$250,15)</f>
        <v>T</v>
      </c>
    </row>
    <row r="152" spans="1:4" s="56" customFormat="1">
      <c r="A152" s="172" t="s">
        <v>1275</v>
      </c>
      <c r="B152" s="157">
        <v>636.26</v>
      </c>
      <c r="C152" s="157">
        <f>IF('Data_ Contrats'!O148="M",SUMIF(Data_P!A:A,CONCATENATE(A152,"_",A$1),Data_P!J:J),IF('Data_ Contrats'!O148="T",SUMIF(Data_P!A:A,CONCATENATE(A152,"_",A$1),Data_P!J:J),""))</f>
        <v>636.26</v>
      </c>
      <c r="D152" s="169" t="str">
        <f>VLOOKUP(A152,'Data_ Contrats'!A$3:O$250,15)</f>
        <v>M</v>
      </c>
    </row>
    <row r="153" spans="1:4" s="56" customFormat="1">
      <c r="A153" s="172" t="s">
        <v>401</v>
      </c>
      <c r="B153" s="176">
        <v>2485.4499999999998</v>
      </c>
      <c r="C153" s="157">
        <f>IF('Data_ Contrats'!O149="M",SUMIF(Data_P!A:A,CONCATENATE(A153,"_",A$1),Data_P!J:J),IF('Data_ Contrats'!O149="T",SUMIF(Data_P!A:A,CONCATENATE(A153,"_",A$1),Data_P!J:J),""))</f>
        <v>2485.4499999999998</v>
      </c>
      <c r="D153" s="169" t="str">
        <f>VLOOKUP(A153,'Data_ Contrats'!A$3:O$250,15)</f>
        <v>T</v>
      </c>
    </row>
    <row r="154" spans="1:4" s="56" customFormat="1">
      <c r="A154" s="172" t="s">
        <v>2304</v>
      </c>
      <c r="B154" s="176">
        <v>0</v>
      </c>
      <c r="C154" s="157">
        <f>IF('Data_ Contrats'!O150="M",SUMIF(Data_P!A:A,CONCATENATE(A154,"_",A$1),Data_P!J:J),IF('Data_ Contrats'!O150="T",SUMIF(Data_P!A:A,CONCATENATE(A154,"_",A$1),Data_P!J:J),""))</f>
        <v>0</v>
      </c>
      <c r="D154" s="169" t="str">
        <f>VLOOKUP(A154,'Data_ Contrats'!A$3:O$250,15)</f>
        <v>T</v>
      </c>
    </row>
    <row r="155" spans="1:4" s="56" customFormat="1">
      <c r="A155" s="172" t="s">
        <v>2107</v>
      </c>
      <c r="B155" s="176">
        <v>26.59</v>
      </c>
      <c r="C155" s="157">
        <f>IF('Data_ Contrats'!O151="M",SUMIF(Data_P!A:A,CONCATENATE(A155,"_",A$1),Data_P!J:J),IF('Data_ Contrats'!O151="T",SUMIF(Data_P!A:A,CONCATENATE(A155,"_",A$1),Data_P!J:J),""))</f>
        <v>26.59</v>
      </c>
      <c r="D155" s="169" t="str">
        <f>VLOOKUP(A155,'Data_ Contrats'!A$3:O$250,15)</f>
        <v>T</v>
      </c>
    </row>
    <row r="156" spans="1:4" s="56" customFormat="1">
      <c r="A156" s="172" t="s">
        <v>28</v>
      </c>
      <c r="B156" s="157">
        <v>50.08</v>
      </c>
      <c r="C156" s="157">
        <f>IF('Data_ Contrats'!O152="M",SUMIF(Data_P!A:A,CONCATENATE(A156,"_",A$1),Data_P!J:J),IF('Data_ Contrats'!O152="T",SUMIF(Data_P!A:A,CONCATENATE(A156,"_",A$1),Data_P!J:J),""))</f>
        <v>50.08</v>
      </c>
      <c r="D156" s="169" t="str">
        <f>VLOOKUP(A156,'Data_ Contrats'!A$3:O$250,15)</f>
        <v>M</v>
      </c>
    </row>
    <row r="157" spans="1:4" s="56" customFormat="1">
      <c r="A157" s="172" t="s">
        <v>1135</v>
      </c>
      <c r="B157" s="176">
        <v>966.07</v>
      </c>
      <c r="C157" s="157">
        <f>IF('Data_ Contrats'!O153="M",SUMIF(Data_P!A:A,CONCATENATE(A157,"_",A$1),Data_P!J:J),IF('Data_ Contrats'!O153="T",SUMIF(Data_P!A:A,CONCATENATE(A157,"_",A$1),Data_P!J:J),""))</f>
        <v>966.07</v>
      </c>
      <c r="D157" s="169" t="str">
        <f>VLOOKUP(A157,'Data_ Contrats'!A$3:O$250,15)</f>
        <v>T</v>
      </c>
    </row>
    <row r="158" spans="1:4" s="56" customFormat="1">
      <c r="A158" s="172" t="s">
        <v>1419</v>
      </c>
      <c r="B158" s="176">
        <v>86.58</v>
      </c>
      <c r="C158" s="157">
        <f>IF('Data_ Contrats'!O154="M",SUMIF(Data_P!A:A,CONCATENATE(A158,"_",A$1),Data_P!J:J),IF('Data_ Contrats'!O154="T",SUMIF(Data_P!A:A,CONCATENATE(A158,"_",A$1),Data_P!J:J),""))</f>
        <v>86.58</v>
      </c>
      <c r="D158" s="169" t="str">
        <f>VLOOKUP(A158,'Data_ Contrats'!A$3:O$250,15)</f>
        <v>T</v>
      </c>
    </row>
    <row r="159" spans="1:4" s="56" customFormat="1">
      <c r="A159" s="172" t="s">
        <v>1278</v>
      </c>
      <c r="B159" s="157">
        <v>38.729999999999997</v>
      </c>
      <c r="C159" s="157">
        <f>IF('Data_ Contrats'!O155="M",SUMIF(Data_P!A:A,CONCATENATE(A159,"_",A$1),Data_P!J:J),IF('Data_ Contrats'!O155="T",SUMIF(Data_P!A:A,CONCATENATE(A159,"_",A$1),Data_P!J:J),""))</f>
        <v>38.729999999999997</v>
      </c>
      <c r="D159" s="169" t="str">
        <f>VLOOKUP(A159,'Data_ Contrats'!A$3:O$250,15)</f>
        <v>M</v>
      </c>
    </row>
    <row r="160" spans="1:4" s="56" customFormat="1">
      <c r="A160" s="172" t="s">
        <v>2113</v>
      </c>
      <c r="B160" s="157">
        <v>53.36</v>
      </c>
      <c r="C160" s="157">
        <f>IF('Data_ Contrats'!O156="M",SUMIF(Data_P!A:A,CONCATENATE(A160,"_",A$1),Data_P!J:J),IF('Data_ Contrats'!O156="T",SUMIF(Data_P!A:A,CONCATENATE(A160,"_",A$1),Data_P!J:J),""))</f>
        <v>53.36</v>
      </c>
      <c r="D160" s="169" t="str">
        <f>VLOOKUP(A160,'Data_ Contrats'!A$3:O$250,15)</f>
        <v>M</v>
      </c>
    </row>
    <row r="161" spans="1:4" s="56" customFormat="1">
      <c r="A161" s="172" t="s">
        <v>2162</v>
      </c>
      <c r="B161" s="157">
        <v>318.08999999999997</v>
      </c>
      <c r="C161" s="157">
        <f>IF('Data_ Contrats'!O157="M",SUMIF(Data_P!A:A,CONCATENATE(A161,"_",A$1),Data_P!J:J),IF('Data_ Contrats'!O157="T",SUMIF(Data_P!A:A,CONCATENATE(A161,"_",A$1),Data_P!J:J),""))</f>
        <v>318.08999999999997</v>
      </c>
      <c r="D161" s="169" t="str">
        <f>VLOOKUP(A161,'Data_ Contrats'!A$3:O$250,15)</f>
        <v>M</v>
      </c>
    </row>
    <row r="162" spans="1:4" s="56" customFormat="1">
      <c r="A162" s="172" t="s">
        <v>2112</v>
      </c>
      <c r="B162" s="157">
        <v>267.39999999999998</v>
      </c>
      <c r="C162" s="157">
        <f>IF('Data_ Contrats'!O158="M",SUMIF(Data_P!A:A,CONCATENATE(A162,"_",A$1),Data_P!J:J),IF('Data_ Contrats'!O158="T",SUMIF(Data_P!A:A,CONCATENATE(A162,"_",A$1),Data_P!J:J),""))</f>
        <v>267.39999999999998</v>
      </c>
      <c r="D162" s="169" t="str">
        <f>VLOOKUP(A162,'Data_ Contrats'!A$3:O$250,15)</f>
        <v>M</v>
      </c>
    </row>
    <row r="163" spans="1:4" s="56" customFormat="1">
      <c r="A163" s="172" t="s">
        <v>232</v>
      </c>
      <c r="B163" s="176" t="s">
        <v>535</v>
      </c>
      <c r="C163" s="157" t="str">
        <f>IF('Data_ Contrats'!O159="M",SUMIF(Data_P!A:A,CONCATENATE(A163,"_",A$1),Data_P!J:J),IF('Data_ Contrats'!O159="T",SUMIF(Data_P!A:A,CONCATENATE(A163,"_",A$1),Data_P!J:J),""))</f>
        <v/>
      </c>
      <c r="D163" s="169" t="str">
        <f>VLOOKUP(A163,'Data_ Contrats'!A$3:O$250,15)</f>
        <v xml:space="preserve">M </v>
      </c>
    </row>
    <row r="164" spans="1:4" s="56" customFormat="1">
      <c r="A164" s="172" t="s">
        <v>2114</v>
      </c>
      <c r="B164" s="157">
        <v>32.5</v>
      </c>
      <c r="C164" s="157">
        <f>IF('Data_ Contrats'!O160="M",SUMIF(Data_P!A:A,CONCATENATE(A164,"_",A$1),Data_P!J:J),IF('Data_ Contrats'!O160="T",SUMIF(Data_P!A:A,CONCATENATE(A164,"_",A$1),Data_P!J:J),""))</f>
        <v>32.5</v>
      </c>
      <c r="D164" s="169" t="str">
        <f>VLOOKUP(A164,'Data_ Contrats'!A$3:O$250,15)</f>
        <v>M</v>
      </c>
    </row>
    <row r="165" spans="1:4" s="56" customFormat="1">
      <c r="A165" s="172" t="s">
        <v>2115</v>
      </c>
      <c r="B165" s="157">
        <v>144.82</v>
      </c>
      <c r="C165" s="157">
        <f>IF('Data_ Contrats'!O161="M",SUMIF(Data_P!A:A,CONCATENATE(A165,"_",A$1),Data_P!J:J),IF('Data_ Contrats'!O161="T",SUMIF(Data_P!A:A,CONCATENATE(A165,"_",A$1),Data_P!J:J),""))</f>
        <v>144.82</v>
      </c>
      <c r="D165" s="169" t="str">
        <f>VLOOKUP(A165,'Data_ Contrats'!A$3:O$250,15)</f>
        <v>M</v>
      </c>
    </row>
    <row r="166" spans="1:4" s="56" customFormat="1">
      <c r="A166" s="172" t="s">
        <v>351</v>
      </c>
      <c r="B166" s="157">
        <v>631.94000000000005</v>
      </c>
      <c r="C166" s="157">
        <f>IF('Data_ Contrats'!O162="M",SUMIF(Data_P!A:A,CONCATENATE(A166,"_",A$1),Data_P!J:J),IF('Data_ Contrats'!O162="T",SUMIF(Data_P!A:A,CONCATENATE(A166,"_",A$1),Data_P!J:J),""))</f>
        <v>631.94000000000005</v>
      </c>
      <c r="D166" s="169" t="str">
        <f>VLOOKUP(A166,'Data_ Contrats'!A$3:O$250,15)</f>
        <v>M</v>
      </c>
    </row>
    <row r="167" spans="1:4" s="56" customFormat="1">
      <c r="A167" s="172" t="s">
        <v>1687</v>
      </c>
      <c r="B167" s="157">
        <v>312.61</v>
      </c>
      <c r="C167" s="157">
        <f>IF('Data_ Contrats'!O163="M",SUMIF(Data_P!A:A,CONCATENATE(A167,"_",A$1),Data_P!J:J),IF('Data_ Contrats'!O163="T",SUMIF(Data_P!A:A,CONCATENATE(A167,"_",A$1),Data_P!J:J),""))</f>
        <v>312.61</v>
      </c>
      <c r="D167" s="169" t="str">
        <f>VLOOKUP(A167,'Data_ Contrats'!A$3:O$250,15)</f>
        <v>M</v>
      </c>
    </row>
    <row r="168" spans="1:4" s="56" customFormat="1">
      <c r="A168" s="172" t="s">
        <v>1688</v>
      </c>
      <c r="B168" s="157">
        <v>72.13</v>
      </c>
      <c r="C168" s="157">
        <f>IF('Data_ Contrats'!O164="M",SUMIF(Data_P!A:A,CONCATENATE(A168,"_",A$1),Data_P!J:J),IF('Data_ Contrats'!O164="T",SUMIF(Data_P!A:A,CONCATENATE(A168,"_",A$1),Data_P!J:J),""))</f>
        <v>72.13</v>
      </c>
      <c r="D168" s="169" t="str">
        <f>VLOOKUP(A168,'Data_ Contrats'!A$3:O$250,15)</f>
        <v>M</v>
      </c>
    </row>
    <row r="169" spans="1:4" s="56" customFormat="1">
      <c r="A169" s="172" t="s">
        <v>1689</v>
      </c>
      <c r="B169" s="157">
        <v>23.07</v>
      </c>
      <c r="C169" s="157">
        <f>IF('Data_ Contrats'!O165="M",SUMIF(Data_P!A:A,CONCATENATE(A169,"_",A$1),Data_P!J:J),IF('Data_ Contrats'!O165="T",SUMIF(Data_P!A:A,CONCATENATE(A169,"_",A$1),Data_P!J:J),""))</f>
        <v>23.07</v>
      </c>
      <c r="D169" s="169" t="str">
        <f>VLOOKUP(A169,'Data_ Contrats'!A$3:O$250,15)</f>
        <v>M</v>
      </c>
    </row>
    <row r="170" spans="1:4" s="56" customFormat="1">
      <c r="A170" s="172" t="s">
        <v>2116</v>
      </c>
      <c r="B170" s="157">
        <v>277.27999999999997</v>
      </c>
      <c r="C170" s="157">
        <f>IF('Data_ Contrats'!O166="M",SUMIF(Data_P!A:A,CONCATENATE(A170,"_",A$1),Data_P!J:J),IF('Data_ Contrats'!O166="T",SUMIF(Data_P!A:A,CONCATENATE(A170,"_",A$1),Data_P!J:J),""))</f>
        <v>277.27999999999997</v>
      </c>
      <c r="D170" s="169" t="str">
        <f>VLOOKUP(A170,'Data_ Contrats'!A$3:O$250,15)</f>
        <v>M</v>
      </c>
    </row>
    <row r="171" spans="1:4" s="56" customFormat="1">
      <c r="A171" s="172" t="s">
        <v>2117</v>
      </c>
      <c r="B171" s="157">
        <v>288.94</v>
      </c>
      <c r="C171" s="157">
        <f>IF('Data_ Contrats'!O167="M",SUMIF(Data_P!A:A,CONCATENATE(A171,"_",A$1),Data_P!J:J),IF('Data_ Contrats'!O167="T",SUMIF(Data_P!A:A,CONCATENATE(A171,"_",A$1),Data_P!J:J),""))</f>
        <v>288.94</v>
      </c>
      <c r="D171" s="169" t="str">
        <f>VLOOKUP(A171,'Data_ Contrats'!A$3:O$250,15)</f>
        <v>M</v>
      </c>
    </row>
    <row r="172" spans="1:4" s="56" customFormat="1">
      <c r="A172" s="172" t="s">
        <v>474</v>
      </c>
      <c r="B172" s="176">
        <v>2718.84</v>
      </c>
      <c r="C172" s="157">
        <f>IF('Data_ Contrats'!O168="M",SUMIF(Data_P!A:A,CONCATENATE(A172,"_",A$1),Data_P!J:J),IF('Data_ Contrats'!O168="T",SUMIF(Data_P!A:A,CONCATENATE(A172,"_",A$1),Data_P!J:J),""))</f>
        <v>2718.84</v>
      </c>
      <c r="D172" s="169" t="str">
        <f>VLOOKUP(A172,'Data_ Contrats'!A$3:O$250,15)</f>
        <v>T</v>
      </c>
    </row>
    <row r="173" spans="1:4" s="56" customFormat="1">
      <c r="A173" s="172" t="s">
        <v>474</v>
      </c>
      <c r="B173" s="176">
        <v>2718.84</v>
      </c>
      <c r="C173" s="157">
        <f>IF('Data_ Contrats'!O169="M",SUMIF(Data_P!A:A,CONCATENATE(A173,"_",A$1),Data_P!J:J),IF('Data_ Contrats'!O169="T",SUMIF(Data_P!A:A,CONCATENATE(A173,"_",A$1),Data_P!J:J),""))</f>
        <v>2718.84</v>
      </c>
      <c r="D173" s="169" t="str">
        <f>VLOOKUP(A173,'Data_ Contrats'!A$3:O$250,15)</f>
        <v>T</v>
      </c>
    </row>
    <row r="174" spans="1:4" s="56" customFormat="1">
      <c r="A174" s="172" t="s">
        <v>1156</v>
      </c>
      <c r="B174" s="157">
        <v>942.55</v>
      </c>
      <c r="C174" s="157">
        <f>IF('Data_ Contrats'!O170="M",SUMIF(Data_P!A:A,CONCATENATE(A174,"_",A$1),Data_P!J:J),IF('Data_ Contrats'!O170="T",SUMIF(Data_P!A:A,CONCATENATE(A174,"_",A$1),Data_P!J:J),""))</f>
        <v>942.55</v>
      </c>
      <c r="D174" s="169" t="str">
        <f>VLOOKUP(A174,'Data_ Contrats'!A$3:O$250,15)</f>
        <v>M</v>
      </c>
    </row>
    <row r="175" spans="1:4" s="56" customFormat="1">
      <c r="A175" s="172" t="s">
        <v>303</v>
      </c>
      <c r="B175" s="157">
        <v>188.14</v>
      </c>
      <c r="C175" s="157">
        <f>IF('Data_ Contrats'!O171="M",SUMIF(Data_P!A:A,CONCATENATE(A175,"_",A$1),Data_P!J:J),IF('Data_ Contrats'!O171="T",SUMIF(Data_P!A:A,CONCATENATE(A175,"_",A$1),Data_P!J:J),""))</f>
        <v>188.14</v>
      </c>
      <c r="D175" s="169" t="str">
        <f>VLOOKUP(A175,'Data_ Contrats'!A$3:O$250,15)</f>
        <v>M</v>
      </c>
    </row>
    <row r="176" spans="1:4" s="56" customFormat="1">
      <c r="A176" s="172" t="s">
        <v>446</v>
      </c>
      <c r="B176" s="157">
        <v>912.53</v>
      </c>
      <c r="C176" s="157">
        <f>IF('Data_ Contrats'!O172="M",SUMIF(Data_P!A:A,CONCATENATE(A176,"_",A$1),Data_P!J:J),IF('Data_ Contrats'!O172="T",SUMIF(Data_P!A:A,CONCATENATE(A176,"_",A$1),Data_P!J:J),""))</f>
        <v>912.53</v>
      </c>
      <c r="D176" s="169" t="str">
        <f>VLOOKUP(A176,'Data_ Contrats'!A$3:O$250,15)</f>
        <v>M</v>
      </c>
    </row>
    <row r="177" spans="1:4" s="56" customFormat="1">
      <c r="A177" s="172" t="s">
        <v>1829</v>
      </c>
      <c r="B177" s="157">
        <v>1454.4</v>
      </c>
      <c r="C177" s="157">
        <f>IF('Data_ Contrats'!O173="M",SUMIF(Data_P!A:A,CONCATENATE(A177,"_",A$1),Data_P!J:J),IF('Data_ Contrats'!O173="T",SUMIF(Data_P!A:A,CONCATENATE(A177,"_",A$1),Data_P!J:J),""))</f>
        <v>1454.4</v>
      </c>
      <c r="D177" s="169" t="str">
        <f>VLOOKUP(A177,'Data_ Contrats'!A$3:O$250,15)</f>
        <v>M</v>
      </c>
    </row>
    <row r="178" spans="1:4" s="56" customFormat="1">
      <c r="A178" s="172" t="s">
        <v>264</v>
      </c>
      <c r="B178" s="157">
        <v>0</v>
      </c>
      <c r="C178" s="157">
        <f>IF('Data_ Contrats'!O174="M",SUMIF(Data_P!A:A,CONCATENATE(A178,"_",A$1),Data_P!J:J),IF('Data_ Contrats'!O174="T",SUMIF(Data_P!A:A,CONCATENATE(A178,"_",A$1),Data_P!J:J),""))</f>
        <v>0</v>
      </c>
      <c r="D178" s="169" t="str">
        <f>VLOOKUP(A178,'Data_ Contrats'!A$3:O$250,15)</f>
        <v>M</v>
      </c>
    </row>
    <row r="179" spans="1:4" s="56" customFormat="1">
      <c r="A179" s="172" t="s">
        <v>1136</v>
      </c>
      <c r="B179" s="157">
        <v>0</v>
      </c>
      <c r="C179" s="157">
        <f>IF('Data_ Contrats'!O175="M",SUMIF(Data_P!A:A,CONCATENATE(A179,"_",A$1),Data_P!J:J),IF('Data_ Contrats'!O175="T",SUMIF(Data_P!A:A,CONCATENATE(A179,"_",A$1),Data_P!J:J),""))</f>
        <v>0</v>
      </c>
      <c r="D179" s="169" t="str">
        <f>VLOOKUP(A179,'Data_ Contrats'!A$3:O$250,15)</f>
        <v>M</v>
      </c>
    </row>
    <row r="180" spans="1:4" s="56" customFormat="1">
      <c r="A180" s="172" t="s">
        <v>1282</v>
      </c>
      <c r="B180" s="157">
        <v>0</v>
      </c>
      <c r="C180" s="157">
        <f>IF('Data_ Contrats'!O176="M",SUMIF(Data_P!A:A,CONCATENATE(A180,"_",A$1),Data_P!J:J),IF('Data_ Contrats'!O176="T",SUMIF(Data_P!A:A,CONCATENATE(A180,"_",A$1),Data_P!J:J),""))</f>
        <v>0</v>
      </c>
      <c r="D180" s="169" t="str">
        <f>VLOOKUP(A180,'Data_ Contrats'!A$3:O$250,15)</f>
        <v>M</v>
      </c>
    </row>
    <row r="181" spans="1:4" s="56" customFormat="1">
      <c r="A181" s="172" t="s">
        <v>2163</v>
      </c>
      <c r="B181" s="157">
        <v>387.75</v>
      </c>
      <c r="C181" s="157">
        <f>IF('Data_ Contrats'!O177="M",SUMIF(Data_P!A:A,CONCATENATE(A181,"_",A$1),Data_P!J:J),IF('Data_ Contrats'!O177="T",SUMIF(Data_P!A:A,CONCATENATE(A181,"_",A$1),Data_P!J:J),""))</f>
        <v>387.75</v>
      </c>
      <c r="D181" s="169" t="str">
        <f>VLOOKUP(A181,'Data_ Contrats'!A$3:O$250,15)</f>
        <v>M</v>
      </c>
    </row>
    <row r="182" spans="1:4" s="56" customFormat="1">
      <c r="A182" s="172" t="s">
        <v>537</v>
      </c>
      <c r="B182" s="157">
        <v>2074.4</v>
      </c>
      <c r="C182" s="157">
        <f>IF('Data_ Contrats'!O178="M",SUMIF(Data_P!A:A,CONCATENATE(A182,"_",A$1),Data_P!J:J),IF('Data_ Contrats'!O178="T",SUMIF(Data_P!A:A,CONCATENATE(A182,"_",A$1),Data_P!J:J),""))</f>
        <v>2074.4</v>
      </c>
      <c r="D182" s="169" t="str">
        <f>VLOOKUP(A182,'Data_ Contrats'!A$3:O$250,15)</f>
        <v>M</v>
      </c>
    </row>
    <row r="183" spans="1:4" s="56" customFormat="1">
      <c r="A183" s="172" t="s">
        <v>2224</v>
      </c>
      <c r="B183" s="157">
        <v>226.38</v>
      </c>
      <c r="C183" s="157">
        <f>IF('Data_ Contrats'!O179="M",SUMIF(Data_P!A:A,CONCATENATE(A183,"_",A$1),Data_P!J:J),IF('Data_ Contrats'!O179="T",SUMIF(Data_P!A:A,CONCATENATE(A183,"_",A$1),Data_P!J:J),""))</f>
        <v>226.38</v>
      </c>
      <c r="D183" s="169" t="str">
        <f>VLOOKUP(A183,'Data_ Contrats'!A$3:O$250,15)</f>
        <v>M</v>
      </c>
    </row>
    <row r="184" spans="1:4" s="56" customFormat="1">
      <c r="A184" s="172" t="s">
        <v>2118</v>
      </c>
      <c r="B184" s="176">
        <v>713.86</v>
      </c>
      <c r="C184" s="157">
        <f>IF('Data_ Contrats'!O180="M",SUMIF(Data_P!A:A,CONCATENATE(A184,"_",A$1),Data_P!J:J),IF('Data_ Contrats'!O180="T",SUMIF(Data_P!A:A,CONCATENATE(A184,"_",A$1),Data_P!J:J),""))</f>
        <v>713.86</v>
      </c>
      <c r="D184" s="169" t="str">
        <f>VLOOKUP(A184,'Data_ Contrats'!A$3:O$250,15)</f>
        <v>T</v>
      </c>
    </row>
    <row r="185" spans="1:4" s="56" customFormat="1">
      <c r="A185" s="172" t="s">
        <v>2119</v>
      </c>
      <c r="B185" s="176">
        <v>1213.3599999999999</v>
      </c>
      <c r="C185" s="157">
        <f>IF('Data_ Contrats'!O181="M",SUMIF(Data_P!A:A,CONCATENATE(A185,"_",A$1),Data_P!J:J),IF('Data_ Contrats'!O181="T",SUMIF(Data_P!A:A,CONCATENATE(A185,"_",A$1),Data_P!J:J),""))</f>
        <v>1213.3599999999999</v>
      </c>
      <c r="D185" s="169" t="str">
        <f>VLOOKUP(A185,'Data_ Contrats'!A$3:O$250,15)</f>
        <v>T</v>
      </c>
    </row>
    <row r="186" spans="1:4" s="56" customFormat="1">
      <c r="A186" s="172" t="s">
        <v>1285</v>
      </c>
      <c r="B186" s="176">
        <v>450.36</v>
      </c>
      <c r="C186" s="157">
        <f>IF('Data_ Contrats'!O182="M",SUMIF(Data_P!A:A,CONCATENATE(A186,"_",A$1),Data_P!J:J),IF('Data_ Contrats'!O182="T",SUMIF(Data_P!A:A,CONCATENATE(A186,"_",A$1),Data_P!J:J),""))</f>
        <v>450.36</v>
      </c>
      <c r="D186" s="169" t="str">
        <f>VLOOKUP(A186,'Data_ Contrats'!A$3:O$250,15)</f>
        <v>T</v>
      </c>
    </row>
    <row r="187" spans="1:4" s="56" customFormat="1">
      <c r="A187" s="172" t="s">
        <v>1285</v>
      </c>
      <c r="B187" s="176">
        <v>450.36</v>
      </c>
      <c r="C187" s="157">
        <f>IF('Data_ Contrats'!O183="M",SUMIF(Data_P!A:A,CONCATENATE(A187,"_",A$1),Data_P!J:J),IF('Data_ Contrats'!O183="T",SUMIF(Data_P!A:A,CONCATENATE(A187,"_",A$1),Data_P!J:J),""))</f>
        <v>450.36</v>
      </c>
      <c r="D187" s="169" t="str">
        <f>VLOOKUP(A187,'Data_ Contrats'!A$3:O$250,15)</f>
        <v>T</v>
      </c>
    </row>
    <row r="188" spans="1:4" s="56" customFormat="1">
      <c r="A188" s="172" t="s">
        <v>1556</v>
      </c>
      <c r="B188" s="157">
        <v>0</v>
      </c>
      <c r="C188" s="157">
        <f>IF('Data_ Contrats'!O184="M",SUMIF(Data_P!A:A,CONCATENATE(A188,"_",A$1),Data_P!J:J),IF('Data_ Contrats'!O184="T",SUMIF(Data_P!A:A,CONCATENATE(A188,"_",A$1),Data_P!J:J),""))</f>
        <v>0</v>
      </c>
      <c r="D188" s="169" t="str">
        <f>VLOOKUP(A188,'Data_ Contrats'!A$3:O$250,15)</f>
        <v>M</v>
      </c>
    </row>
    <row r="189" spans="1:4" s="56" customFormat="1">
      <c r="A189" s="172" t="s">
        <v>2122</v>
      </c>
      <c r="B189" s="157">
        <v>617.39</v>
      </c>
      <c r="C189" s="157">
        <f>IF('Data_ Contrats'!O185="M",SUMIF(Data_P!A:A,CONCATENATE(A189,"_",A$1),Data_P!J:J),IF('Data_ Contrats'!O185="T",SUMIF(Data_P!A:A,CONCATENATE(A189,"_",A$1),Data_P!J:J),""))</f>
        <v>617.39</v>
      </c>
      <c r="D189" s="169" t="str">
        <f>VLOOKUP(A189,'Data_ Contrats'!A$3:O$250,15)</f>
        <v>M</v>
      </c>
    </row>
    <row r="190" spans="1:4" s="56" customFormat="1">
      <c r="A190" s="172" t="s">
        <v>2123</v>
      </c>
      <c r="B190" s="157">
        <v>132.65</v>
      </c>
      <c r="C190" s="157">
        <f>IF('Data_ Contrats'!O186="M",SUMIF(Data_P!A:A,CONCATENATE(A190,"_",A$1),Data_P!J:J),IF('Data_ Contrats'!O186="T",SUMIF(Data_P!A:A,CONCATENATE(A190,"_",A$1),Data_P!J:J),""))</f>
        <v>132.65</v>
      </c>
      <c r="D190" s="169" t="str">
        <f>VLOOKUP(A190,'Data_ Contrats'!A$3:O$250,15)</f>
        <v>M</v>
      </c>
    </row>
    <row r="191" spans="1:4" s="56" customFormat="1">
      <c r="A191" s="172" t="s">
        <v>2125</v>
      </c>
      <c r="B191" s="157">
        <v>1509.1399999999999</v>
      </c>
      <c r="C191" s="157">
        <f>IF('Data_ Contrats'!O187="M",SUMIF(Data_P!A:A,CONCATENATE(A191,"_",A$1),Data_P!J:J),IF('Data_ Contrats'!O187="T",SUMIF(Data_P!A:A,CONCATENATE(A191,"_",A$1),Data_P!J:J),""))</f>
        <v>1509.1399999999999</v>
      </c>
      <c r="D191" s="169" t="str">
        <f>VLOOKUP(A191,'Data_ Contrats'!A$3:O$250,15)</f>
        <v>M</v>
      </c>
    </row>
    <row r="192" spans="1:4" s="56" customFormat="1">
      <c r="A192" s="172" t="s">
        <v>1794</v>
      </c>
      <c r="B192" s="157">
        <v>405.99</v>
      </c>
      <c r="C192" s="157">
        <f>IF('Data_ Contrats'!O188="M",SUMIF(Data_P!A:A,CONCATENATE(A192,"_",A$1),Data_P!J:J),IF('Data_ Contrats'!O188="T",SUMIF(Data_P!A:A,CONCATENATE(A192,"_",A$1),Data_P!J:J),""))</f>
        <v>405.99</v>
      </c>
      <c r="D192" s="169" t="str">
        <f>VLOOKUP(A192,'Data_ Contrats'!A$3:O$250,15)</f>
        <v>M</v>
      </c>
    </row>
    <row r="193" spans="1:4" s="56" customFormat="1">
      <c r="A193" s="172" t="s">
        <v>1422</v>
      </c>
      <c r="B193" s="176">
        <v>49.5</v>
      </c>
      <c r="C193" s="157">
        <f>IF('Data_ Contrats'!O189="M",SUMIF(Data_P!A:A,CONCATENATE(A193,"_",A$1),Data_P!J:J),IF('Data_ Contrats'!O189="T",SUMIF(Data_P!A:A,CONCATENATE(A193,"_",A$1),Data_P!J:J),""))</f>
        <v>49.5</v>
      </c>
      <c r="D193" s="169" t="str">
        <f>VLOOKUP(A193,'Data_ Contrats'!A$3:O$250,15)</f>
        <v>T</v>
      </c>
    </row>
    <row r="194" spans="1:4" s="56" customFormat="1">
      <c r="A194" s="172" t="s">
        <v>478</v>
      </c>
      <c r="B194" s="157">
        <v>579.27</v>
      </c>
      <c r="C194" s="157">
        <f>IF('Data_ Contrats'!O190="M",SUMIF(Data_P!A:A,CONCATENATE(A194,"_",A$1),Data_P!J:J),IF('Data_ Contrats'!O190="T",SUMIF(Data_P!A:A,CONCATENATE(A194,"_",A$1),Data_P!J:J),""))</f>
        <v>579.27</v>
      </c>
      <c r="D194" s="169" t="str">
        <f>VLOOKUP(A194,'Data_ Contrats'!A$3:O$250,15)</f>
        <v>M</v>
      </c>
    </row>
    <row r="195" spans="1:4" s="56" customFormat="1">
      <c r="A195" s="172" t="s">
        <v>2229</v>
      </c>
      <c r="B195" s="157">
        <v>51.75</v>
      </c>
      <c r="C195" s="157">
        <f>IF('Data_ Contrats'!O191="M",SUMIF(Data_P!A:A,CONCATENATE(A195,"_",A$1),Data_P!J:J),IF('Data_ Contrats'!O191="T",SUMIF(Data_P!A:A,CONCATENATE(A195,"_",A$1),Data_P!J:J),""))</f>
        <v>51.75</v>
      </c>
      <c r="D195" s="169" t="str">
        <f>VLOOKUP(A195,'Data_ Contrats'!A$3:O$250,15)</f>
        <v>M</v>
      </c>
    </row>
    <row r="196" spans="1:4" s="56" customFormat="1">
      <c r="A196" s="172" t="s">
        <v>1544</v>
      </c>
      <c r="B196" s="176">
        <v>2277.36</v>
      </c>
      <c r="C196" s="157">
        <f>IF('Data_ Contrats'!O192="M",SUMIF(Data_P!A:A,CONCATENATE(A196,"_",A$1),Data_P!J:J),IF('Data_ Contrats'!O192="T",SUMIF(Data_P!A:A,CONCATENATE(A196,"_",A$1),Data_P!J:J),""))</f>
        <v>2277.36</v>
      </c>
      <c r="D196" s="169" t="str">
        <f>VLOOKUP(A196,'Data_ Contrats'!A$3:O$250,15)</f>
        <v>T</v>
      </c>
    </row>
    <row r="197" spans="1:4" s="56" customFormat="1">
      <c r="A197" s="172" t="s">
        <v>47</v>
      </c>
      <c r="B197" s="157">
        <v>9299.5399999999991</v>
      </c>
      <c r="C197" s="157">
        <f>IF('Data_ Contrats'!O193="M",SUMIF(Data_P!A:A,CONCATENATE(A197,"_",A$1),Data_P!J:J),IF('Data_ Contrats'!O193="T",SUMIF(Data_P!A:A,CONCATENATE(A197,"_",A$1),Data_P!J:J),""))</f>
        <v>9299.5399999999991</v>
      </c>
      <c r="D197" s="169" t="str">
        <f>VLOOKUP(A197,'Data_ Contrats'!A$3:O$250,15)</f>
        <v>M</v>
      </c>
    </row>
    <row r="198" spans="1:4" s="56" customFormat="1">
      <c r="A198" s="172" t="s">
        <v>233</v>
      </c>
      <c r="B198" s="157">
        <v>9497.130000000001</v>
      </c>
      <c r="C198" s="157">
        <f>IF('Data_ Contrats'!O194="M",SUMIF(Data_P!A:A,CONCATENATE(A198,"_",A$1),Data_P!J:J),IF('Data_ Contrats'!O194="T",SUMIF(Data_P!A:A,CONCATENATE(A198,"_",A$1),Data_P!J:J),""))</f>
        <v>9497.130000000001</v>
      </c>
      <c r="D198" s="169" t="str">
        <f>VLOOKUP(A198,'Data_ Contrats'!A$3:O$250,15)</f>
        <v>M</v>
      </c>
    </row>
    <row r="199" spans="1:4" s="56" customFormat="1">
      <c r="A199" s="124" t="s">
        <v>1833</v>
      </c>
      <c r="B199" s="176">
        <v>485.87</v>
      </c>
      <c r="C199" s="157">
        <f>IF('Data_ Contrats'!O195="M",SUMIF(Data_P!A:A,CONCATENATE(A199,"_",A$1),Data_P!J:J),IF('Data_ Contrats'!O195="T",SUMIF(Data_P!A:A,CONCATENATE(A199,"_",A$1),Data_P!J:J),""))</f>
        <v>485.87</v>
      </c>
      <c r="D199" s="169" t="str">
        <f>VLOOKUP(A199,'Data_ Contrats'!A$3:O$250,15)</f>
        <v>T</v>
      </c>
    </row>
    <row r="200" spans="1:4" s="56" customFormat="1">
      <c r="A200" s="124" t="s">
        <v>935</v>
      </c>
      <c r="B200" s="157">
        <v>1237.78</v>
      </c>
      <c r="C200" s="157">
        <f>IF('Data_ Contrats'!O196="M",SUMIF(Data_P!A:A,CONCATENATE(A200,"_",A$1),Data_P!J:J),IF('Data_ Contrats'!O196="T",SUMIF(Data_P!A:A,CONCATENATE(A200,"_",A$1),Data_P!J:J),""))</f>
        <v>1237.78</v>
      </c>
      <c r="D200" s="169" t="str">
        <f>VLOOKUP(A200,'Data_ Contrats'!A$3:O$250,15)</f>
        <v>M</v>
      </c>
    </row>
    <row r="201" spans="1:4" s="56" customFormat="1">
      <c r="A201" s="124" t="s">
        <v>479</v>
      </c>
      <c r="B201" s="157">
        <v>123.9</v>
      </c>
      <c r="C201" s="157">
        <f>IF('Data_ Contrats'!O197="M",SUMIF(Data_P!A:A,CONCATENATE(A201,"_",A$1),Data_P!J:J),IF('Data_ Contrats'!O197="T",SUMIF(Data_P!A:A,CONCATENATE(A201,"_",A$1),Data_P!J:J),""))</f>
        <v>123.9</v>
      </c>
      <c r="D201" s="169" t="str">
        <f>VLOOKUP(A201,'Data_ Contrats'!A$3:O$250,15)</f>
        <v>M</v>
      </c>
    </row>
    <row r="202" spans="1:4" s="56" customFormat="1">
      <c r="A202" s="124" t="s">
        <v>269</v>
      </c>
      <c r="B202" s="157">
        <v>607.48</v>
      </c>
      <c r="C202" s="157">
        <f>IF('Data_ Contrats'!O198="M",SUMIF(Data_P!A:A,CONCATENATE(A202,"_",A$1),Data_P!J:J),IF('Data_ Contrats'!O198="T",SUMIF(Data_P!A:A,CONCATENATE(A202,"_",A$1),Data_P!J:J),""))</f>
        <v>607.48</v>
      </c>
      <c r="D202" s="169" t="str">
        <f>VLOOKUP(A202,'Data_ Contrats'!A$3:O$250,15)</f>
        <v>M</v>
      </c>
    </row>
    <row r="203" spans="1:4" s="56" customFormat="1">
      <c r="A203" s="124" t="s">
        <v>147</v>
      </c>
      <c r="B203" s="157">
        <v>1032.55</v>
      </c>
      <c r="C203" s="157">
        <f>IF('Data_ Contrats'!O199="M",SUMIF(Data_P!A:A,CONCATENATE(A203,"_",A$1),Data_P!J:J),IF('Data_ Contrats'!O199="T",SUMIF(Data_P!A:A,CONCATENATE(A203,"_",A$1),Data_P!J:J),""))</f>
        <v>1032.55</v>
      </c>
      <c r="D203" s="169" t="str">
        <f>VLOOKUP(A203,'Data_ Contrats'!A$3:O$250,15)</f>
        <v>M</v>
      </c>
    </row>
    <row r="204" spans="1:4" s="56" customFormat="1">
      <c r="A204" s="124" t="s">
        <v>1835</v>
      </c>
      <c r="B204" s="157">
        <v>176.05</v>
      </c>
      <c r="C204" s="157">
        <f>IF('Data_ Contrats'!O200="M",SUMIF(Data_P!A:A,CONCATENATE(A204,"_",A$1),Data_P!J:J),IF('Data_ Contrats'!O200="T",SUMIF(Data_P!A:A,CONCATENATE(A204,"_",A$1),Data_P!J:J),""))</f>
        <v>176.05</v>
      </c>
      <c r="D204" s="169" t="str">
        <f>VLOOKUP(A204,'Data_ Contrats'!A$3:O$250,15)</f>
        <v>M</v>
      </c>
    </row>
    <row r="205" spans="1:4" s="56" customFormat="1">
      <c r="A205" s="124" t="s">
        <v>2130</v>
      </c>
      <c r="B205" s="176">
        <v>470.38</v>
      </c>
      <c r="C205" s="157">
        <f>IF('Data_ Contrats'!O201="M",SUMIF(Data_P!A:A,CONCATENATE(A205,"_",A$1),Data_P!J:J),IF('Data_ Contrats'!O201="T",SUMIF(Data_P!A:A,CONCATENATE(A205,"_",A$1),Data_P!J:J),""))</f>
        <v>470.38</v>
      </c>
      <c r="D205" s="169" t="str">
        <f>VLOOKUP(A205,'Data_ Contrats'!A$3:O$250,15)</f>
        <v>T</v>
      </c>
    </row>
    <row r="206" spans="1:4" s="56" customFormat="1">
      <c r="A206" s="124" t="s">
        <v>73</v>
      </c>
      <c r="B206" s="157">
        <v>1315.15</v>
      </c>
      <c r="C206" s="157">
        <f>IF('Data_ Contrats'!O202="M",SUMIF(Data_P!A:A,CONCATENATE(A206,"_",A$1),Data_P!J:J),IF('Data_ Contrats'!O202="T",SUMIF(Data_P!A:A,CONCATENATE(A206,"_",A$1),Data_P!J:J),""))</f>
        <v>1315.15</v>
      </c>
      <c r="D206" s="169" t="str">
        <f>VLOOKUP(A206,'Data_ Contrats'!A$3:O$250,15)</f>
        <v>M</v>
      </c>
    </row>
    <row r="207" spans="1:4" s="56" customFormat="1">
      <c r="A207" s="124" t="s">
        <v>2131</v>
      </c>
      <c r="B207" s="157">
        <v>2.84</v>
      </c>
      <c r="C207" s="157">
        <f>IF('Data_ Contrats'!O203="M",SUMIF(Data_P!A:A,CONCATENATE(A207,"_",A$1),Data_P!J:J),IF('Data_ Contrats'!O203="T",SUMIF(Data_P!A:A,CONCATENATE(A207,"_",A$1),Data_P!J:J),""))</f>
        <v>2.84</v>
      </c>
      <c r="D207" s="169" t="str">
        <f>VLOOKUP(A207,'Data_ Contrats'!A$3:O$250,15)</f>
        <v>M</v>
      </c>
    </row>
    <row r="208" spans="1:4" s="56" customFormat="1">
      <c r="A208" s="124" t="s">
        <v>2132</v>
      </c>
      <c r="B208" s="157">
        <v>79.88</v>
      </c>
      <c r="C208" s="157">
        <f>IF('Data_ Contrats'!O204="M",SUMIF(Data_P!A:A,CONCATENATE(A208,"_",A$1),Data_P!J:J),IF('Data_ Contrats'!O204="T",SUMIF(Data_P!A:A,CONCATENATE(A208,"_",A$1),Data_P!J:J),""))</f>
        <v>79.88</v>
      </c>
      <c r="D208" s="169" t="str">
        <f>VLOOKUP(A208,'Data_ Contrats'!A$3:O$250,15)</f>
        <v>M</v>
      </c>
    </row>
    <row r="209" spans="1:4" s="56" customFormat="1" ht="31.2">
      <c r="A209" s="124" t="s">
        <v>1547</v>
      </c>
      <c r="B209" s="157">
        <v>0</v>
      </c>
      <c r="C209" s="157">
        <f>IF('Data_ Contrats'!O205="M",SUMIF(Data_P!A:A,CONCATENATE(A209,"_",A$1),Data_P!J:J),IF('Data_ Contrats'!O205="T",SUMIF(Data_P!A:A,CONCATENATE(A209,"_",A$1),Data_P!J:J),""))</f>
        <v>0</v>
      </c>
      <c r="D209" s="169" t="str">
        <f>VLOOKUP(A209,'Data_ Contrats'!A$3:O$250,15)</f>
        <v>M</v>
      </c>
    </row>
    <row r="210" spans="1:4" s="56" customFormat="1">
      <c r="A210" s="124" t="s">
        <v>2136</v>
      </c>
      <c r="B210" s="157">
        <v>296.06</v>
      </c>
      <c r="C210" s="157">
        <f>IF('Data_ Contrats'!O206="M",SUMIF(Data_P!A:A,CONCATENATE(A210,"_",A$1),Data_P!J:J),IF('Data_ Contrats'!O206="T",SUMIF(Data_P!A:A,CONCATENATE(A210,"_",A$1),Data_P!J:J),""))</f>
        <v>296.06</v>
      </c>
      <c r="D210" s="169" t="str">
        <f>VLOOKUP(A210,'Data_ Contrats'!A$3:O$250,15)</f>
        <v>M</v>
      </c>
    </row>
    <row r="211" spans="1:4" s="56" customFormat="1">
      <c r="A211" s="124" t="s">
        <v>1168</v>
      </c>
      <c r="B211" s="157">
        <v>0</v>
      </c>
      <c r="C211" s="157">
        <f>IF('Data_ Contrats'!O207="M",SUMIF(Data_P!A:A,CONCATENATE(A211,"_",A$1),Data_P!J:J),IF('Data_ Contrats'!O207="T",SUMIF(Data_P!A:A,CONCATENATE(A211,"_",A$1),Data_P!J:J),""))</f>
        <v>0</v>
      </c>
      <c r="D211" s="169" t="str">
        <f>VLOOKUP(A211,'Data_ Contrats'!A$3:O$250,15)</f>
        <v>M</v>
      </c>
    </row>
    <row r="212" spans="1:4" s="56" customFormat="1">
      <c r="A212" s="124" t="s">
        <v>2140</v>
      </c>
      <c r="B212" s="157">
        <v>169.89</v>
      </c>
      <c r="C212" s="157">
        <f>IF('Data_ Contrats'!O208="M",SUMIF(Data_P!A:A,CONCATENATE(A212,"_",A$1),Data_P!J:J),IF('Data_ Contrats'!O208="T",SUMIF(Data_P!A:A,CONCATENATE(A212,"_",A$1),Data_P!J:J),""))</f>
        <v>169.89</v>
      </c>
      <c r="D212" s="169" t="str">
        <f>VLOOKUP(A212,'Data_ Contrats'!A$3:O$250,15)</f>
        <v>M</v>
      </c>
    </row>
    <row r="213" spans="1:4">
      <c r="A213" s="124" t="s">
        <v>1008</v>
      </c>
      <c r="B213" s="176">
        <v>707.88</v>
      </c>
      <c r="C213" s="157">
        <f>IF('Data_ Contrats'!O209="M",SUMIF(Data_P!A:A,CONCATENATE(A213,"_",A$1),Data_P!J:J),IF('Data_ Contrats'!O209="T",SUMIF(Data_P!A:A,CONCATENATE(A213,"_",A$1),Data_P!J:J),""))</f>
        <v>707.88</v>
      </c>
      <c r="D213" s="169" t="str">
        <f>VLOOKUP(A213,'Data_ Contrats'!A$3:O$250,15)</f>
        <v>T</v>
      </c>
    </row>
    <row r="214" spans="1:4" ht="31.2">
      <c r="A214" s="124" t="s">
        <v>1287</v>
      </c>
      <c r="B214" s="176">
        <v>1166.1600000000001</v>
      </c>
      <c r="C214" s="157">
        <f>IF('Data_ Contrats'!O210="M",SUMIF(Data_P!A:A,CONCATENATE(A214,"_",A$1),Data_P!J:J),IF('Data_ Contrats'!O210="T",SUMIF(Data_P!A:A,CONCATENATE(A214,"_",A$1),Data_P!J:J),""))</f>
        <v>1166.1600000000001</v>
      </c>
      <c r="D214" s="169" t="str">
        <f>VLOOKUP(A214,'Data_ Contrats'!A$3:O$250,15)</f>
        <v>T</v>
      </c>
    </row>
    <row r="215" spans="1:4">
      <c r="A215" s="124" t="s">
        <v>635</v>
      </c>
      <c r="B215" s="157" t="s">
        <v>535</v>
      </c>
      <c r="C215" s="157" t="str">
        <f>IF('Data_ Contrats'!O211="M",SUMIF(Data_P!A:A,CONCATENATE(A215,"_",A$1),Data_P!J:J),IF('Data_ Contrats'!O211="T",SUMIF(Data_P!A:A,CONCATENATE(A215,"_",A$1),Data_P!J:J),""))</f>
        <v/>
      </c>
      <c r="D215" s="169" t="str">
        <f>VLOOKUP(A215,'Data_ Contrats'!A$3:O$250,15)</f>
        <v>M</v>
      </c>
    </row>
    <row r="216" spans="1:4">
      <c r="A216" s="124" t="s">
        <v>480</v>
      </c>
      <c r="B216" s="157" t="s">
        <v>535</v>
      </c>
      <c r="C216" s="157" t="str">
        <f>IF('Data_ Contrats'!O212="M",SUMIF(Data_P!A:A,CONCATENATE(A216,"_",A$1),Data_P!J:J),IF('Data_ Contrats'!O212="T",SUMIF(Data_P!A:A,CONCATENATE(A216,"_",A$1),Data_P!J:J),""))</f>
        <v/>
      </c>
      <c r="D216" s="169" t="str">
        <f>VLOOKUP(A216,'Data_ Contrats'!A$3:O$250,15)</f>
        <v>M</v>
      </c>
    </row>
    <row r="217" spans="1:4">
      <c r="A217" s="124" t="s">
        <v>454</v>
      </c>
      <c r="B217" s="157" t="s">
        <v>535</v>
      </c>
      <c r="C217" s="157" t="str">
        <f>IF('Data_ Contrats'!O213="M",SUMIF(Data_P!A:A,CONCATENATE(A217,"_",A$1),Data_P!J:J),IF('Data_ Contrats'!O213="T",SUMIF(Data_P!A:A,CONCATENATE(A217,"_",A$1),Data_P!J:J),""))</f>
        <v/>
      </c>
      <c r="D217" s="169" t="str">
        <f>VLOOKUP(A217,'Data_ Contrats'!A$3:O$250,15)</f>
        <v>M</v>
      </c>
    </row>
    <row r="218" spans="1:4">
      <c r="A218" s="124" t="s">
        <v>636</v>
      </c>
      <c r="B218" s="157">
        <v>1305.23</v>
      </c>
      <c r="C218" s="157">
        <f>IF('Data_ Contrats'!O214="M",SUMIF(Data_P!A:A,CONCATENATE(A218,"_",A$1),Data_P!J:J),IF('Data_ Contrats'!O214="T",SUMIF(Data_P!A:A,CONCATENATE(A218,"_",A$1),Data_P!J:J),""))</f>
        <v>1305.23</v>
      </c>
      <c r="D218" s="169" t="str">
        <f>VLOOKUP(A218,'Data_ Contrats'!A$3:O$250,15)</f>
        <v>M</v>
      </c>
    </row>
    <row r="219" spans="1:4">
      <c r="A219" s="124" t="s">
        <v>588</v>
      </c>
      <c r="B219" s="157">
        <v>2494.9799999999996</v>
      </c>
      <c r="C219" s="157">
        <f>IF('Data_ Contrats'!O215="M",SUMIF(Data_P!A:A,CONCATENATE(A219,"_",A$1),Data_P!J:J),IF('Data_ Contrats'!O215="T",SUMIF(Data_P!A:A,CONCATENATE(A219,"_",A$1),Data_P!J:J),""))</f>
        <v>2494.9799999999996</v>
      </c>
      <c r="D219" s="169" t="str">
        <f>VLOOKUP(A219,'Data_ Contrats'!A$3:O$250,15)</f>
        <v>M</v>
      </c>
    </row>
    <row r="220" spans="1:4">
      <c r="A220" s="124" t="s">
        <v>1961</v>
      </c>
      <c r="B220" s="157">
        <v>431.34999999999997</v>
      </c>
      <c r="C220" s="157">
        <f>IF('Data_ Contrats'!O216="M",SUMIF(Data_P!A:A,CONCATENATE(A220,"_",A$1),Data_P!J:J),IF('Data_ Contrats'!O216="T",SUMIF(Data_P!A:A,CONCATENATE(A220,"_",A$1),Data_P!J:J),""))</f>
        <v>431.34999999999997</v>
      </c>
      <c r="D220" s="169" t="str">
        <f>VLOOKUP(A220,'Data_ Contrats'!A$3:O$250,15)</f>
        <v>M</v>
      </c>
    </row>
    <row r="221" spans="1:4">
      <c r="A221" s="124" t="s">
        <v>2142</v>
      </c>
      <c r="B221" s="157">
        <v>0</v>
      </c>
      <c r="C221" s="157">
        <f>IF('Data_ Contrats'!O217="M",SUMIF(Data_P!A:A,CONCATENATE(A221,"_",A$1),Data_P!J:J),IF('Data_ Contrats'!O217="T",SUMIF(Data_P!A:A,CONCATENATE(A221,"_",A$1),Data_P!J:J),""))</f>
        <v>0</v>
      </c>
      <c r="D221" s="169" t="str">
        <f>VLOOKUP(A221,'Data_ Contrats'!A$3:O$250,15)</f>
        <v>M</v>
      </c>
    </row>
    <row r="222" spans="1:4">
      <c r="A222" s="124" t="s">
        <v>1915</v>
      </c>
      <c r="B222" s="157">
        <v>407.19</v>
      </c>
      <c r="C222" s="157">
        <f>IF('Data_ Contrats'!O218="M",SUMIF(Data_P!A:A,CONCATENATE(A222,"_",A$1),Data_P!J:J),IF('Data_ Contrats'!O218="T",SUMIF(Data_P!A:A,CONCATENATE(A222,"_",A$1),Data_P!J:J),""))</f>
        <v>407.19</v>
      </c>
      <c r="D222" s="169" t="str">
        <f>VLOOKUP(A222,'Data_ Contrats'!A$3:O$250,15)</f>
        <v>M</v>
      </c>
    </row>
    <row r="223" spans="1:4">
      <c r="B223" s="177"/>
      <c r="D223" s="169"/>
    </row>
    <row r="224" spans="1:4">
      <c r="B224" s="177"/>
    </row>
    <row r="225" spans="2:2">
      <c r="B225" s="177"/>
    </row>
    <row r="226" spans="2:2">
      <c r="B226" s="177"/>
    </row>
    <row r="227" spans="2:2">
      <c r="B227" s="177"/>
    </row>
    <row r="228" spans="2:2">
      <c r="B228" s="177"/>
    </row>
    <row r="229" spans="2:2">
      <c r="B229" s="177"/>
    </row>
    <row r="230" spans="2:2">
      <c r="B230" s="177"/>
    </row>
    <row r="231" spans="2:2">
      <c r="B231" s="177"/>
    </row>
    <row r="232" spans="2:2">
      <c r="B232" s="177"/>
    </row>
    <row r="233" spans="2:2">
      <c r="B233" s="177"/>
    </row>
    <row r="234" spans="2:2">
      <c r="B234" s="177"/>
    </row>
    <row r="235" spans="2:2">
      <c r="B235" s="177"/>
    </row>
    <row r="236" spans="2:2">
      <c r="B236" s="177"/>
    </row>
    <row r="237" spans="2:2">
      <c r="B237" s="177"/>
    </row>
    <row r="238" spans="2:2">
      <c r="B238" s="177"/>
    </row>
    <row r="239" spans="2:2">
      <c r="B239" s="177"/>
    </row>
    <row r="240" spans="2:2">
      <c r="B240" s="177"/>
    </row>
    <row r="241" spans="2:2">
      <c r="B241" s="177"/>
    </row>
    <row r="242" spans="2:2">
      <c r="B242" s="177"/>
    </row>
    <row r="243" spans="2:2">
      <c r="B243" s="177"/>
    </row>
    <row r="244" spans="2:2">
      <c r="B244" s="177"/>
    </row>
    <row r="245" spans="2:2">
      <c r="B245" s="177"/>
    </row>
    <row r="246" spans="2:2">
      <c r="B246" s="177"/>
    </row>
    <row r="247" spans="2:2">
      <c r="B247" s="177"/>
    </row>
    <row r="248" spans="2:2">
      <c r="B248" s="177"/>
    </row>
    <row r="249" spans="2:2">
      <c r="B249" s="177"/>
    </row>
    <row r="250" spans="2:2">
      <c r="B250" s="177"/>
    </row>
    <row r="251" spans="2:2">
      <c r="B251" s="177"/>
    </row>
    <row r="252" spans="2:2">
      <c r="B252" s="177"/>
    </row>
    <row r="253" spans="2:2">
      <c r="B253" s="177"/>
    </row>
    <row r="254" spans="2:2">
      <c r="B254" s="177"/>
    </row>
    <row r="255" spans="2:2">
      <c r="B255" s="177"/>
    </row>
    <row r="256" spans="2:2">
      <c r="B256" s="177"/>
    </row>
    <row r="257" spans="2:2">
      <c r="B257" s="177"/>
    </row>
    <row r="1099" spans="1:1">
      <c r="A1099" s="171"/>
    </row>
    <row r="1100" spans="1:1">
      <c r="A1100" s="171"/>
    </row>
    <row r="1101" spans="1:1">
      <c r="A1101" s="171"/>
    </row>
    <row r="1102" spans="1:1">
      <c r="A1102" s="171"/>
    </row>
    <row r="1103" spans="1:1">
      <c r="A1103" s="171"/>
    </row>
    <row r="1104" spans="1:1">
      <c r="A1104" s="171"/>
    </row>
    <row r="1105" spans="1:1">
      <c r="A1105" s="171"/>
    </row>
    <row r="1106" spans="1:1">
      <c r="A1106" s="171"/>
    </row>
    <row r="1107" spans="1:1">
      <c r="A1107" s="171"/>
    </row>
    <row r="1108" spans="1:1">
      <c r="A1108" s="171"/>
    </row>
    <row r="1109" spans="1:1">
      <c r="A1109" s="171"/>
    </row>
    <row r="1110" spans="1:1">
      <c r="A1110" s="171"/>
    </row>
    <row r="1111" spans="1:1">
      <c r="A1111" s="171"/>
    </row>
    <row r="1112" spans="1:1">
      <c r="A1112" s="171"/>
    </row>
    <row r="1113" spans="1:1">
      <c r="A1113" s="171"/>
    </row>
    <row r="1114" spans="1:1">
      <c r="A1114" s="171"/>
    </row>
    <row r="1115" spans="1:1">
      <c r="A1115" s="171"/>
    </row>
    <row r="1116" spans="1:1">
      <c r="A1116" s="171"/>
    </row>
    <row r="1117" spans="1:1">
      <c r="A1117" s="171"/>
    </row>
    <row r="1118" spans="1:1">
      <c r="A1118" s="171"/>
    </row>
    <row r="1119" spans="1:1">
      <c r="A1119" s="171"/>
    </row>
    <row r="1120" spans="1:1">
      <c r="A1120" s="171"/>
    </row>
    <row r="1121" spans="1:1">
      <c r="A1121" s="171"/>
    </row>
    <row r="1122" spans="1:1">
      <c r="A1122" s="171"/>
    </row>
    <row r="1123" spans="1:1">
      <c r="A1123" s="171"/>
    </row>
    <row r="1124" spans="1:1">
      <c r="A1124" s="171"/>
    </row>
    <row r="1125" spans="1:1">
      <c r="A1125" s="171"/>
    </row>
    <row r="1126" spans="1:1">
      <c r="A1126" s="171"/>
    </row>
    <row r="1127" spans="1:1">
      <c r="A1127" s="171"/>
    </row>
    <row r="1128" spans="1:1">
      <c r="A1128" s="171"/>
    </row>
    <row r="1129" spans="1:1">
      <c r="A1129" s="171"/>
    </row>
    <row r="1130" spans="1:1">
      <c r="A1130" s="171"/>
    </row>
    <row r="1131" spans="1:1">
      <c r="A1131" s="171"/>
    </row>
    <row r="1132" spans="1:1">
      <c r="A1132" s="171"/>
    </row>
    <row r="1133" spans="1:1">
      <c r="A1133" s="171"/>
    </row>
    <row r="1134" spans="1:1">
      <c r="A1134" s="171"/>
    </row>
    <row r="1135" spans="1:1">
      <c r="A1135" s="171"/>
    </row>
    <row r="1136" spans="1:1">
      <c r="A1136" s="171"/>
    </row>
    <row r="1137" spans="1:1">
      <c r="A1137" s="171"/>
    </row>
    <row r="1138" spans="1:1">
      <c r="A1138" s="171"/>
    </row>
    <row r="1139" spans="1:1">
      <c r="A1139" s="171"/>
    </row>
    <row r="1140" spans="1:1">
      <c r="A1140" s="171"/>
    </row>
    <row r="1141" spans="1:1">
      <c r="A1141" s="171"/>
    </row>
    <row r="1142" spans="1:1">
      <c r="A1142" s="171"/>
    </row>
    <row r="1143" spans="1:1">
      <c r="A1143" s="171"/>
    </row>
    <row r="1144" spans="1:1">
      <c r="A1144" s="171"/>
    </row>
    <row r="1145" spans="1:1">
      <c r="A1145" s="171"/>
    </row>
    <row r="1146" spans="1:1">
      <c r="A1146" s="171"/>
    </row>
    <row r="1147" spans="1:1">
      <c r="A1147" s="171"/>
    </row>
    <row r="1148" spans="1:1">
      <c r="A1148" s="171"/>
    </row>
    <row r="1149" spans="1:1">
      <c r="A1149" s="171"/>
    </row>
    <row r="1150" spans="1:1">
      <c r="A1150" s="171"/>
    </row>
    <row r="1151" spans="1:1">
      <c r="A1151" s="171"/>
    </row>
    <row r="1152" spans="1:1">
      <c r="A1152" s="171"/>
    </row>
    <row r="1153" spans="1:1">
      <c r="A1153" s="171"/>
    </row>
    <row r="1154" spans="1:1">
      <c r="A1154" s="171"/>
    </row>
    <row r="1155" spans="1:1">
      <c r="A1155" s="171"/>
    </row>
    <row r="1156" spans="1:1">
      <c r="A1156" s="171"/>
    </row>
    <row r="1157" spans="1:1">
      <c r="A1157" s="171"/>
    </row>
    <row r="1158" spans="1:1">
      <c r="A1158" s="171"/>
    </row>
    <row r="1159" spans="1:1">
      <c r="A1159" s="171"/>
    </row>
    <row r="1160" spans="1:1">
      <c r="A1160" s="171"/>
    </row>
    <row r="1161" spans="1:1">
      <c r="A1161" s="171"/>
    </row>
    <row r="1162" spans="1:1">
      <c r="A1162" s="171"/>
    </row>
    <row r="1163" spans="1:1">
      <c r="A1163" s="171"/>
    </row>
    <row r="1164" spans="1:1">
      <c r="A1164" s="171"/>
    </row>
    <row r="1165" spans="1:1">
      <c r="A1165" s="171"/>
    </row>
    <row r="1166" spans="1:1">
      <c r="A1166" s="171"/>
    </row>
    <row r="1167" spans="1:1">
      <c r="A1167" s="171"/>
    </row>
    <row r="1168" spans="1:1">
      <c r="A1168" s="171"/>
    </row>
    <row r="1169" spans="1:1">
      <c r="A1169" s="171"/>
    </row>
    <row r="1170" spans="1:1">
      <c r="A1170" s="171"/>
    </row>
    <row r="1171" spans="1:1">
      <c r="A1171" s="171"/>
    </row>
    <row r="1172" spans="1:1">
      <c r="A1172" s="171"/>
    </row>
    <row r="1173" spans="1:1">
      <c r="A1173" s="171"/>
    </row>
    <row r="1174" spans="1:1">
      <c r="A1174" s="171"/>
    </row>
    <row r="1175" spans="1:1">
      <c r="A1175" s="171"/>
    </row>
    <row r="1176" spans="1:1">
      <c r="A1176" s="171"/>
    </row>
    <row r="1177" spans="1:1">
      <c r="A1177" s="171"/>
    </row>
    <row r="1178" spans="1:1">
      <c r="A1178" s="171"/>
    </row>
    <row r="1179" spans="1:1">
      <c r="A1179" s="171"/>
    </row>
    <row r="1180" spans="1:1">
      <c r="A1180" s="171"/>
    </row>
    <row r="1181" spans="1:1">
      <c r="A1181" s="171"/>
    </row>
    <row r="1182" spans="1:1">
      <c r="A1182" s="171"/>
    </row>
    <row r="1183" spans="1:1">
      <c r="A1183" s="171"/>
    </row>
    <row r="1184" spans="1:1">
      <c r="A1184" s="171"/>
    </row>
    <row r="1185" spans="1:1">
      <c r="A1185" s="171"/>
    </row>
    <row r="1186" spans="1:1">
      <c r="A1186" s="171"/>
    </row>
    <row r="1187" spans="1:1">
      <c r="A1187" s="171"/>
    </row>
    <row r="1188" spans="1:1">
      <c r="A1188" s="171"/>
    </row>
    <row r="1189" spans="1:1">
      <c r="A1189" s="171"/>
    </row>
    <row r="1190" spans="1:1">
      <c r="A1190" s="171"/>
    </row>
    <row r="1191" spans="1:1">
      <c r="A1191" s="171"/>
    </row>
    <row r="1192" spans="1:1">
      <c r="A1192" s="171"/>
    </row>
    <row r="1193" spans="1:1">
      <c r="A1193" s="171"/>
    </row>
    <row r="1194" spans="1:1">
      <c r="A1194" s="171"/>
    </row>
    <row r="1195" spans="1:1">
      <c r="A1195" s="171"/>
    </row>
    <row r="1196" spans="1:1">
      <c r="A1196" s="171"/>
    </row>
    <row r="1197" spans="1:1">
      <c r="A1197" s="171"/>
    </row>
    <row r="1198" spans="1:1">
      <c r="A1198" s="171"/>
    </row>
    <row r="1199" spans="1:1">
      <c r="A1199" s="171"/>
    </row>
    <row r="1200" spans="1:1">
      <c r="A1200" s="171"/>
    </row>
    <row r="1201" spans="1:1">
      <c r="A1201" s="171"/>
    </row>
    <row r="1202" spans="1:1">
      <c r="A1202" s="171"/>
    </row>
    <row r="1203" spans="1:1">
      <c r="A1203" s="171"/>
    </row>
    <row r="1204" spans="1:1">
      <c r="A1204" s="171"/>
    </row>
    <row r="1205" spans="1:1">
      <c r="A1205" s="171"/>
    </row>
    <row r="1206" spans="1:1">
      <c r="A1206" s="171"/>
    </row>
    <row r="1207" spans="1:1">
      <c r="A1207" s="171"/>
    </row>
    <row r="1208" spans="1:1">
      <c r="A1208" s="171"/>
    </row>
    <row r="1209" spans="1:1">
      <c r="A1209" s="171"/>
    </row>
    <row r="1210" spans="1:1">
      <c r="A1210" s="171"/>
    </row>
    <row r="1211" spans="1:1">
      <c r="A1211" s="171"/>
    </row>
    <row r="1212" spans="1:1">
      <c r="A1212" s="171"/>
    </row>
    <row r="1213" spans="1:1">
      <c r="A1213" s="171"/>
    </row>
    <row r="1214" spans="1:1">
      <c r="A1214" s="171"/>
    </row>
    <row r="1215" spans="1:1">
      <c r="A1215" s="171"/>
    </row>
    <row r="1216" spans="1:1">
      <c r="A1216" s="171"/>
    </row>
    <row r="1217" spans="1:1">
      <c r="A1217" s="171"/>
    </row>
    <row r="1218" spans="1:1">
      <c r="A1218" s="171"/>
    </row>
    <row r="1219" spans="1:1">
      <c r="A1219" s="171"/>
    </row>
    <row r="1220" spans="1:1">
      <c r="A1220" s="171"/>
    </row>
    <row r="1221" spans="1:1">
      <c r="A1221" s="171"/>
    </row>
    <row r="1222" spans="1:1">
      <c r="A1222" s="171"/>
    </row>
    <row r="14090" spans="1:1">
      <c r="A14090" s="171"/>
    </row>
  </sheetData>
  <autoFilter ref="A7:C222" xr:uid="{DD5F3769-189A-4C88-90A7-42B34DB4C68E}"/>
  <conditionalFormatting sqref="A53:A55 A60:A222 A9:A51">
    <cfRule type="cellIs" dxfId="14" priority="13" stopIfTrue="1" operator="lessThan">
      <formula>0</formula>
    </cfRule>
    <cfRule type="cellIs" dxfId="13" priority="14" stopIfTrue="1" operator="greaterThan">
      <formula>0</formula>
    </cfRule>
    <cfRule type="cellIs" dxfId="12" priority="15" stopIfTrue="1" operator="equal">
      <formula>0</formula>
    </cfRule>
  </conditionalFormatting>
  <conditionalFormatting sqref="A214">
    <cfRule type="cellIs" dxfId="11" priority="10" stopIfTrue="1" operator="lessThan">
      <formula>0</formula>
    </cfRule>
    <cfRule type="cellIs" dxfId="10" priority="11" stopIfTrue="1" operator="greaterThan">
      <formula>0</formula>
    </cfRule>
    <cfRule type="cellIs" dxfId="9" priority="12" stopIfTrue="1" operator="equal">
      <formula>0</formula>
    </cfRule>
  </conditionalFormatting>
  <conditionalFormatting sqref="A8">
    <cfRule type="cellIs" dxfId="8" priority="7" stopIfTrue="1" operator="lessThan">
      <formula>0</formula>
    </cfRule>
    <cfRule type="cellIs" dxfId="7" priority="8" stopIfTrue="1" operator="greaterThan">
      <formula>0</formula>
    </cfRule>
    <cfRule type="cellIs" dxfId="6" priority="9" stopIfTrue="1" operator="equal">
      <formula>0</formula>
    </cfRule>
  </conditionalFormatting>
  <conditionalFormatting sqref="A52">
    <cfRule type="cellIs" dxfId="5" priority="4" stopIfTrue="1" operator="lessThan">
      <formula>0</formula>
    </cfRule>
    <cfRule type="cellIs" dxfId="4" priority="5" stopIfTrue="1" operator="greaterThan">
      <formula>0</formula>
    </cfRule>
    <cfRule type="cellIs" dxfId="3" priority="6" stopIfTrue="1" operator="equal">
      <formula>0</formula>
    </cfRule>
  </conditionalFormatting>
  <conditionalFormatting sqref="A56:A59">
    <cfRule type="cellIs" dxfId="2" priority="1" stopIfTrue="1" operator="lessThan">
      <formula>0</formula>
    </cfRule>
    <cfRule type="cellIs" dxfId="1" priority="2" stopIfTrue="1" operator="greaterThan">
      <formula>0</formula>
    </cfRule>
    <cfRule type="cellIs" dxfId="0" priority="3" stopIfTrue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euil9.Reporting">
                <anchor moveWithCells="1" sizeWithCells="1">
                  <from>
                    <xdr:col>5</xdr:col>
                    <xdr:colOff>1089660</xdr:colOff>
                    <xdr:row>2</xdr:row>
                    <xdr:rowOff>167640</xdr:rowOff>
                  </from>
                  <to>
                    <xdr:col>7</xdr:col>
                    <xdr:colOff>533400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Feuil9.effacer">
                <anchor moveWithCells="1" sizeWithCells="1">
                  <from>
                    <xdr:col>6</xdr:col>
                    <xdr:colOff>15240</xdr:colOff>
                    <xdr:row>6</xdr:row>
                    <xdr:rowOff>22860</xdr:rowOff>
                  </from>
                  <to>
                    <xdr:col>7</xdr:col>
                    <xdr:colOff>518160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6</vt:i4>
      </vt:variant>
    </vt:vector>
  </HeadingPairs>
  <TitlesOfParts>
    <vt:vector size="15" baseType="lpstr">
      <vt:lpstr>Data_Parking</vt:lpstr>
      <vt:lpstr>Data_ Contrats</vt:lpstr>
      <vt:lpstr>Data_P</vt:lpstr>
      <vt:lpstr>AF Mensuel</vt:lpstr>
      <vt:lpstr>AF Trimestriel</vt:lpstr>
      <vt:lpstr>Mandat de facturation</vt:lpstr>
      <vt:lpstr>Paris Habita</vt:lpstr>
      <vt:lpstr>Détail de conso</vt:lpstr>
      <vt:lpstr>Reporting partenaire HT</vt:lpstr>
      <vt:lpstr>Coa</vt:lpstr>
      <vt:lpstr>m</vt:lpstr>
      <vt:lpstr>ns</vt:lpstr>
      <vt:lpstr>'AF Mensuel'!Zone_d_impression</vt:lpstr>
      <vt:lpstr>'AF Trimestriel'!Zone_d_impression</vt:lpstr>
      <vt:lpstr>'Paris Habita'!Zone_d_impression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margaux</dc:creator>
  <cp:lastModifiedBy>Serkhane</cp:lastModifiedBy>
  <cp:lastPrinted>2018-10-09T16:19:09Z</cp:lastPrinted>
  <dcterms:created xsi:type="dcterms:W3CDTF">2014-01-14T00:51:42Z</dcterms:created>
  <dcterms:modified xsi:type="dcterms:W3CDTF">2018-10-11T15:42:06Z</dcterms:modified>
</cp:coreProperties>
</file>